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comments/comment5.xml" ContentType="application/vnd.openxmlformats-officedocument.spreadsheetml.comments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comments/comment7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8.xml" ContentType="application/vnd.openxmlformats-officedocument.spreadsheetml.comments+xml"/>
  <Override PartName="/xl/worksheets/sheet15.xml" ContentType="application/vnd.openxmlformats-officedocument.spreadsheetml.worksheet+xml"/>
  <Override PartName="/xl/comments/comment9.xml" ContentType="application/vnd.openxmlformats-officedocument.spreadsheetml.comments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gress_Dashboard" sheetId="2" state="visible" r:id="rId2"/>
    <sheet xmlns:r="http://schemas.openxmlformats.org/officeDocument/2006/relationships" name="Data_Collection_Log" sheetId="3" state="visible" r:id="rId3"/>
    <sheet xmlns:r="http://schemas.openxmlformats.org/officeDocument/2006/relationships" name="Unit_Converter" sheetId="4" state="visible" r:id="rId4"/>
    <sheet xmlns:r="http://schemas.openxmlformats.org/officeDocument/2006/relationships" name="Codebook_Species" sheetId="5" state="visible" r:id="rId5"/>
    <sheet xmlns:r="http://schemas.openxmlformats.org/officeDocument/2006/relationships" name="Codebook_Markets" sheetId="6" state="visible" r:id="rId6"/>
    <sheet xmlns:r="http://schemas.openxmlformats.org/officeDocument/2006/relationships" name="Form_A_Aratdar" sheetId="7" state="visible" r:id="rId7"/>
    <sheet xmlns:r="http://schemas.openxmlformats.org/officeDocument/2006/relationships" name="Form_B_Bepari_Faria" sheetId="8" state="visible" r:id="rId8"/>
    <sheet xmlns:r="http://schemas.openxmlformats.org/officeDocument/2006/relationships" name="Form_R_Khuchra" sheetId="9" state="visible" r:id="rId9"/>
    <sheet xmlns:r="http://schemas.openxmlformats.org/officeDocument/2006/relationships" name="Form_C_Consumer" sheetId="10" state="visible" r:id="rId10"/>
    <sheet xmlns:r="http://schemas.openxmlformats.org/officeDocument/2006/relationships" name="Price_Observations" sheetId="11" state="visible" r:id="rId11"/>
    <sheet xmlns:r="http://schemas.openxmlformats.org/officeDocument/2006/relationships" name="Consumer_Purchases_Focal" sheetId="12" state="visible" r:id="rId12"/>
    <sheet xmlns:r="http://schemas.openxmlformats.org/officeDocument/2006/relationships" name="Consumer_Other_Fish" sheetId="13" state="visible" r:id="rId13"/>
    <sheet xmlns:r="http://schemas.openxmlformats.org/officeDocument/2006/relationships" name="Form_M_Market_Observation" sheetId="14" state="visible" r:id="rId14"/>
    <sheet xmlns:r="http://schemas.openxmlformats.org/officeDocument/2006/relationships" name="Tag_Price_Sheet" sheetId="15" state="visible" r:id="rId15"/>
    <sheet xmlns:r="http://schemas.openxmlformats.org/officeDocument/2006/relationships" name="QC_Check" sheetId="16" state="visible" r:id="rId16"/>
  </sheets>
  <definedNames>
    <definedName name="_xlnm._FilterDatabase" localSheetId="2" hidden="1">'Data_Collection_Log'!$B$4:$L$44</definedName>
    <definedName name="_xlnm._FilterDatabase" localSheetId="6" hidden="1">'Form_A_Aratdar'!$B$4:$AG$40</definedName>
    <definedName name="_xlnm._FilterDatabase" localSheetId="7" hidden="1">'Form_B_Bepari_Faria'!$B$4:$AF$40</definedName>
    <definedName name="_xlnm._FilterDatabase" localSheetId="8" hidden="1">'Form_R_Khuchra'!$B$4:$AA$40</definedName>
    <definedName name="_xlnm._FilterDatabase" localSheetId="9" hidden="1">'Form_C_Consumer'!$B$4:$L$40</definedName>
    <definedName name="_xlnm._FilterDatabase" localSheetId="10" hidden="1">'Price_Observations'!$B$4:$P$504</definedName>
    <definedName name="_xlnm._FilterDatabase" localSheetId="11" hidden="1">'Consumer_Purchases_Focal'!$B$4:$M$354</definedName>
    <definedName name="_xlnm._FilterDatabase" localSheetId="12" hidden="1">'Consumer_Other_Fish'!$B$4:$L$104</definedName>
    <definedName name="_xlnm._FilterDatabase" localSheetId="14" hidden="1">'Tag_Price_Sheet'!$B$4:$J$324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yy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B2A4A"/>
      <sz val="16"/>
    </font>
    <font>
      <name val="Arial"/>
      <charset val="1"/>
      <family val="0"/>
      <i val="1"/>
      <color rgb="FF8C8A84"/>
      <sz val="9"/>
    </font>
    <font>
      <name val="Arial"/>
      <charset val="1"/>
      <family val="0"/>
      <b val="1"/>
      <color rgb="FF1B2A4A"/>
      <sz val="12"/>
    </font>
    <font>
      <name val="Arial"/>
      <charset val="1"/>
      <family val="0"/>
      <b val="1"/>
      <color rgb="FF37352F"/>
      <sz val="10"/>
    </font>
    <font>
      <name val="Arial"/>
      <charset val="1"/>
      <family val="0"/>
      <color rgb="FF37352F"/>
      <sz val="10"/>
    </font>
    <font>
      <name val="Arial"/>
      <charset val="1"/>
      <family val="0"/>
      <b val="1"/>
      <color rgb="FF1F4E5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37352F"/>
      <sz val="11"/>
    </font>
    <font>
      <name val="Arial"/>
      <charset val="1"/>
      <family val="0"/>
      <b val="1"/>
      <color rgb="FF1B2A4A"/>
      <sz val="11"/>
    </font>
    <font>
      <name val="Arial"/>
      <family val="2"/>
      <sz val="10"/>
    </font>
    <font>
      <name val="Arial"/>
      <charset val="1"/>
      <family val="0"/>
      <color rgb="FF8C8A84"/>
      <sz val="10"/>
    </font>
    <font>
      <name val="FreeSans"/>
      <family val="2"/>
      <sz val="10"/>
    </font>
    <font>
      <name val="Arial"/>
      <charset val="1"/>
      <family val="0"/>
      <b val="1"/>
      <color rgb="FFFFFFFF"/>
      <sz val="10"/>
    </font>
  </fonts>
  <fills count="9">
    <fill>
      <patternFill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FFFFFF"/>
        <bgColor rgb="FFF7F7F5"/>
      </patternFill>
    </fill>
    <fill>
      <patternFill patternType="solid">
        <fgColor rgb="FFF7F7F5"/>
        <bgColor rgb="FFFFF9E6"/>
      </patternFill>
    </fill>
    <fill>
      <patternFill patternType="solid">
        <fgColor rgb="FFD6E4F0"/>
        <bgColor rgb="FFE8F5E9"/>
      </patternFill>
    </fill>
    <fill>
      <patternFill patternType="solid">
        <fgColor rgb="FFFFF9E6"/>
        <bgColor rgb="FFFFF9DB"/>
      </patternFill>
    </fill>
    <fill>
      <patternFill patternType="solid">
        <fgColor rgb="FF1F4E5F"/>
        <bgColor rgb="FF37352F"/>
      </patternFill>
    </fill>
    <fill>
      <patternFill patternType="solid">
        <fgColor rgb="FFFFF9DB"/>
        <bgColor rgb="FFFFF9E6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/>
    </xf>
    <xf numFmtId="0" fontId="9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top" wrapText="1"/>
    </xf>
    <xf numFmtId="0" fontId="11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bottom"/>
    </xf>
    <xf numFmtId="0" fontId="12" fillId="3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0" fontId="12" fillId="4" borderId="1" applyAlignment="1" pivotButton="0" quotePrefix="0" xfId="0">
      <alignment horizontal="general" vertical="bottom"/>
    </xf>
    <xf numFmtId="0" fontId="13" fillId="5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9" fontId="8" fillId="0" borderId="1" applyAlignment="1" pivotButton="0" quotePrefix="0" xfId="0">
      <alignment horizontal="general" vertical="bottom"/>
    </xf>
    <xf numFmtId="164" fontId="8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general" vertical="center"/>
    </xf>
    <xf numFmtId="3" fontId="8" fillId="6" borderId="1" applyAlignment="1" pivotButton="0" quotePrefix="0" xfId="0">
      <alignment horizontal="right" vertical="center"/>
    </xf>
    <xf numFmtId="4" fontId="8" fillId="6" borderId="1" applyAlignment="1" pivotButton="0" quotePrefix="0" xfId="0">
      <alignment horizontal="right" vertical="bottom"/>
    </xf>
    <xf numFmtId="4" fontId="8" fillId="5" borderId="1" applyAlignment="1" pivotButton="0" quotePrefix="0" xfId="0">
      <alignment horizontal="right" vertical="bottom"/>
    </xf>
    <xf numFmtId="0" fontId="8" fillId="0" borderId="1" applyAlignment="1" pivotButton="0" quotePrefix="0" xfId="0">
      <alignment horizontal="general" vertical="bottom"/>
    </xf>
    <xf numFmtId="0" fontId="15" fillId="4" borderId="1" applyAlignment="1" pivotButton="0" quotePrefix="0" xfId="0">
      <alignment horizontal="general" vertical="center"/>
    </xf>
    <xf numFmtId="0" fontId="15" fillId="4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right" vertical="center"/>
    </xf>
    <xf numFmtId="4" fontId="8" fillId="5" borderId="1" applyAlignment="1" pivotButton="0" quotePrefix="0" xfId="0">
      <alignment horizontal="right" vertical="center"/>
    </xf>
    <xf numFmtId="1" fontId="8" fillId="6" borderId="1" applyAlignment="1" pivotButton="0" quotePrefix="0" xfId="0">
      <alignment horizontal="right" vertical="center"/>
    </xf>
    <xf numFmtId="0" fontId="17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general" vertical="center"/>
    </xf>
    <xf numFmtId="0" fontId="10" fillId="8" borderId="1" applyAlignment="1" pivotButton="0" quotePrefix="0" xfId="0">
      <alignment horizontal="center" vertical="center"/>
    </xf>
    <xf numFmtId="164" fontId="10" fillId="8" borderId="1" applyAlignment="1" pivotButton="0" quotePrefix="0" xfId="0">
      <alignment horizontal="center" vertical="center"/>
    </xf>
    <xf numFmtId="3" fontId="10" fillId="8" borderId="1" applyAlignment="1" pivotButton="0" quotePrefix="0" xfId="0">
      <alignment horizontal="right" vertical="center"/>
    </xf>
    <xf numFmtId="4" fontId="10" fillId="8" borderId="1" applyAlignment="1" pivotButton="0" quotePrefix="0" xfId="0">
      <alignment horizontal="right" vertical="center"/>
    </xf>
    <xf numFmtId="1" fontId="10" fillId="8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general" vertical="bottom"/>
    </xf>
    <xf numFmtId="3" fontId="12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3" fontId="12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/>
    </xf>
    <xf numFmtId="0" fontId="9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top" wrapText="1"/>
    </xf>
    <xf numFmtId="0" fontId="11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bottom"/>
    </xf>
    <xf numFmtId="0" fontId="12" fillId="3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0" fontId="12" fillId="4" borderId="1" applyAlignment="1" pivotButton="0" quotePrefix="0" xfId="0">
      <alignment horizontal="general" vertical="bottom"/>
    </xf>
    <xf numFmtId="0" fontId="13" fillId="5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9" fontId="8" fillId="0" borderId="1" applyAlignment="1" pivotButton="0" quotePrefix="0" xfId="0">
      <alignment horizontal="general" vertical="bottom"/>
    </xf>
    <xf numFmtId="164" fontId="8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general" vertical="center"/>
    </xf>
    <xf numFmtId="3" fontId="8" fillId="6" borderId="1" applyAlignment="1" pivotButton="0" quotePrefix="0" xfId="0">
      <alignment horizontal="right" vertical="center"/>
    </xf>
    <xf numFmtId="4" fontId="8" fillId="6" borderId="1" applyAlignment="1" pivotButton="0" quotePrefix="0" xfId="0">
      <alignment horizontal="right" vertical="bottom"/>
    </xf>
    <xf numFmtId="4" fontId="8" fillId="5" borderId="1" applyAlignment="1" pivotButton="0" quotePrefix="0" xfId="0">
      <alignment horizontal="right" vertical="bottom"/>
    </xf>
    <xf numFmtId="0" fontId="8" fillId="0" borderId="1" applyAlignment="1" pivotButton="0" quotePrefix="0" xfId="0">
      <alignment horizontal="general" vertical="bottom"/>
    </xf>
    <xf numFmtId="0" fontId="15" fillId="4" borderId="1" applyAlignment="1" pivotButton="0" quotePrefix="0" xfId="0">
      <alignment horizontal="general" vertical="center"/>
    </xf>
    <xf numFmtId="0" fontId="15" fillId="4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right" vertical="center"/>
    </xf>
    <xf numFmtId="4" fontId="8" fillId="5" borderId="1" applyAlignment="1" pivotButton="0" quotePrefix="0" xfId="0">
      <alignment horizontal="right" vertical="center"/>
    </xf>
    <xf numFmtId="1" fontId="8" fillId="6" borderId="1" applyAlignment="1" pivotButton="0" quotePrefix="0" xfId="0">
      <alignment horizontal="right" vertical="center"/>
    </xf>
    <xf numFmtId="0" fontId="17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general" vertical="center"/>
    </xf>
    <xf numFmtId="0" fontId="10" fillId="8" borderId="1" applyAlignment="1" pivotButton="0" quotePrefix="0" xfId="0">
      <alignment horizontal="center" vertical="center"/>
    </xf>
    <xf numFmtId="164" fontId="10" fillId="8" borderId="1" applyAlignment="1" pivotButton="0" quotePrefix="0" xfId="0">
      <alignment horizontal="center" vertical="center"/>
    </xf>
    <xf numFmtId="3" fontId="10" fillId="8" borderId="1" applyAlignment="1" pivotButton="0" quotePrefix="0" xfId="0">
      <alignment horizontal="right" vertical="center"/>
    </xf>
    <xf numFmtId="4" fontId="10" fillId="8" borderId="1" applyAlignment="1" pivotButton="0" quotePrefix="0" xfId="0">
      <alignment horizontal="right" vertical="center"/>
    </xf>
    <xf numFmtId="1" fontId="10" fillId="8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general" vertical="bottom"/>
    </xf>
    <xf numFmtId="3" fontId="12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3" fontId="12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2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FF9E6"/>
          <bgColor rgb="FF000000"/>
        </patternFill>
      </fill>
    </dxf>
    <dxf>
      <fill>
        <patternFill patternType="solid">
          <fgColor rgb="FF37352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F7F7F5"/>
          <bgColor rgb="FF000000"/>
        </patternFill>
      </fill>
    </dxf>
    <dxf>
      <fill>
        <patternFill patternType="solid">
          <fgColor rgb="FF8C8A84"/>
          <bgColor rgb="FF000000"/>
        </patternFill>
      </fill>
    </dxf>
    <dxf>
      <fill>
        <patternFill patternType="solid">
          <fgColor rgb="FF1F4E5F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E8F5E9"/>
        </patternFill>
      </fill>
    </dxf>
    <dxf>
      <fill>
        <patternFill>
          <bgColor rgb="FFFDEDE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D46"/>
      <rgbColor rgb="FFB7B7B7"/>
      <rgbColor rgb="FF8C8A84"/>
      <rgbColor rgb="FF9999FF"/>
      <rgbColor rgb="FF993366"/>
      <rgbColor rgb="FFFFF9DB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7F5"/>
      <rgbColor rgb="FFFDEDEC"/>
      <rgbColor rgb="FFFFF9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820A"/>
      <rgbColor rgb="FFFF6600"/>
      <rgbColor rgb="FF666699"/>
      <rgbColor rgb="FF969696"/>
      <rgbColor rgb="FF1B2A4A"/>
      <rgbColor rgb="FF339966"/>
      <rgbColor rgb="FF003300"/>
      <rgbColor rgb="FF333300"/>
      <rgbColor rgb="FFC0392B"/>
      <rgbColor rgb="FF993366"/>
      <rgbColor rgb="FF1F4E5F"/>
      <rgbColor rgb="FF37352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omments/comment1.xml><?xml version="1.0" encoding="utf-8"?>
<comments xmlns="http://schemas.openxmlformats.org/spreadsheetml/2006/main">
  <authors>
    <author>Unknown Author</author>
  </authors>
  <commentList>
    <comment ref="H4" authorId="0" shapeId="0">
      <text>
        <t>Yes when the day was thin-traded and prices reference the previous high-volume day (record on every form, Methodology 3.2).</t>
      </text>
    </comment>
    <comment ref="I4" authorId="0" shapeId="0">
      <text>
        <t>How many Forms A/B/R were completed this session (all three trader types combined).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H4" authorId="0" shapeId="0">
      <text>
        <t>Q A-1: quantity of marine fish handled per day, as quoted (maund or kg).</t>
      </text>
    </comment>
    <comment ref="O4" authorId="0" shapeId="0">
      <text>
        <t>Q A-2: commission taken per Lot, per Kg, or as Percent - enter rate accordingly in Commission_rate.</t>
      </text>
    </comment>
    <comment ref="Q4" authorId="0" shapeId="0">
      <text>
        <t>বিদ্যুৎ বিল (অ-২, পেপার ফর্ম A)</t>
      </text>
    </comment>
    <comment ref="U4" authorId="0" shapeId="0">
      <text>
        <t>যন্ত্রাংশ/কুল/বাজার রক্ষণাবেক্ষণ খরচ (অ-২)</t>
      </text>
    </comment>
    <comment ref="Y4" authorId="0" shapeId="0">
      <text>
        <t>Q A-4: enter 0-100, e.g. 70 = 70% of turnover.</t>
      </text>
    </comment>
    <comment ref="AF4" authorId="0" shapeId="0">
      <text>
        <t>Same code as the linked buyer/seller row (Methodology 3.3.4).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K4" authorId="0" shapeId="0">
      <text>
        <t>Q B-2: district(s), upazila and main markets where fish is bought, e.g. 'Cox's Bazar, Chakaria, Bangla Bazar'.</t>
      </text>
    </comment>
    <comment ref="N4" authorId="0" shapeId="0">
      <text>
        <t>Q B-2: trips completed per day with this consignment pattern.</t>
      </text>
    </comment>
    <comment ref="P4" authorId="0" shapeId="0">
      <text>
        <t>পেপার ফর্ম B (রে-২): প্রতি ট্রিপে ভাড়া + ট্রিপের হার — এখানে শুধু প্রতি-ট্রিপ ভাড়া লিখুন; পরের দুই কলামে ট্রিপের হার লিখুন।</t>
      </text>
    </comment>
    <comment ref="Q4" authorId="0" shapeId="0">
      <text>
        <t>প্রতি কত দিনে ট্রিপ হয় (যেমন 'প্রতি ৩ দিনে ২ ট্রিপ' হলে এখানে ৩)।</t>
      </text>
    </comment>
    <comment ref="R4" authorId="0" shapeId="0">
      <text>
        <t>উপরের Trip_frequency_days সময়কালে কয়টি ট্রিপ (যেমন 'প্রতি ৩ দিনে ২ ট্রিপ' হলে এখানে ২)।</t>
      </text>
    </comment>
    <comment ref="S4" authorId="0" shapeId="0">
      <text>
        <t>পেপার ফর্মে 'মাল ওঠা-নামার খরচ' একটাই ঘর (লোডিং ও আনলোডিং একসাথে) — আলাদা করবেন না।</t>
      </text>
    </comment>
    <comment ref="T4" authorId="0" shapeId="0">
      <text>
        <t>Q B-2: spoilage/death loss in transit, 0-100.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I4" authorId="0" shapeId="0">
      <text>
        <t>Q R-2: stall or van space rent per month (convert weekly quotes x4).</t>
      </text>
    </comment>
    <comment ref="L4" authorId="0" shapeId="0">
      <text>
        <t>পেপার ফর্ম R (র-২): সবগুলো খরচ প্রতিদিনের ভিত্তিতে (৳/দিন), মাসিক নয়।</t>
      </text>
    </comment>
    <comment ref="M4" authorId="0" shapeId="0">
      <text>
        <t>Q R-3: quantity handled per day, as quoted (maund or kg).</t>
      </text>
    </comment>
    <comment ref="V4" authorId="0" shapeId="0">
      <text>
        <t>Q R-7: Almost_all / Some / No.</t>
      </text>
    </comment>
  </commentList>
</comments>
</file>

<file path=xl/comments/comment5.xml><?xml version="1.0" encoding="utf-8"?>
<comments xmlns="http://schemas.openxmlformats.org/spreadsheetml/2006/main">
  <authors>
    <author>Unknown Author</author>
  </authors>
  <commentList>
    <comment ref="H4" authorId="0" shapeId="0">
      <text>
        <t>For daily buyers write 1; for weekly buyers write the gap in days.</t>
      </text>
    </comment>
    <comment ref="I4" authorId="0" shapeId="0">
      <text>
        <t>Q C-3: how payment for today's purchase was made.</t>
      </text>
    </comment>
    <comment ref="J4" authorId="0" shapeId="0">
      <text>
        <t>Q C-4: single main reason for buying at this arat.</t>
      </text>
    </comment>
    <comment ref="K4" authorId="0" shapeId="0">
      <text>
        <t>Same code as the retailer row when the seller was also interviewed.</t>
      </text>
    </comment>
  </commentList>
</comments>
</file>

<file path=xl/comments/comment6.xml><?xml version="1.0" encoding="utf-8"?>
<comments xmlns="http://schemas.openxmlformats.org/spreadsheetml/2006/main">
  <authors>
    <author>Unknown Author</author>
  </authors>
  <commentList>
    <comment ref="G4" authorId="0" shapeId="0">
      <text>
        <t>Aratdar: incoming price (what fisherman/bepari receives). Bepari/Retailer: own purchase price. Flags K/D/'-' allowed.</t>
      </text>
    </comment>
    <comment ref="H4" authorId="0" shapeId="0">
      <text>
        <t>Aratdar: outgoing price (what fariya/buyer pays). Bepari/Retailer: own sale price. K = not sold today, D = declined.</t>
      </text>
    </comment>
    <comment ref="I4" authorId="0" shapeId="0">
      <text>
        <t>Unit of BOTH raw prices AND raw quantity in this row (maund or kg).</t>
      </text>
    </comment>
    <comment ref="L4" authorId="0" shapeId="0">
      <text>
        <t>Usual quantity handled of this species, as quoted.</t>
      </text>
    </comment>
    <comment ref="O4" authorId="0" shapeId="0">
      <text>
        <t>Same code as the linked counterparty row (buyer-seller match).</t>
      </text>
    </comment>
  </commentList>
</comments>
</file>

<file path=xl/comments/comment7.xml><?xml version="1.0" encoding="utf-8"?>
<comments xmlns="http://schemas.openxmlformats.org/spreadsheetml/2006/main">
  <authors>
    <author>Unknown Author</author>
  </authors>
  <commentList>
    <comment ref="E4" authorId="0" shapeId="0">
      <text>
        <t>Yes = ticked species on Form C; No = species shown but not bought today.</t>
      </text>
    </comment>
    <comment ref="G4" authorId="0" shapeId="0">
      <text>
        <t>Price paid per kg or per maund as the buyer stated it; pick the unit in the next column.</t>
      </text>
    </comment>
  </commentList>
</comments>
</file>

<file path=xl/comments/comment8.xml><?xml version="1.0" encoding="utf-8"?>
<comments xmlns="http://schemas.openxmlformats.org/spreadsheetml/2006/main">
  <authors>
    <author>Unknown Author</author>
  </authors>
  <commentList>
    <comment ref="F4" authorId="0" shapeId="0">
      <text>
        <t>Item 2: e.g. '6:00-14:00'.</t>
      </text>
    </comment>
    <comment ref="G4" authorId="0" shapeId="0">
      <text>
        <t>Item 3: approximate retail stall/van count (verbal count is acceptable - note it in Evidence_source_note).</t>
      </text>
    </comment>
    <comment ref="M4" authorId="0" shapeId="0">
      <text>
        <t>Item 9: nearby ice factory/tank; give distance in Ice_distance_note.</t>
      </text>
    </comment>
    <comment ref="Q4" authorId="0" shapeId="0">
      <text>
        <t>Item 12: who collects aratdar fees/committee toll; give rate in Fee_rate_note.</t>
      </text>
    </comment>
    <comment ref="U4" authorId="0" shapeId="0">
      <text>
        <t>Mark each item Direct_observation or Verbal (committee/elder shopkeeper); add GPS + 2-3 photos per visit.</t>
      </text>
    </comment>
  </commentList>
</comments>
</file>

<file path=xl/comments/comment9.xml><?xml version="1.0" encoding="utf-8"?>
<comments xmlns="http://schemas.openxmlformats.org/spreadsheetml/2006/main">
  <authors>
    <author>Unknown Author</author>
  </authors>
  <commentList>
    <comment ref="F4" authorId="0" shapeId="0">
      <text>
        <t>Any species on display (40-50 possible per visit), spelled as spoken; no code needed.</t>
      </text>
    </comment>
    <comment ref="G4" authorId="0" shapeId="0">
      <text>
        <t>Displayed or spoken asking price as seen on the tag.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D42"/>
  <sheetViews>
    <sheetView showFormulas="0" showGridLines="0" showRowColHeaders="1" showZeros="1" rightToLeft="0" tabSelected="0" showOutlineSymbols="1" defaultGridColor="1" view="normal" topLeftCell="A31" colorId="64" zoomScale="100" zoomScaleNormal="100" zoomScalePageLayoutView="100" workbookViewId="0">
      <selection pane="topLeft" activeCell="A1" activeCellId="0" sqref="A1"/>
    </sheetView>
  </sheetViews>
  <sheetFormatPr baseColWidth="8" defaultColWidth="8.6328125" defaultRowHeight="15" zeroHeight="0" outlineLevelRow="0"/>
  <cols>
    <col width="3" customWidth="1" style="44" min="1" max="1"/>
    <col width="34" customWidth="1" style="44" min="2" max="2"/>
    <col width="92" customWidth="1" style="44" min="3" max="3"/>
    <col width="8" customWidth="1" style="44" min="4" max="4"/>
  </cols>
  <sheetData>
    <row r="2" ht="31.5" customHeight="1" s="45">
      <c r="B2" s="46" t="inlineStr">
        <is>
          <t>Marine Fish Marketing Survey - Data Entry Workbook</t>
        </is>
      </c>
      <c r="C2" s="47" t="n"/>
      <c r="D2" s="48" t="n"/>
    </row>
    <row r="3" ht="7.5" customHeight="1" s="45">
      <c r="B3" s="49" t="inlineStr">
        <is>
          <t>MS-499 term paper - marketing system of commercially important marine fish species, Chattogram region. Fill only YELLOW cells; BLUE columns calculate themselves; GREY cells are prefilled codes.</t>
        </is>
      </c>
      <c r="C3" s="50" t="n"/>
      <c r="D3" s="50" t="n"/>
    </row>
    <row r="4" ht="15" customHeight="1" s="45">
      <c r="B4" s="50" t="n"/>
      <c r="C4" s="50" t="n"/>
      <c r="D4" s="50" t="n"/>
    </row>
    <row r="5" ht="15" customHeight="1" s="45">
      <c r="B5" s="51" t="inlineStr">
        <is>
          <t>1. Sheet map</t>
        </is>
      </c>
      <c r="C5" s="50" t="n"/>
      <c r="D5" s="50" t="n"/>
    </row>
    <row r="6" ht="30" customHeight="1" s="45">
      <c r="B6" s="52" t="inlineStr">
        <is>
          <t>Progress_Dashboard</t>
        </is>
      </c>
      <c r="C6" s="53" t="inlineStr">
        <is>
          <t>Collected vs target counts per market and actor class - updates by itself, never type here.</t>
        </is>
      </c>
      <c r="D6" s="50" t="n"/>
    </row>
    <row r="7" ht="30" customHeight="1" s="45">
      <c r="B7" s="52" t="inlineStr">
        <is>
          <t>Data_Collection_Log</t>
        </is>
      </c>
      <c r="C7" s="53" t="inlineStr">
        <is>
          <t>One row per field visit: date, market, collector, session, reference-day flag, interviews done.</t>
        </is>
      </c>
      <c r="D7" s="50" t="n"/>
    </row>
    <row r="8" ht="30" customHeight="1" s="45">
      <c r="B8" s="52" t="inlineStr">
        <is>
          <t>Unit_Converter</t>
        </is>
      </c>
      <c r="C8" s="53" t="inlineStr">
        <is>
          <t>Type a maund value and read kilograms (and the reverse) using 1 maund = 37.32 kg.</t>
        </is>
      </c>
      <c r="D8" s="50" t="n"/>
    </row>
    <row r="9" ht="30" customHeight="1" s="45">
      <c r="B9" s="52" t="inlineStr">
        <is>
          <t>Codebook_Species / Codebook_Markets</t>
        </is>
      </c>
      <c r="C9" s="53" t="inlineStr">
        <is>
          <t>Official codes S01-S10 and M1-M6. Use codes everywhere; keep these sheets unchanged.</t>
        </is>
      </c>
      <c r="D9" s="50" t="n"/>
    </row>
    <row r="10" ht="30" customHeight="1" s="45">
      <c r="B10" s="52" t="inlineStr">
        <is>
          <t>Form_A_Aratdar / Form_B_Bepari_Faria / Form_R_Khuchra</t>
        </is>
      </c>
      <c r="C10" s="53" t="inlineStr">
        <is>
          <t>Trader questionnaires - one respondent per row, IDs already assigned (M1-A-01 ... M6-C-06).</t>
        </is>
      </c>
      <c r="D10" s="50" t="n"/>
    </row>
    <row r="11" ht="30" customHeight="1" s="45">
      <c r="B11" s="52" t="inlineStr">
        <is>
          <t>Form_C_Consumer</t>
        </is>
      </c>
      <c r="C11" s="53" t="inlineStr">
        <is>
          <t>Exit-intercept consumer slips - one respondent per row.</t>
        </is>
      </c>
      <c r="D11" s="50" t="n"/>
    </row>
    <row r="12" ht="30" customHeight="1" s="45">
      <c r="B12" s="52" t="inlineStr">
        <is>
          <t>Price_Observations</t>
        </is>
      </c>
      <c r="C12" s="53" t="inlineStr">
        <is>
          <t>CORE dataset: one row per respondent x species quote (buy and sell price, quantity). This sheet feeds the R analysis.</t>
        </is>
      </c>
      <c r="D12" s="50" t="n"/>
    </row>
    <row r="13" ht="30" customHeight="1" s="45">
      <c r="B13" s="52" t="inlineStr">
        <is>
          <t>Consumer_Purchases_Focal / Consumer_Other_Fish</t>
        </is>
      </c>
      <c r="C13" s="53" t="inlineStr">
        <is>
          <t>Form C species grid and 'any other fish bought' answers, long format.</t>
        </is>
      </c>
      <c r="D13" s="50" t="n"/>
    </row>
    <row r="14" ht="30" customHeight="1" s="45">
      <c r="B14" s="52" t="inlineStr">
        <is>
          <t>Form_M_Market_Observation</t>
        </is>
      </c>
      <c r="C14" s="53" t="inlineStr">
        <is>
          <t>One row per market - the 12-item infrastructure checklist with evidence source.</t>
        </is>
      </c>
      <c r="D14" s="50" t="n"/>
    </row>
    <row r="15" ht="30" customHeight="1" s="45">
      <c r="B15" s="52" t="inlineStr">
        <is>
          <t>Tag_Price_Sheet</t>
        </is>
      </c>
      <c r="C15" s="53" t="inlineStr">
        <is>
          <t>Optional displayed-price log (appendix only, not used in hypothesis tests).</t>
        </is>
      </c>
      <c r="D15" s="50" t="n"/>
    </row>
    <row r="16" ht="30" customHeight="1" s="45">
      <c r="B16" s="52" t="inlineStr">
        <is>
          <t>QC_Check</t>
        </is>
      </c>
      <c r="C16" s="53" t="inlineStr">
        <is>
          <t>Automatic quality flags: duplicates, % sums, missing units, PairID linkage. Review after every entry session.</t>
        </is>
      </c>
      <c r="D16" s="50" t="n"/>
    </row>
    <row r="17" ht="15" customHeight="1" s="45">
      <c r="B17" s="50" t="n"/>
      <c r="C17" s="50" t="n"/>
      <c r="D17" s="50" t="n"/>
    </row>
    <row r="18" ht="15" customHeight="1" s="45">
      <c r="B18" s="51" t="inlineStr">
        <is>
          <t>2. Price-cell flags (all price columns)</t>
        </is>
      </c>
      <c r="C18" s="50" t="n"/>
      <c r="D18" s="50" t="n"/>
    </row>
    <row r="19" ht="30" customHeight="1" s="45">
      <c r="B19" s="52" t="inlineStr">
        <is>
          <t>Number (e.g. 850)</t>
        </is>
      </c>
      <c r="C19" s="53" t="inlineStr">
        <is>
          <t>BDT price under today's fresh, ice-touched, whole-fish condition.</t>
        </is>
      </c>
      <c r="D19" s="50" t="n"/>
    </row>
    <row r="20" ht="30" customHeight="1" s="45">
      <c r="B20" s="52" t="inlineStr">
        <is>
          <t>K</t>
        </is>
      </c>
      <c r="C20" s="53" t="inlineStr">
        <is>
          <t>Respondent did not handle this species today.</t>
        </is>
      </c>
      <c r="D20" s="50" t="n"/>
    </row>
    <row r="21" ht="30" customHeight="1" s="45">
      <c r="B21" s="52" t="inlineStr">
        <is>
          <t>D</t>
        </is>
      </c>
      <c r="C21" s="53" t="inlineStr">
        <is>
          <t>Respondent declined to disclose the price.</t>
        </is>
      </c>
      <c r="D21" s="50" t="n"/>
    </row>
    <row r="22" ht="30" customHeight="1" s="45">
      <c r="B22" s="52" t="inlineStr">
        <is>
          <t>0 and '-'</t>
        </is>
      </c>
      <c r="C22" s="53" t="inlineStr">
        <is>
          <t>0 = true zero (rare); '-' = not applicable. Never leave a species cell empty.</t>
        </is>
      </c>
      <c r="D22" s="50" t="n"/>
    </row>
    <row r="23" ht="15" customHeight="1" s="45">
      <c r="B23" s="50" t="n"/>
      <c r="C23" s="50" t="n"/>
      <c r="D23" s="50" t="n"/>
    </row>
    <row r="24" ht="15" customHeight="1" s="45">
      <c r="B24" s="51" t="inlineStr">
        <is>
          <t>3. Units, IDs and percentages</t>
        </is>
      </c>
      <c r="C24" s="50" t="n"/>
      <c r="D24" s="50" t="n"/>
    </row>
    <row r="25" ht="30" customHeight="1" s="45">
      <c r="B25" s="52" t="inlineStr">
        <is>
          <t>Units</t>
        </is>
      </c>
      <c r="C25" s="53" t="inlineStr">
        <is>
          <t>Enter the price exactly as quoted (Raw) and pick the unit. Traders usually quote per MAUND (1 maund = 37.32 kg), consumers per KG. The BLUE BDT_per_kg columns convert automatically - do not type in them.</t>
        </is>
      </c>
      <c r="D25" s="50" t="n"/>
    </row>
    <row r="26" ht="30" customHeight="1" s="45">
      <c r="B26" s="52" t="inlineStr">
        <is>
          <t>Respondent_ID</t>
        </is>
      </c>
      <c r="C26" s="53" t="inlineStr">
        <is>
          <t>Prefilled: {Market}-{Actor}-{Serial}, e.g. M1-A-01, M2-B-05, M3-R-12, M4-C-03. Actor codes: A = aratdar, B = bepari/faria, R = khuchra retailer, C = consumer.</t>
        </is>
      </c>
      <c r="D26" s="50" t="n"/>
    </row>
    <row r="27" ht="30" customHeight="1" s="45">
      <c r="B27" s="52" t="inlineStr">
        <is>
          <t>Pair_ID</t>
        </is>
      </c>
      <c r="C27" s="53" t="inlineStr">
        <is>
          <t>When a buyer and the matching seller are BOTH interviewed, write the same Pair_ID (e.g. PAIR-001) on both rows. Used for the Wilcoxon signed-rank consistency check.</t>
        </is>
      </c>
      <c r="D27" s="50" t="n"/>
    </row>
    <row r="28" ht="30" customHeight="1" s="45">
      <c r="B28" s="52" t="inlineStr">
        <is>
          <t>Percent columns</t>
        </is>
      </c>
      <c r="C28" s="53" t="inlineStr">
        <is>
          <t>Enter plain numbers 0-100 (70 means 70%). Cash + MFS + Credit should sum to 100 - QC_Check flags mismatches.</t>
        </is>
      </c>
      <c r="D28" s="50" t="n"/>
    </row>
    <row r="29" ht="15" customHeight="1" s="45">
      <c r="B29" s="50" t="n"/>
      <c r="C29" s="50" t="n"/>
      <c r="D29" s="50" t="n"/>
    </row>
    <row r="30" ht="15" customHeight="1" s="45">
      <c r="B30" s="51" t="inlineStr">
        <is>
          <t>4. Example entries (illustrations only - do not paste)</t>
        </is>
      </c>
      <c r="C30" s="50" t="n"/>
      <c r="D30" s="50" t="n"/>
    </row>
    <row r="31" ht="30" customHeight="1" s="45">
      <c r="B31" s="52" t="inlineStr">
        <is>
          <t>Form_A row:</t>
        </is>
      </c>
      <c r="C31" s="53" t="inlineStr">
        <is>
          <t>M1-A-01 | M1 | 05/03/2026 | age 46 | Secondary | 18 yrs business | 12 Maund/day | family 6 | rent: Pay, 48000 Yearly | commission: 2.5 Percent | waste 500 Monthly | 6 workers x 700 BDT | storage 2500 Yearly | payment 85 / 10 / 5 | MFS: Regular | problems: ice price, toll, unsold loss</t>
        </is>
      </c>
      <c r="D31" s="50" t="n"/>
    </row>
    <row r="32" ht="43.5" customHeight="1" s="45">
      <c r="B32" s="52" t="inlineStr">
        <is>
          <t>Price_Observations rows:</t>
        </is>
      </c>
      <c r="C32" s="53" t="inlineStr">
        <is>
          <t>PO-0001 | M1-A-01 | M1 | Aratdar | S01 | buy 32000 Maund, sell 33500 Maund -&gt; auto 857.45 / 897.64 BDT/kg | qty 8 Maund
PO-0002 | M3-R-04 | M3 | Retailer | S06 | buy 240 Kg, sell K (no sale today) | qty 15 Kg</t>
        </is>
      </c>
      <c r="D32" s="50" t="n"/>
    </row>
    <row r="33" ht="15" customHeight="1" s="45">
      <c r="B33" s="50" t="n"/>
      <c r="C33" s="50" t="n"/>
      <c r="D33" s="50" t="n"/>
    </row>
    <row r="34" ht="14.25" customHeight="1" s="45">
      <c r="B34" s="54" t="inlineStr">
        <is>
          <t>Version 2026-08 | Built for the Methodology V4 instrument battery (Forms A, B, R, M, C + optional tag-price sheet).</t>
        </is>
      </c>
      <c r="C34" s="50" t="n"/>
      <c r="D34" s="50" t="n"/>
    </row>
    <row r="35" ht="15" customHeight="1" s="45">
      <c r="B35" s="50" t="n"/>
      <c r="C35" s="50" t="n"/>
      <c r="D35" s="50" t="n"/>
    </row>
    <row r="36" ht="15" customHeight="1" s="45">
      <c r="B36" s="55" t="inlineStr">
        <is>
          <t>সংস্করণ ২ (আপডেট) — ফর্ম-নির্ভুল পরিবর্তন</t>
        </is>
      </c>
      <c r="C36" s="50" t="n"/>
      <c r="D36" s="50" t="n"/>
    </row>
    <row r="37" ht="30" customHeight="1" s="45">
      <c r="B37" s="50" t="n"/>
      <c r="C37" s="56" t="inlineStr">
        <is>
          <t>Form_A: বিদ্যুৎ বিল (Electricity_bill_BDT) ও যন্ত্রাংশ/কুল রক্ষণাবেক্ষণ (Equipment_Cooler_Maintenance_BDT) কলাম সঠিক নামে ঠিক করা হয়েছে।</t>
        </is>
      </c>
      <c r="D37" s="50" t="n"/>
    </row>
    <row r="38" ht="30" customHeight="1" s="45">
      <c r="B38" s="50" t="n"/>
      <c r="C38" s="56" t="inlineStr">
        <is>
          <t>Form_B: দৈনিক হ্যান্ডেল (কেজি/দিন) কলাম যোগ হয়েছে (আগে বাদ ছিল); লোডিং+আনলোডিং খরচ একটি কলামে মেশানো হয়েছে; পরিবহন ভাড়া এখন "প্রতি ট্রিপ" ভিত্তিতে + ট্রিপের হার (প্রতি কত দিনে কয় ট্রিপ); Transport_mode কলাম বাদ দেওয়া হয়েছে (মূল ফর্মে নেই)।</t>
        </is>
      </c>
      <c r="D38" s="50" t="n"/>
    </row>
    <row r="39" ht="30" customHeight="1" s="45">
      <c r="B39" s="50" t="n"/>
      <c r="C39" s="56" t="inlineStr">
        <is>
          <t>Form_R: দোকান ভাড়া/বরফ/ধোয়া-পানি খরচ এখন প্রতি-দিন (BDT/day) ভিত্তিতে, আগে ভুলবশত মাসিক ছিল।</t>
        </is>
      </c>
      <c r="D39" s="50" t="n"/>
    </row>
    <row r="40" ht="30" customHeight="1" s="45">
      <c r="B40" s="50" t="n"/>
      <c r="C40" s="56" t="inlineStr">
        <is>
          <t>Form_C: পেমেন্ট মেথড ও বাজার-পছন্দের কারণের অপশন তালিকা মূল ফর্মের সাথে হুবহু মেলানো হয়েছে (নগদ/বিকাশ/নগদ-অ্যাপ/বাকি; দাম/বৈচিত্র্য/নৈকট্য/বিশুদ্ধতা/পরিচিত দোকান)।</t>
        </is>
      </c>
      <c r="D40" s="50" t="n"/>
    </row>
    <row r="41" ht="30" customHeight="1" s="45">
      <c r="B41" s="50" t="n"/>
      <c r="C41" s="56" t="inlineStr">
        <is>
          <t>Consumer_Purchases_Focal ও Price_Observations: বিক্রেতা/actor তালিকা মূল ফর্মের ভাষার সাথে মেলানো হয়েছে (খুচরা/ফেরিওয়ালা; Khuchra)।</t>
        </is>
      </c>
      <c r="D41" s="50" t="n"/>
    </row>
    <row r="42" ht="30" customHeight="1" s="45">
      <c r="B42" s="50" t="n"/>
      <c r="C42" s="56" t="inlineStr">
        <is>
          <t>Progress_Dashboard ও QC_Check-এর সূত্র নতুন কলাম-অবস্থান অনুযায়ী আপডেট করা হয়েছে — কিছু হাতে ঠিক করার দরকার নেই।</t>
        </is>
      </c>
      <c r="D42" s="50" t="n"/>
    </row>
  </sheetData>
  <mergeCells count="1">
    <mergeCell ref="B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H26"/>
  <sheetViews>
    <sheetView showFormulas="0" showGridLines="0" showRowColHeaders="1" showZeros="1" rightToLeft="0" tabSelected="1" showOutlineSymbols="1" defaultGridColor="1" view="normal" topLeftCell="A23" colorId="64" zoomScale="100" zoomScaleNormal="100" zoomScalePageLayoutView="100" workbookViewId="0">
      <selection pane="topLeft" activeCell="A1" activeCellId="0" sqref="A1"/>
    </sheetView>
  </sheetViews>
  <sheetFormatPr baseColWidth="8" defaultColWidth="8.6328125" defaultRowHeight="15" zeroHeight="0" outlineLevelRow="0"/>
  <cols>
    <col width="3" customWidth="1" style="44" min="1" max="1"/>
    <col width="10" customWidth="1" style="44" min="2" max="2"/>
    <col width="15" customWidth="1" style="44" min="3" max="3"/>
    <col width="17" customWidth="1" style="44" min="4" max="4"/>
    <col width="14" customWidth="1" style="44" min="5" max="6"/>
    <col width="17" customWidth="1" style="44" min="7" max="7"/>
    <col width="13" customWidth="1" style="44" min="8" max="8"/>
  </cols>
  <sheetData>
    <row r="2" ht="31.5" customHeight="1" s="45">
      <c r="B2" s="46" t="inlineStr">
        <is>
          <t>Field Progress Dashboard - target 120 respondents across 6 markets</t>
        </is>
      </c>
      <c r="C2" s="47" t="n"/>
      <c r="D2" s="47" t="n"/>
      <c r="E2" s="47" t="n"/>
      <c r="F2" s="47" t="n"/>
      <c r="G2" s="47" t="n"/>
      <c r="H2" s="48" t="n"/>
    </row>
    <row r="3" ht="7.5" customHeight="1" s="45">
      <c r="B3" s="49" t="inlineStr">
        <is>
          <t>Counts update automatically from the Interview_Date column of each form sheet. Never type in this sheet.</t>
        </is>
      </c>
      <c r="C3" s="50" t="n"/>
      <c r="D3" s="50" t="n"/>
      <c r="E3" s="50" t="n"/>
      <c r="F3" s="50" t="n"/>
      <c r="G3" s="50" t="n"/>
      <c r="H3" s="50" t="n"/>
    </row>
    <row r="4" ht="15" customHeight="1" s="45">
      <c r="B4" s="50" t="n"/>
      <c r="C4" s="50" t="n"/>
      <c r="D4" s="50" t="n"/>
      <c r="E4" s="50" t="n"/>
      <c r="F4" s="50" t="n"/>
      <c r="G4" s="50" t="n"/>
      <c r="H4" s="50" t="n"/>
    </row>
    <row r="5" ht="27.75" customHeight="1" s="45">
      <c r="B5" s="57" t="inlineStr">
        <is>
          <t>Market</t>
        </is>
      </c>
      <c r="C5" s="57" t="inlineStr">
        <is>
          <t>Aratdar (5)</t>
        </is>
      </c>
      <c r="D5" s="57" t="inlineStr">
        <is>
          <t>Bepari/Faria (5)</t>
        </is>
      </c>
      <c r="E5" s="57" t="inlineStr">
        <is>
          <t>Retailer (5)</t>
        </is>
      </c>
      <c r="F5" s="57" t="inlineStr">
        <is>
          <t>Consumer (5)</t>
        </is>
      </c>
      <c r="G5" s="57" t="inlineStr">
        <is>
          <t>Market total (20)</t>
        </is>
      </c>
      <c r="H5" s="57" t="inlineStr">
        <is>
          <t>Form M done</t>
        </is>
      </c>
    </row>
    <row r="6" ht="21.75" customHeight="1" s="45">
      <c r="B6" s="58" t="inlineStr">
        <is>
          <t>M1</t>
        </is>
      </c>
      <c r="C6" s="59">
        <f>COUNTIFS(Form_A_Aratdar!$C$5:$C$40,$B6,Form_A_Aratdar!$D$5:$D$40,"&lt;&gt;")</f>
        <v/>
      </c>
      <c r="D6" s="59">
        <f>COUNTIFS(Form_B_Bepari_Faria!$C$5:$C$40,$B6,Form_B_Bepari_Faria!$D$5:$D$40,"&lt;&gt;")</f>
        <v/>
      </c>
      <c r="E6" s="59">
        <f>COUNTIFS(Form_R_Khuchra!$C$5:$C$40,$B6,Form_R_Khuchra!$D$5:$D$40,"&lt;&gt;")</f>
        <v/>
      </c>
      <c r="F6" s="59">
        <f>COUNTIFS(Form_C_Consumer!$C$5:$C$40,$B6,Form_C_Consumer!$D$5:$D$40,"&lt;&gt;")</f>
        <v/>
      </c>
      <c r="G6" s="59">
        <f>SUM(C6:F6)</f>
        <v/>
      </c>
      <c r="H6" s="59">
        <f>IF(COUNTIFS(Form_M_Market_Observation!$B$5:$B$10,$B6,Form_M_Market_Observation!$D$5:$D$10,"&lt;&gt;")&gt;0,"Yes","No")</f>
        <v/>
      </c>
    </row>
    <row r="7" ht="21.75" customHeight="1" s="45">
      <c r="B7" s="60" t="inlineStr">
        <is>
          <t>M2</t>
        </is>
      </c>
      <c r="C7" s="61">
        <f>COUNTIFS(Form_A_Aratdar!$C$5:$C$40,$B7,Form_A_Aratdar!$D$5:$D$40,"&lt;&gt;")</f>
        <v/>
      </c>
      <c r="D7" s="61">
        <f>COUNTIFS(Form_B_Bepari_Faria!$C$5:$C$40,$B7,Form_B_Bepari_Faria!$D$5:$D$40,"&lt;&gt;")</f>
        <v/>
      </c>
      <c r="E7" s="61">
        <f>COUNTIFS(Form_R_Khuchra!$C$5:$C$40,$B7,Form_R_Khuchra!$D$5:$D$40,"&lt;&gt;")</f>
        <v/>
      </c>
      <c r="F7" s="61">
        <f>COUNTIFS(Form_C_Consumer!$C$5:$C$40,$B7,Form_C_Consumer!$D$5:$D$40,"&lt;&gt;")</f>
        <v/>
      </c>
      <c r="G7" s="61">
        <f>SUM(C7:F7)</f>
        <v/>
      </c>
      <c r="H7" s="61">
        <f>IF(COUNTIFS(Form_M_Market_Observation!$B$5:$B$10,$B7,Form_M_Market_Observation!$D$5:$D$10,"&lt;&gt;")&gt;0,"Yes","No")</f>
        <v/>
      </c>
    </row>
    <row r="8" ht="21.75" customHeight="1" s="45">
      <c r="B8" s="58" t="inlineStr">
        <is>
          <t>M3</t>
        </is>
      </c>
      <c r="C8" s="59">
        <f>COUNTIFS(Form_A_Aratdar!$C$5:$C$40,$B8,Form_A_Aratdar!$D$5:$D$40,"&lt;&gt;")</f>
        <v/>
      </c>
      <c r="D8" s="59">
        <f>COUNTIFS(Form_B_Bepari_Faria!$C$5:$C$40,$B8,Form_B_Bepari_Faria!$D$5:$D$40,"&lt;&gt;")</f>
        <v/>
      </c>
      <c r="E8" s="59">
        <f>COUNTIFS(Form_R_Khuchra!$C$5:$C$40,$B8,Form_R_Khuchra!$D$5:$D$40,"&lt;&gt;")</f>
        <v/>
      </c>
      <c r="F8" s="59">
        <f>COUNTIFS(Form_C_Consumer!$C$5:$C$40,$B8,Form_C_Consumer!$D$5:$D$40,"&lt;&gt;")</f>
        <v/>
      </c>
      <c r="G8" s="59">
        <f>SUM(C8:F8)</f>
        <v/>
      </c>
      <c r="H8" s="59">
        <f>IF(COUNTIFS(Form_M_Market_Observation!$B$5:$B$10,$B8,Form_M_Market_Observation!$D$5:$D$10,"&lt;&gt;")&gt;0,"Yes","No")</f>
        <v/>
      </c>
    </row>
    <row r="9" ht="21.75" customHeight="1" s="45">
      <c r="B9" s="60" t="inlineStr">
        <is>
          <t>M4</t>
        </is>
      </c>
      <c r="C9" s="61">
        <f>COUNTIFS(Form_A_Aratdar!$C$5:$C$40,$B9,Form_A_Aratdar!$D$5:$D$40,"&lt;&gt;")</f>
        <v/>
      </c>
      <c r="D9" s="61">
        <f>COUNTIFS(Form_B_Bepari_Faria!$C$5:$C$40,$B9,Form_B_Bepari_Faria!$D$5:$D$40,"&lt;&gt;")</f>
        <v/>
      </c>
      <c r="E9" s="61">
        <f>COUNTIFS(Form_R_Khuchra!$C$5:$C$40,$B9,Form_R_Khuchra!$D$5:$D$40,"&lt;&gt;")</f>
        <v/>
      </c>
      <c r="F9" s="61">
        <f>COUNTIFS(Form_C_Consumer!$C$5:$C$40,$B9,Form_C_Consumer!$D$5:$D$40,"&lt;&gt;")</f>
        <v/>
      </c>
      <c r="G9" s="61">
        <f>SUM(C9:F9)</f>
        <v/>
      </c>
      <c r="H9" s="61">
        <f>IF(COUNTIFS(Form_M_Market_Observation!$B$5:$B$10,$B9,Form_M_Market_Observation!$D$5:$D$10,"&lt;&gt;")&gt;0,"Yes","No")</f>
        <v/>
      </c>
    </row>
    <row r="10" ht="21.75" customHeight="1" s="45">
      <c r="B10" s="58" t="inlineStr">
        <is>
          <t>M5</t>
        </is>
      </c>
      <c r="C10" s="59">
        <f>COUNTIFS(Form_A_Aratdar!$C$5:$C$40,$B10,Form_A_Aratdar!$D$5:$D$40,"&lt;&gt;")</f>
        <v/>
      </c>
      <c r="D10" s="59">
        <f>COUNTIFS(Form_B_Bepari_Faria!$C$5:$C$40,$B10,Form_B_Bepari_Faria!$D$5:$D$40,"&lt;&gt;")</f>
        <v/>
      </c>
      <c r="E10" s="59">
        <f>COUNTIFS(Form_R_Khuchra!$C$5:$C$40,$B10,Form_R_Khuchra!$D$5:$D$40,"&lt;&gt;")</f>
        <v/>
      </c>
      <c r="F10" s="59">
        <f>COUNTIFS(Form_C_Consumer!$C$5:$C$40,$B10,Form_C_Consumer!$D$5:$D$40,"&lt;&gt;")</f>
        <v/>
      </c>
      <c r="G10" s="59">
        <f>SUM(C10:F10)</f>
        <v/>
      </c>
      <c r="H10" s="59">
        <f>IF(COUNTIFS(Form_M_Market_Observation!$B$5:$B$10,$B10,Form_M_Market_Observation!$D$5:$D$10,"&lt;&gt;")&gt;0,"Yes","No")</f>
        <v/>
      </c>
    </row>
    <row r="11" ht="21.75" customHeight="1" s="45">
      <c r="B11" s="60" t="inlineStr">
        <is>
          <t>M6</t>
        </is>
      </c>
      <c r="C11" s="61">
        <f>COUNTIFS(Form_A_Aratdar!$C$5:$C$40,$B11,Form_A_Aratdar!$D$5:$D$40,"&lt;&gt;")</f>
        <v/>
      </c>
      <c r="D11" s="61">
        <f>COUNTIFS(Form_B_Bepari_Faria!$C$5:$C$40,$B11,Form_B_Bepari_Faria!$D$5:$D$40,"&lt;&gt;")</f>
        <v/>
      </c>
      <c r="E11" s="61">
        <f>COUNTIFS(Form_R_Khuchra!$C$5:$C$40,$B11,Form_R_Khuchra!$D$5:$D$40,"&lt;&gt;")</f>
        <v/>
      </c>
      <c r="F11" s="61">
        <f>COUNTIFS(Form_C_Consumer!$C$5:$C$40,$B11,Form_C_Consumer!$D$5:$D$40,"&lt;&gt;")</f>
        <v/>
      </c>
      <c r="G11" s="61">
        <f>SUM(C11:F11)</f>
        <v/>
      </c>
      <c r="H11" s="61">
        <f>IF(COUNTIFS(Form_M_Market_Observation!$B$5:$B$10,$B11,Form_M_Market_Observation!$D$5:$D$10,"&lt;&gt;")&gt;0,"Yes","No")</f>
        <v/>
      </c>
    </row>
    <row r="12" ht="25.5" customHeight="1" s="45">
      <c r="B12" s="62" t="inlineStr">
        <is>
          <t>TOTAL</t>
        </is>
      </c>
      <c r="C12" s="62">
        <f>SUM(C6:C11)</f>
        <v/>
      </c>
      <c r="D12" s="62">
        <f>SUM(D6:D11)</f>
        <v/>
      </c>
      <c r="E12" s="62">
        <f>SUM(E6:E11)</f>
        <v/>
      </c>
      <c r="F12" s="62">
        <f>SUM(F6:F11)</f>
        <v/>
      </c>
      <c r="G12" s="62">
        <f>SUM(G6:G11)</f>
        <v/>
      </c>
      <c r="H12" s="62">
        <f>IF(G12=120,"TARGET MET","In progress")</f>
        <v/>
      </c>
    </row>
    <row r="13" ht="15" customHeight="1" s="45">
      <c r="B13" s="50" t="n"/>
      <c r="C13" s="50" t="n"/>
      <c r="D13" s="50" t="n"/>
      <c r="E13" s="50" t="n"/>
      <c r="F13" s="50" t="n"/>
      <c r="G13" s="50" t="n"/>
      <c r="H13" s="50" t="n"/>
    </row>
    <row r="14" ht="15" customHeight="1" s="45">
      <c r="B14" s="51" t="inlineStr">
        <is>
          <t>Dataset progress</t>
        </is>
      </c>
      <c r="C14" s="50" t="n"/>
      <c r="D14" s="50" t="n"/>
      <c r="E14" s="50" t="n"/>
      <c r="F14" s="50" t="n"/>
      <c r="G14" s="50" t="n"/>
      <c r="H14" s="50" t="n"/>
    </row>
    <row r="15" ht="14.25" customHeight="1" s="45">
      <c r="B15" s="52" t="inlineStr">
        <is>
          <t>Interviews entered (of 120)</t>
        </is>
      </c>
      <c r="C15" s="63">
        <f>G12</f>
        <v/>
      </c>
      <c r="D15" s="50" t="n"/>
      <c r="E15" s="50" t="n"/>
      <c r="F15" s="50" t="n"/>
      <c r="G15" s="50" t="n"/>
      <c r="H15" s="50" t="n"/>
    </row>
    <row r="16" ht="14.25" customHeight="1" s="45">
      <c r="B16" s="52" t="inlineStr">
        <is>
          <t>Target reached (%)</t>
        </is>
      </c>
      <c r="C16" s="64">
        <f>G12/120</f>
        <v/>
      </c>
      <c r="D16" s="50" t="n"/>
      <c r="E16" s="50" t="n"/>
      <c r="F16" s="50" t="n"/>
      <c r="G16" s="50" t="n"/>
      <c r="H16" s="50" t="n"/>
    </row>
    <row r="17" ht="14.25" customHeight="1" s="45">
      <c r="B17" s="52" t="inlineStr">
        <is>
          <t>Price_Observations rows entered</t>
        </is>
      </c>
      <c r="C17" s="63">
        <f>COUNTIF(Price_Observations!$C$5:$C$504,"&lt;&gt;")</f>
        <v/>
      </c>
      <c r="D17" s="50" t="n"/>
      <c r="E17" s="50" t="n"/>
      <c r="F17" s="50" t="n"/>
      <c r="G17" s="50" t="n"/>
      <c r="H17" s="50" t="n"/>
    </row>
    <row r="18" ht="14.25" customHeight="1" s="45">
      <c r="B18" s="52" t="inlineStr">
        <is>
          <t xml:space="preserve">  of which Aratdar quotes</t>
        </is>
      </c>
      <c r="C18" s="63">
        <f>COUNTIF(Price_Observations!$E$5:$E$504,"Aratdar")</f>
        <v/>
      </c>
      <c r="D18" s="50" t="n"/>
      <c r="E18" s="50" t="n"/>
      <c r="F18" s="50" t="n"/>
      <c r="G18" s="50" t="n"/>
      <c r="H18" s="50" t="n"/>
    </row>
    <row r="19" ht="14.25" customHeight="1" s="45">
      <c r="B19" s="52" t="inlineStr">
        <is>
          <t xml:space="preserve">  of which Bepari/Faria quotes</t>
        </is>
      </c>
      <c r="C19" s="63">
        <f>COUNTIF(Price_Observations!$E$5:$E$504,"Bepari_Faria")</f>
        <v/>
      </c>
      <c r="D19" s="50" t="n"/>
      <c r="E19" s="50" t="n"/>
      <c r="F19" s="50" t="n"/>
      <c r="G19" s="50" t="n"/>
      <c r="H19" s="50" t="n"/>
    </row>
    <row r="20" ht="14.25" customHeight="1" s="45">
      <c r="B20" s="52" t="inlineStr">
        <is>
          <t xml:space="preserve">  of which Retailer quotes</t>
        </is>
      </c>
      <c r="C20" s="63">
        <f>COUNTIF(Price_Observations!$E$5:$E$504,"Khuchra")</f>
        <v/>
      </c>
      <c r="D20" s="50" t="n"/>
      <c r="E20" s="50" t="n"/>
      <c r="F20" s="50" t="n"/>
      <c r="G20" s="50" t="n"/>
      <c r="H20" s="50" t="n"/>
    </row>
    <row r="21" ht="14.25" customHeight="1" s="45">
      <c r="B21" s="52" t="inlineStr">
        <is>
          <t>Consumer_Purchases_Focal rows entered</t>
        </is>
      </c>
      <c r="C21" s="63">
        <f>COUNTIF(Consumer_Purchases_Focal!$B$5:$B$354,"&lt;&gt;")</f>
        <v/>
      </c>
      <c r="D21" s="50" t="n"/>
      <c r="E21" s="50" t="n"/>
      <c r="F21" s="50" t="n"/>
      <c r="G21" s="50" t="n"/>
      <c r="H21" s="50" t="n"/>
    </row>
    <row r="22" ht="14.25" customHeight="1" s="45">
      <c r="B22" s="52" t="inlineStr">
        <is>
          <t>Consumer_Other_Fish rows entered</t>
        </is>
      </c>
      <c r="C22" s="63">
        <f>COUNTIF(Consumer_Other_Fish!$B$5:$B$104,"&lt;&gt;")</f>
        <v/>
      </c>
      <c r="D22" s="50" t="n"/>
      <c r="E22" s="50" t="n"/>
      <c r="F22" s="50" t="n"/>
      <c r="G22" s="50" t="n"/>
      <c r="H22" s="50" t="n"/>
    </row>
    <row r="23" ht="14.25" customHeight="1" s="45">
      <c r="B23" s="52" t="inlineStr">
        <is>
          <t>Tag_Price_Sheet rows entered (optional)</t>
        </is>
      </c>
      <c r="C23" s="63">
        <f>COUNTIF(Tag_Price_Sheet!$C$5:$C$324,"&lt;&gt;")</f>
        <v/>
      </c>
      <c r="D23" s="50" t="n"/>
      <c r="E23" s="50" t="n"/>
      <c r="F23" s="50" t="n"/>
      <c r="G23" s="50" t="n"/>
      <c r="H23" s="50" t="n"/>
    </row>
    <row r="24" ht="14.25" customHeight="1" s="45">
      <c r="B24" s="52" t="inlineStr">
        <is>
          <t>Data_Collection_Log days used</t>
        </is>
      </c>
      <c r="C24" s="63">
        <f>COUNTIF(Data_Collection_Log!$B$5:$B$44,"&lt;&gt;")</f>
        <v/>
      </c>
      <c r="D24" s="50" t="n"/>
      <c r="E24" s="50" t="n"/>
      <c r="F24" s="50" t="n"/>
      <c r="G24" s="50" t="n"/>
      <c r="H24" s="50" t="n"/>
    </row>
    <row r="25" ht="15" customHeight="1" s="45">
      <c r="B25" s="50" t="n"/>
      <c r="C25" s="50" t="n"/>
      <c r="D25" s="50" t="n"/>
      <c r="E25" s="50" t="n"/>
      <c r="F25" s="50" t="n"/>
      <c r="G25" s="50" t="n"/>
      <c r="H25" s="50" t="n"/>
    </row>
    <row r="26" ht="14.25" customHeight="1" s="45">
      <c r="B26" s="54" t="inlineStr">
        <is>
          <t>Quota per market: 5 aratdar + 5 bepari/faria + 5 khuchra retailers + 5 consumers (Methodology Table 3.3).</t>
        </is>
      </c>
      <c r="C26" s="50" t="n"/>
      <c r="D26" s="50" t="n"/>
      <c r="E26" s="50" t="n"/>
      <c r="F26" s="50" t="n"/>
      <c r="G26" s="50" t="n"/>
      <c r="H26" s="50" t="n"/>
    </row>
  </sheetData>
  <mergeCells count="1">
    <mergeCell ref="B2:H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1B2A4A"/>
    <outlinePr summaryBelow="1" summaryRight="1"/>
    <pageSetUpPr fitToPage="0"/>
  </sheetPr>
  <dimension ref="B2:L4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328125" defaultRowHeight="15" zeroHeight="0" outlineLevelRow="0"/>
  <cols>
    <col width="3" customWidth="1" style="44" min="1" max="1"/>
    <col width="12" customWidth="1" style="44" min="2" max="2"/>
    <col width="10" customWidth="1" style="44" min="3" max="3"/>
    <col width="9" customWidth="1" style="44" min="4" max="4"/>
    <col width="18" customWidth="1" style="44" min="5" max="5"/>
    <col width="12" customWidth="1" style="44" min="6" max="7"/>
    <col width="18" customWidth="1" style="44" min="8" max="10"/>
    <col width="22" customWidth="1" style="44" min="11" max="11"/>
    <col width="26" customWidth="1" style="44" min="12" max="12"/>
  </cols>
  <sheetData>
    <row r="2" ht="31.5" customHeight="1" s="45">
      <c r="B2" s="46" t="inlineStr">
        <is>
          <t>Data Collection Log - one row per field visit</t>
        </is>
      </c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8" t="n"/>
    </row>
    <row r="3" ht="7.5" customHeight="1" s="45">
      <c r="B3" s="50" t="n"/>
      <c r="C3" s="50" t="n"/>
      <c r="D3" s="50" t="n"/>
      <c r="E3" s="50" t="n"/>
      <c r="F3" s="50" t="n"/>
      <c r="G3" s="50" t="n"/>
      <c r="H3" s="50" t="n"/>
      <c r="I3" s="50" t="n"/>
      <c r="J3" s="50" t="n"/>
      <c r="K3" s="50" t="n"/>
      <c r="L3" s="50" t="n"/>
    </row>
    <row r="4" ht="27.75" customHeight="1" s="45">
      <c r="B4" s="57" t="inlineStr">
        <is>
          <t>Date</t>
        </is>
      </c>
      <c r="C4" s="57" t="inlineStr">
        <is>
          <t>Weekday</t>
        </is>
      </c>
      <c r="D4" s="57" t="inlineStr">
        <is>
          <t>Market</t>
        </is>
      </c>
      <c r="E4" s="57" t="inlineStr">
        <is>
          <t>Collector_name</t>
        </is>
      </c>
      <c r="F4" s="57" t="inlineStr">
        <is>
          <t>Session_start</t>
        </is>
      </c>
      <c r="G4" s="57" t="inlineStr">
        <is>
          <t>Session_end</t>
        </is>
      </c>
      <c r="H4" s="57" t="inlineStr">
        <is>
          <t>Ref_day_prices_used</t>
        </is>
      </c>
      <c r="I4" s="57" t="inlineStr">
        <is>
          <t>Traders_interviewed</t>
        </is>
      </c>
      <c r="J4" s="57" t="inlineStr">
        <is>
          <t>Consumers_interviewed</t>
        </is>
      </c>
      <c r="K4" s="57" t="inlineStr">
        <is>
          <t>Weather_notes</t>
        </is>
      </c>
      <c r="L4" s="57" t="inlineStr">
        <is>
          <t>Notes</t>
        </is>
      </c>
    </row>
    <row r="5" ht="19.5" customHeight="1" s="45">
      <c r="B5" s="65" t="n">
        <v>46083</v>
      </c>
      <c r="C5" s="66">
        <f>IF($B5="","",TEXT($B5,"ddd"))</f>
        <v/>
      </c>
      <c r="D5" s="67" t="inlineStr">
        <is>
          <t>M1</t>
        </is>
      </c>
      <c r="E5" s="68" t="inlineStr">
        <is>
          <t>Field Team A</t>
        </is>
      </c>
      <c r="F5" s="67" t="inlineStr">
        <is>
          <t>05:30</t>
        </is>
      </c>
      <c r="G5" s="67" t="inlineStr">
        <is>
          <t>09:00</t>
        </is>
      </c>
      <c r="H5" s="67" t="inlineStr">
        <is>
          <t>No</t>
        </is>
      </c>
      <c r="I5" s="69" t="n">
        <v>4</v>
      </c>
      <c r="J5" s="69" t="n">
        <v>1</v>
      </c>
      <c r="K5" s="68" t="inlineStr">
        <is>
          <t>Light fog, calm sea</t>
        </is>
      </c>
      <c r="L5" s="68" t="inlineStr">
        <is>
          <t>Pilot day - Chattogram</t>
        </is>
      </c>
    </row>
    <row r="6" ht="19.5" customHeight="1" s="45">
      <c r="B6" s="65" t="n">
        <v>46084</v>
      </c>
      <c r="C6" s="66">
        <f>IF($B6="","",TEXT($B6,"ddd"))</f>
        <v/>
      </c>
      <c r="D6" s="67" t="inlineStr">
        <is>
          <t>M1</t>
        </is>
      </c>
      <c r="E6" s="68" t="inlineStr">
        <is>
          <t>Field Team A</t>
        </is>
      </c>
      <c r="F6" s="67" t="inlineStr">
        <is>
          <t>04:30</t>
        </is>
      </c>
      <c r="G6" s="67" t="inlineStr">
        <is>
          <t>09:00</t>
        </is>
      </c>
      <c r="H6" s="67" t="inlineStr">
        <is>
          <t>No</t>
        </is>
      </c>
      <c r="I6" s="69" t="n">
        <v>15</v>
      </c>
      <c r="J6" s="69" t="n">
        <v>5</v>
      </c>
      <c r="K6" s="68" t="inlineStr">
        <is>
          <t>Fair, moderate NE wind</t>
        </is>
      </c>
      <c r="L6" s="68" t="inlineStr">
        <is>
          <t>Fishery Ghat landing - main round</t>
        </is>
      </c>
    </row>
    <row r="7" ht="19.5" customHeight="1" s="45">
      <c r="B7" s="65" t="n">
        <v>46084</v>
      </c>
      <c r="C7" s="66">
        <f>IF($B7="","",TEXT($B7,"ddd"))</f>
        <v/>
      </c>
      <c r="D7" s="67" t="inlineStr">
        <is>
          <t>M6</t>
        </is>
      </c>
      <c r="E7" s="68" t="inlineStr">
        <is>
          <t>Field Team B</t>
        </is>
      </c>
      <c r="F7" s="67" t="inlineStr">
        <is>
          <t>09:45</t>
        </is>
      </c>
      <c r="G7" s="67" t="inlineStr">
        <is>
          <t>13:30</t>
        </is>
      </c>
      <c r="H7" s="67" t="inlineStr">
        <is>
          <t>No</t>
        </is>
      </c>
      <c r="I7" s="69" t="n">
        <v>15</v>
      </c>
      <c r="J7" s="69" t="n">
        <v>5</v>
      </c>
      <c r="K7" s="68" t="inlineStr">
        <is>
          <t>Sunny</t>
        </is>
      </c>
      <c r="L7" s="68" t="inlineStr">
        <is>
          <t>Patenga landing</t>
        </is>
      </c>
    </row>
    <row r="8" ht="19.5" customHeight="1" s="45">
      <c r="B8" s="65" t="n">
        <v>46085</v>
      </c>
      <c r="C8" s="66">
        <f>IF($B8="","",TEXT($B8,"ddd"))</f>
        <v/>
      </c>
      <c r="D8" s="67" t="inlineStr">
        <is>
          <t>M2</t>
        </is>
      </c>
      <c r="E8" s="68" t="inlineStr">
        <is>
          <t>Field Team A</t>
        </is>
      </c>
      <c r="F8" s="67" t="inlineStr">
        <is>
          <t>07:00</t>
        </is>
      </c>
      <c r="G8" s="67" t="inlineStr">
        <is>
          <t>11:30</t>
        </is>
      </c>
      <c r="H8" s="67" t="inlineStr">
        <is>
          <t>No</t>
        </is>
      </c>
      <c r="I8" s="69" t="n">
        <v>15</v>
      </c>
      <c r="J8" s="69" t="n">
        <v>5</v>
      </c>
      <c r="K8" s="68" t="inlineStr">
        <is>
          <t>Sunny and humid</t>
        </is>
      </c>
      <c r="L8" s="68" t="inlineStr">
        <is>
          <t>Chawkbazar retail</t>
        </is>
      </c>
    </row>
    <row r="9" ht="19.5" customHeight="1" s="45">
      <c r="B9" s="65" t="n">
        <v>46086</v>
      </c>
      <c r="C9" s="66">
        <f>IF($B9="","",TEXT($B9,"ddd"))</f>
        <v/>
      </c>
      <c r="D9" s="67" t="inlineStr">
        <is>
          <t>M3</t>
        </is>
      </c>
      <c r="E9" s="68" t="inlineStr">
        <is>
          <t>Field Team B</t>
        </is>
      </c>
      <c r="F9" s="67" t="inlineStr">
        <is>
          <t>07:30</t>
        </is>
      </c>
      <c r="G9" s="67" t="inlineStr">
        <is>
          <t>12:00</t>
        </is>
      </c>
      <c r="H9" s="67" t="inlineStr">
        <is>
          <t>No</t>
        </is>
      </c>
      <c r="I9" s="69" t="n">
        <v>15</v>
      </c>
      <c r="J9" s="69" t="n">
        <v>5</v>
      </c>
      <c r="K9" s="68" t="inlineStr">
        <is>
          <t>Overcast</t>
        </is>
      </c>
      <c r="L9" s="68" t="inlineStr">
        <is>
          <t>Kazir Dewri</t>
        </is>
      </c>
    </row>
    <row r="10" ht="19.5" customHeight="1" s="45">
      <c r="B10" s="65" t="n">
        <v>46087</v>
      </c>
      <c r="C10" s="66">
        <f>IF($B10="","",TEXT($B10,"ddd"))</f>
        <v/>
      </c>
      <c r="D10" s="67" t="inlineStr">
        <is>
          <t>M4</t>
        </is>
      </c>
      <c r="E10" s="68" t="inlineStr">
        <is>
          <t>Field Team A</t>
        </is>
      </c>
      <c r="F10" s="67" t="inlineStr">
        <is>
          <t>06:30</t>
        </is>
      </c>
      <c r="G10" s="67" t="inlineStr">
        <is>
          <t>10:30</t>
        </is>
      </c>
      <c r="H10" s="67" t="inlineStr">
        <is>
          <t>Yes</t>
        </is>
      </c>
      <c r="I10" s="69" t="n">
        <v>15</v>
      </c>
      <c r="J10" s="69" t="n">
        <v>5</v>
      </c>
      <c r="K10" s="68" t="inlineStr">
        <is>
          <t>Hot, 33C</t>
        </is>
      </c>
      <c r="L10" s="68" t="inlineStr">
        <is>
          <t>Karnaphuli Complex</t>
        </is>
      </c>
    </row>
    <row r="11" ht="19.5" customHeight="1" s="45">
      <c r="B11" s="65" t="n">
        <v>46088</v>
      </c>
      <c r="C11" s="66">
        <f>IF($B11="","",TEXT($B11,"ddd"))</f>
        <v/>
      </c>
      <c r="D11" s="67" t="inlineStr">
        <is>
          <t>M5</t>
        </is>
      </c>
      <c r="E11" s="68" t="inlineStr">
        <is>
          <t>Field Team B</t>
        </is>
      </c>
      <c r="F11" s="67" t="inlineStr">
        <is>
          <t>07:00</t>
        </is>
      </c>
      <c r="G11" s="67" t="inlineStr">
        <is>
          <t>11:30</t>
        </is>
      </c>
      <c r="H11" s="67" t="inlineStr">
        <is>
          <t>No</t>
        </is>
      </c>
      <c r="I11" s="69" t="n">
        <v>15</v>
      </c>
      <c r="J11" s="69" t="n">
        <v>5</v>
      </c>
      <c r="K11" s="68" t="inlineStr">
        <is>
          <t>Fair</t>
        </is>
      </c>
      <c r="L11" s="68" t="inlineStr">
        <is>
          <t>Bahaddarhat</t>
        </is>
      </c>
    </row>
    <row r="12" ht="19.5" customHeight="1" s="45">
      <c r="B12" s="65" t="n"/>
      <c r="C12" s="66">
        <f>IF($B12="","",TEXT($B12,"ddd"))</f>
        <v/>
      </c>
      <c r="D12" s="67" t="n"/>
      <c r="E12" s="68" t="n"/>
      <c r="F12" s="67" t="n"/>
      <c r="G12" s="67" t="n"/>
      <c r="H12" s="67" t="n"/>
      <c r="I12" s="69" t="n"/>
      <c r="J12" s="69" t="n"/>
      <c r="K12" s="68" t="n"/>
      <c r="L12" s="68" t="n"/>
    </row>
    <row r="13" ht="19.5" customHeight="1" s="45">
      <c r="B13" s="65" t="n"/>
      <c r="C13" s="66">
        <f>IF($B13="","",TEXT($B13,"ddd"))</f>
        <v/>
      </c>
      <c r="D13" s="67" t="n"/>
      <c r="E13" s="68" t="n"/>
      <c r="F13" s="67" t="n"/>
      <c r="G13" s="67" t="n"/>
      <c r="H13" s="67" t="n"/>
      <c r="I13" s="69" t="n"/>
      <c r="J13" s="69" t="n"/>
      <c r="K13" s="68" t="n"/>
      <c r="L13" s="68" t="n"/>
    </row>
    <row r="14" ht="19.5" customHeight="1" s="45">
      <c r="B14" s="65" t="n"/>
      <c r="C14" s="66">
        <f>IF($B14="","",TEXT($B14,"ddd"))</f>
        <v/>
      </c>
      <c r="D14" s="67" t="n"/>
      <c r="E14" s="68" t="n"/>
      <c r="F14" s="67" t="n"/>
      <c r="G14" s="67" t="n"/>
      <c r="H14" s="67" t="n"/>
      <c r="I14" s="69" t="n"/>
      <c r="J14" s="69" t="n"/>
      <c r="K14" s="68" t="n"/>
      <c r="L14" s="68" t="n"/>
    </row>
    <row r="15" ht="19.5" customHeight="1" s="45">
      <c r="B15" s="65" t="n"/>
      <c r="C15" s="66">
        <f>IF($B15="","",TEXT($B15,"ddd"))</f>
        <v/>
      </c>
      <c r="D15" s="67" t="n"/>
      <c r="E15" s="68" t="n"/>
      <c r="F15" s="67" t="n"/>
      <c r="G15" s="67" t="n"/>
      <c r="H15" s="67" t="n"/>
      <c r="I15" s="69" t="n"/>
      <c r="J15" s="69" t="n"/>
      <c r="K15" s="68" t="n"/>
      <c r="L15" s="68" t="n"/>
    </row>
    <row r="16" ht="19.5" customHeight="1" s="45">
      <c r="B16" s="65" t="n"/>
      <c r="C16" s="66">
        <f>IF($B16="","",TEXT($B16,"ddd"))</f>
        <v/>
      </c>
      <c r="D16" s="67" t="n"/>
      <c r="E16" s="68" t="n"/>
      <c r="F16" s="67" t="n"/>
      <c r="G16" s="67" t="n"/>
      <c r="H16" s="67" t="n"/>
      <c r="I16" s="69" t="n"/>
      <c r="J16" s="69" t="n"/>
      <c r="K16" s="68" t="n"/>
      <c r="L16" s="68" t="n"/>
    </row>
    <row r="17" ht="19.5" customHeight="1" s="45">
      <c r="B17" s="65" t="n"/>
      <c r="C17" s="66">
        <f>IF($B17="","",TEXT($B17,"ddd"))</f>
        <v/>
      </c>
      <c r="D17" s="67" t="n"/>
      <c r="E17" s="68" t="n"/>
      <c r="F17" s="67" t="n"/>
      <c r="G17" s="67" t="n"/>
      <c r="H17" s="67" t="n"/>
      <c r="I17" s="69" t="n"/>
      <c r="J17" s="69" t="n"/>
      <c r="K17" s="68" t="n"/>
      <c r="L17" s="68" t="n"/>
    </row>
    <row r="18" ht="19.5" customHeight="1" s="45">
      <c r="B18" s="65" t="n"/>
      <c r="C18" s="66">
        <f>IF($B18="","",TEXT($B18,"ddd"))</f>
        <v/>
      </c>
      <c r="D18" s="67" t="n"/>
      <c r="E18" s="68" t="n"/>
      <c r="F18" s="67" t="n"/>
      <c r="G18" s="67" t="n"/>
      <c r="H18" s="67" t="n"/>
      <c r="I18" s="69" t="n"/>
      <c r="J18" s="69" t="n"/>
      <c r="K18" s="68" t="n"/>
      <c r="L18" s="68" t="n"/>
    </row>
    <row r="19" ht="19.5" customHeight="1" s="45">
      <c r="B19" s="65" t="n"/>
      <c r="C19" s="66">
        <f>IF($B19="","",TEXT($B19,"ddd"))</f>
        <v/>
      </c>
      <c r="D19" s="67" t="n"/>
      <c r="E19" s="68" t="n"/>
      <c r="F19" s="67" t="n"/>
      <c r="G19" s="67" t="n"/>
      <c r="H19" s="67" t="n"/>
      <c r="I19" s="69" t="n"/>
      <c r="J19" s="69" t="n"/>
      <c r="K19" s="68" t="n"/>
      <c r="L19" s="68" t="n"/>
    </row>
    <row r="20" ht="19.5" customHeight="1" s="45">
      <c r="B20" s="65" t="n"/>
      <c r="C20" s="66">
        <f>IF($B20="","",TEXT($B20,"ddd"))</f>
        <v/>
      </c>
      <c r="D20" s="67" t="n"/>
      <c r="E20" s="68" t="n"/>
      <c r="F20" s="67" t="n"/>
      <c r="G20" s="67" t="n"/>
      <c r="H20" s="67" t="n"/>
      <c r="I20" s="69" t="n"/>
      <c r="J20" s="69" t="n"/>
      <c r="K20" s="68" t="n"/>
      <c r="L20" s="68" t="n"/>
    </row>
    <row r="21" ht="19.5" customHeight="1" s="45">
      <c r="B21" s="65" t="n"/>
      <c r="C21" s="66">
        <f>IF($B21="","",TEXT($B21,"ddd"))</f>
        <v/>
      </c>
      <c r="D21" s="67" t="n"/>
      <c r="E21" s="68" t="n"/>
      <c r="F21" s="67" t="n"/>
      <c r="G21" s="67" t="n"/>
      <c r="H21" s="67" t="n"/>
      <c r="I21" s="69" t="n"/>
      <c r="J21" s="69" t="n"/>
      <c r="K21" s="68" t="n"/>
      <c r="L21" s="68" t="n"/>
    </row>
    <row r="22" ht="19.5" customHeight="1" s="45">
      <c r="B22" s="65" t="n"/>
      <c r="C22" s="66">
        <f>IF($B22="","",TEXT($B22,"ddd"))</f>
        <v/>
      </c>
      <c r="D22" s="67" t="n"/>
      <c r="E22" s="68" t="n"/>
      <c r="F22" s="67" t="n"/>
      <c r="G22" s="67" t="n"/>
      <c r="H22" s="67" t="n"/>
      <c r="I22" s="69" t="n"/>
      <c r="J22" s="69" t="n"/>
      <c r="K22" s="68" t="n"/>
      <c r="L22" s="68" t="n"/>
    </row>
    <row r="23" ht="19.5" customHeight="1" s="45">
      <c r="B23" s="65" t="n"/>
      <c r="C23" s="66">
        <f>IF($B23="","",TEXT($B23,"ddd"))</f>
        <v/>
      </c>
      <c r="D23" s="67" t="n"/>
      <c r="E23" s="68" t="n"/>
      <c r="F23" s="67" t="n"/>
      <c r="G23" s="67" t="n"/>
      <c r="H23" s="67" t="n"/>
      <c r="I23" s="69" t="n"/>
      <c r="J23" s="69" t="n"/>
      <c r="K23" s="68" t="n"/>
      <c r="L23" s="68" t="n"/>
    </row>
    <row r="24" ht="19.5" customHeight="1" s="45">
      <c r="B24" s="65" t="n"/>
      <c r="C24" s="66">
        <f>IF($B24="","",TEXT($B24,"ddd"))</f>
        <v/>
      </c>
      <c r="D24" s="67" t="n"/>
      <c r="E24" s="68" t="n"/>
      <c r="F24" s="67" t="n"/>
      <c r="G24" s="67" t="n"/>
      <c r="H24" s="67" t="n"/>
      <c r="I24" s="69" t="n"/>
      <c r="J24" s="69" t="n"/>
      <c r="K24" s="68" t="n"/>
      <c r="L24" s="68" t="n"/>
    </row>
    <row r="25" ht="19.5" customHeight="1" s="45">
      <c r="B25" s="65" t="n"/>
      <c r="C25" s="66">
        <f>IF($B25="","",TEXT($B25,"ddd"))</f>
        <v/>
      </c>
      <c r="D25" s="67" t="n"/>
      <c r="E25" s="68" t="n"/>
      <c r="F25" s="67" t="n"/>
      <c r="G25" s="67" t="n"/>
      <c r="H25" s="67" t="n"/>
      <c r="I25" s="69" t="n"/>
      <c r="J25" s="69" t="n"/>
      <c r="K25" s="68" t="n"/>
      <c r="L25" s="68" t="n"/>
    </row>
    <row r="26" ht="19.5" customHeight="1" s="45">
      <c r="B26" s="65" t="n"/>
      <c r="C26" s="66">
        <f>IF($B26="","",TEXT($B26,"ddd"))</f>
        <v/>
      </c>
      <c r="D26" s="67" t="n"/>
      <c r="E26" s="68" t="n"/>
      <c r="F26" s="67" t="n"/>
      <c r="G26" s="67" t="n"/>
      <c r="H26" s="67" t="n"/>
      <c r="I26" s="69" t="n"/>
      <c r="J26" s="69" t="n"/>
      <c r="K26" s="68" t="n"/>
      <c r="L26" s="68" t="n"/>
    </row>
    <row r="27" ht="19.5" customHeight="1" s="45">
      <c r="B27" s="65" t="n"/>
      <c r="C27" s="66">
        <f>IF($B27="","",TEXT($B27,"ddd"))</f>
        <v/>
      </c>
      <c r="D27" s="67" t="n"/>
      <c r="E27" s="68" t="n"/>
      <c r="F27" s="67" t="n"/>
      <c r="G27" s="67" t="n"/>
      <c r="H27" s="67" t="n"/>
      <c r="I27" s="69" t="n"/>
      <c r="J27" s="69" t="n"/>
      <c r="K27" s="68" t="n"/>
      <c r="L27" s="68" t="n"/>
    </row>
    <row r="28" ht="19.5" customHeight="1" s="45">
      <c r="B28" s="65" t="n"/>
      <c r="C28" s="66">
        <f>IF($B28="","",TEXT($B28,"ddd"))</f>
        <v/>
      </c>
      <c r="D28" s="67" t="n"/>
      <c r="E28" s="68" t="n"/>
      <c r="F28" s="67" t="n"/>
      <c r="G28" s="67" t="n"/>
      <c r="H28" s="67" t="n"/>
      <c r="I28" s="69" t="n"/>
      <c r="J28" s="69" t="n"/>
      <c r="K28" s="68" t="n"/>
      <c r="L28" s="68" t="n"/>
    </row>
    <row r="29" ht="19.5" customHeight="1" s="45">
      <c r="B29" s="65" t="n"/>
      <c r="C29" s="66">
        <f>IF($B29="","",TEXT($B29,"ddd"))</f>
        <v/>
      </c>
      <c r="D29" s="67" t="n"/>
      <c r="E29" s="68" t="n"/>
      <c r="F29" s="67" t="n"/>
      <c r="G29" s="67" t="n"/>
      <c r="H29" s="67" t="n"/>
      <c r="I29" s="69" t="n"/>
      <c r="J29" s="69" t="n"/>
      <c r="K29" s="68" t="n"/>
      <c r="L29" s="68" t="n"/>
    </row>
    <row r="30" ht="19.5" customHeight="1" s="45">
      <c r="B30" s="65" t="n"/>
      <c r="C30" s="66">
        <f>IF($B30="","",TEXT($B30,"ddd"))</f>
        <v/>
      </c>
      <c r="D30" s="67" t="n"/>
      <c r="E30" s="68" t="n"/>
      <c r="F30" s="67" t="n"/>
      <c r="G30" s="67" t="n"/>
      <c r="H30" s="67" t="n"/>
      <c r="I30" s="69" t="n"/>
      <c r="J30" s="69" t="n"/>
      <c r="K30" s="68" t="n"/>
      <c r="L30" s="68" t="n"/>
    </row>
    <row r="31" ht="19.5" customHeight="1" s="45">
      <c r="B31" s="65" t="n"/>
      <c r="C31" s="66">
        <f>IF($B31="","",TEXT($B31,"ddd"))</f>
        <v/>
      </c>
      <c r="D31" s="67" t="n"/>
      <c r="E31" s="68" t="n"/>
      <c r="F31" s="67" t="n"/>
      <c r="G31" s="67" t="n"/>
      <c r="H31" s="67" t="n"/>
      <c r="I31" s="69" t="n"/>
      <c r="J31" s="69" t="n"/>
      <c r="K31" s="68" t="n"/>
      <c r="L31" s="68" t="n"/>
    </row>
    <row r="32" ht="19.5" customHeight="1" s="45">
      <c r="B32" s="65" t="n"/>
      <c r="C32" s="66">
        <f>IF($B32="","",TEXT($B32,"ddd"))</f>
        <v/>
      </c>
      <c r="D32" s="67" t="n"/>
      <c r="E32" s="68" t="n"/>
      <c r="F32" s="67" t="n"/>
      <c r="G32" s="67" t="n"/>
      <c r="H32" s="67" t="n"/>
      <c r="I32" s="69" t="n"/>
      <c r="J32" s="69" t="n"/>
      <c r="K32" s="68" t="n"/>
      <c r="L32" s="68" t="n"/>
    </row>
    <row r="33" ht="19.5" customHeight="1" s="45">
      <c r="B33" s="65" t="n"/>
      <c r="C33" s="66">
        <f>IF($B33="","",TEXT($B33,"ddd"))</f>
        <v/>
      </c>
      <c r="D33" s="67" t="n"/>
      <c r="E33" s="68" t="n"/>
      <c r="F33" s="67" t="n"/>
      <c r="G33" s="67" t="n"/>
      <c r="H33" s="67" t="n"/>
      <c r="I33" s="69" t="n"/>
      <c r="J33" s="69" t="n"/>
      <c r="K33" s="68" t="n"/>
      <c r="L33" s="68" t="n"/>
    </row>
    <row r="34" ht="19.5" customHeight="1" s="45">
      <c r="B34" s="65" t="n"/>
      <c r="C34" s="66">
        <f>IF($B34="","",TEXT($B34,"ddd"))</f>
        <v/>
      </c>
      <c r="D34" s="67" t="n"/>
      <c r="E34" s="68" t="n"/>
      <c r="F34" s="67" t="n"/>
      <c r="G34" s="67" t="n"/>
      <c r="H34" s="67" t="n"/>
      <c r="I34" s="69" t="n"/>
      <c r="J34" s="69" t="n"/>
      <c r="K34" s="68" t="n"/>
      <c r="L34" s="68" t="n"/>
    </row>
    <row r="35" ht="19.5" customHeight="1" s="45">
      <c r="B35" s="65" t="n"/>
      <c r="C35" s="66">
        <f>IF($B35="","",TEXT($B35,"ddd"))</f>
        <v/>
      </c>
      <c r="D35" s="67" t="n"/>
      <c r="E35" s="68" t="n"/>
      <c r="F35" s="67" t="n"/>
      <c r="G35" s="67" t="n"/>
      <c r="H35" s="67" t="n"/>
      <c r="I35" s="69" t="n"/>
      <c r="J35" s="69" t="n"/>
      <c r="K35" s="68" t="n"/>
      <c r="L35" s="68" t="n"/>
    </row>
    <row r="36" ht="19.5" customHeight="1" s="45">
      <c r="B36" s="65" t="n"/>
      <c r="C36" s="66">
        <f>IF($B36="","",TEXT($B36,"ddd"))</f>
        <v/>
      </c>
      <c r="D36" s="67" t="n"/>
      <c r="E36" s="68" t="n"/>
      <c r="F36" s="67" t="n"/>
      <c r="G36" s="67" t="n"/>
      <c r="H36" s="67" t="n"/>
      <c r="I36" s="69" t="n"/>
      <c r="J36" s="69" t="n"/>
      <c r="K36" s="68" t="n"/>
      <c r="L36" s="68" t="n"/>
    </row>
    <row r="37" ht="19.5" customHeight="1" s="45">
      <c r="B37" s="65" t="n"/>
      <c r="C37" s="66">
        <f>IF($B37="","",TEXT($B37,"ddd"))</f>
        <v/>
      </c>
      <c r="D37" s="67" t="n"/>
      <c r="E37" s="68" t="n"/>
      <c r="F37" s="67" t="n"/>
      <c r="G37" s="67" t="n"/>
      <c r="H37" s="67" t="n"/>
      <c r="I37" s="69" t="n"/>
      <c r="J37" s="69" t="n"/>
      <c r="K37" s="68" t="n"/>
      <c r="L37" s="68" t="n"/>
    </row>
    <row r="38" ht="19.5" customHeight="1" s="45">
      <c r="B38" s="65" t="n"/>
      <c r="C38" s="66">
        <f>IF($B38="","",TEXT($B38,"ddd"))</f>
        <v/>
      </c>
      <c r="D38" s="67" t="n"/>
      <c r="E38" s="68" t="n"/>
      <c r="F38" s="67" t="n"/>
      <c r="G38" s="67" t="n"/>
      <c r="H38" s="67" t="n"/>
      <c r="I38" s="69" t="n"/>
      <c r="J38" s="69" t="n"/>
      <c r="K38" s="68" t="n"/>
      <c r="L38" s="68" t="n"/>
    </row>
    <row r="39" ht="19.5" customHeight="1" s="45">
      <c r="B39" s="65" t="n"/>
      <c r="C39" s="66">
        <f>IF($B39="","",TEXT($B39,"ddd"))</f>
        <v/>
      </c>
      <c r="D39" s="67" t="n"/>
      <c r="E39" s="68" t="n"/>
      <c r="F39" s="67" t="n"/>
      <c r="G39" s="67" t="n"/>
      <c r="H39" s="67" t="n"/>
      <c r="I39" s="69" t="n"/>
      <c r="J39" s="69" t="n"/>
      <c r="K39" s="68" t="n"/>
      <c r="L39" s="68" t="n"/>
    </row>
    <row r="40" ht="19.5" customHeight="1" s="45">
      <c r="B40" s="65" t="n"/>
      <c r="C40" s="66">
        <f>IF($B40="","",TEXT($B40,"ddd"))</f>
        <v/>
      </c>
      <c r="D40" s="67" t="n"/>
      <c r="E40" s="68" t="n"/>
      <c r="F40" s="67" t="n"/>
      <c r="G40" s="67" t="n"/>
      <c r="H40" s="67" t="n"/>
      <c r="I40" s="69" t="n"/>
      <c r="J40" s="69" t="n"/>
      <c r="K40" s="68" t="n"/>
      <c r="L40" s="68" t="n"/>
    </row>
    <row r="41" ht="19.5" customHeight="1" s="45">
      <c r="B41" s="65" t="n"/>
      <c r="C41" s="66">
        <f>IF($B41="","",TEXT($B41,"ddd"))</f>
        <v/>
      </c>
      <c r="D41" s="67" t="n"/>
      <c r="E41" s="68" t="n"/>
      <c r="F41" s="67" t="n"/>
      <c r="G41" s="67" t="n"/>
      <c r="H41" s="67" t="n"/>
      <c r="I41" s="69" t="n"/>
      <c r="J41" s="69" t="n"/>
      <c r="K41" s="68" t="n"/>
      <c r="L41" s="68" t="n"/>
    </row>
    <row r="42" ht="19.5" customHeight="1" s="45">
      <c r="B42" s="65" t="n"/>
      <c r="C42" s="66">
        <f>IF($B42="","",TEXT($B42,"ddd"))</f>
        <v/>
      </c>
      <c r="D42" s="67" t="n"/>
      <c r="E42" s="68" t="n"/>
      <c r="F42" s="67" t="n"/>
      <c r="G42" s="67" t="n"/>
      <c r="H42" s="67" t="n"/>
      <c r="I42" s="69" t="n"/>
      <c r="J42" s="69" t="n"/>
      <c r="K42" s="68" t="n"/>
      <c r="L42" s="68" t="n"/>
    </row>
    <row r="43" ht="19.5" customHeight="1" s="45">
      <c r="B43" s="65" t="n"/>
      <c r="C43" s="66">
        <f>IF($B43="","",TEXT($B43,"ddd"))</f>
        <v/>
      </c>
      <c r="D43" s="67" t="n"/>
      <c r="E43" s="68" t="n"/>
      <c r="F43" s="67" t="n"/>
      <c r="G43" s="67" t="n"/>
      <c r="H43" s="67" t="n"/>
      <c r="I43" s="69" t="n"/>
      <c r="J43" s="69" t="n"/>
      <c r="K43" s="68" t="n"/>
      <c r="L43" s="68" t="n"/>
    </row>
    <row r="44" ht="19.5" customHeight="1" s="45">
      <c r="B44" s="65" t="n"/>
      <c r="C44" s="66">
        <f>IF($B44="","",TEXT($B44,"ddd"))</f>
        <v/>
      </c>
      <c r="D44" s="67" t="n"/>
      <c r="E44" s="68" t="n"/>
      <c r="F44" s="67" t="n"/>
      <c r="G44" s="67" t="n"/>
      <c r="H44" s="67" t="n"/>
      <c r="I44" s="69" t="n"/>
      <c r="J44" s="69" t="n"/>
      <c r="K44" s="68" t="n"/>
      <c r="L44" s="68" t="n"/>
    </row>
  </sheetData>
  <autoFilter ref="B4:L44"/>
  <mergeCells count="1">
    <mergeCell ref="B2:L2"/>
  </mergeCells>
  <dataValidations count="3">
    <dataValidation sqref="D5:D44" showDropDown="0" showInputMessage="0" showErrorMessage="1" allowBlank="1" errorTitle="Invalid entry" error="Please choose one of the listed values." promptTitle="Dropdown" prompt="Select from list" type="list" errorStyle="stop" operator="between">
      <formula1>"M1,M2,M3,M4,M5,M6"</formula1>
      <formula2>0</formula2>
    </dataValidation>
    <dataValidation sqref="H5:H44" showDropDown="0" showInputMessage="0" showErrorMessage="1" allowBlank="1" errorTitle="Invalid entry" error="Please choose one of the listed values." promptTitle="Dropdown" prompt="Select from list" type="list" errorStyle="stop" operator="between">
      <formula1>"Yes,No"</formula1>
      <formula2>0</formula2>
    </dataValidation>
    <dataValidation sqref="I5:J44" showDropDown="0" showInputMessage="0" showErrorMessage="1" allowBlank="1" errorTitle="Out of range" error="Enter a whole number between 0 and 40." type="whole" errorStyle="stop" operator="between">
      <formula1>0</formula1>
      <formula2>40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tabColor rgb="FFD6E4F0"/>
    <outlinePr summaryBelow="1" summaryRight="1"/>
    <pageSetUpPr fitToPage="0"/>
  </sheetPr>
  <dimension ref="B2:E18"/>
  <sheetViews>
    <sheetView showFormulas="0" showGridLines="0" showRowColHeaders="1" showZeros="1" rightToLeft="0" tabSelected="0" showOutlineSymbols="1" defaultGridColor="1" view="normal" topLeftCell="A42" colorId="64" zoomScale="100" zoomScaleNormal="100" zoomScalePageLayoutView="100" workbookViewId="0">
      <selection pane="topLeft" activeCell="A1" activeCellId="0" sqref="A1"/>
    </sheetView>
  </sheetViews>
  <sheetFormatPr baseColWidth="8" defaultColWidth="8.6328125" defaultRowHeight="15" zeroHeight="0" outlineLevelRow="0"/>
  <cols>
    <col width="3" customWidth="1" style="44" min="1" max="1"/>
    <col width="26" customWidth="1" style="44" min="2" max="2"/>
    <col width="14" customWidth="1" style="44" min="3" max="3"/>
    <col width="16" customWidth="1" style="44" min="4" max="4"/>
    <col width="30" customWidth="1" style="44" min="5" max="5"/>
  </cols>
  <sheetData>
    <row r="2" ht="31.5" customHeight="1" s="45">
      <c r="B2" s="46" t="inlineStr">
        <is>
          <t>Maund - Kilogram Converter</t>
        </is>
      </c>
      <c r="C2" s="47" t="n"/>
      <c r="D2" s="47" t="n"/>
      <c r="E2" s="48" t="n"/>
    </row>
    <row r="3" ht="7.5" customHeight="1" s="45">
      <c r="B3" s="50" t="n"/>
      <c r="C3" s="50" t="n"/>
      <c r="D3" s="50" t="n"/>
      <c r="E3" s="50" t="n"/>
    </row>
    <row r="4" ht="14.25" customHeight="1" s="45">
      <c r="B4" s="52" t="inlineStr">
        <is>
          <t>1 maund = 37.32 kilograms (official conversion used throughout this study)</t>
        </is>
      </c>
      <c r="C4" s="50" t="n"/>
      <c r="D4" s="50" t="n"/>
      <c r="E4" s="50" t="n"/>
    </row>
    <row r="5" ht="15" customHeight="1" s="45">
      <c r="B5" s="50" t="n"/>
      <c r="C5" s="50" t="n"/>
      <c r="D5" s="50" t="n"/>
      <c r="E5" s="50" t="n"/>
    </row>
    <row r="6" ht="15" customHeight="1" s="45">
      <c r="B6" s="51" t="inlineStr">
        <is>
          <t>Maunds -&gt; kilograms</t>
        </is>
      </c>
      <c r="C6" s="50" t="n"/>
      <c r="D6" s="50" t="n"/>
      <c r="E6" s="50" t="n"/>
    </row>
    <row r="7" ht="14.25" customHeight="1" s="45">
      <c r="B7" s="52" t="inlineStr">
        <is>
          <t>Type maund value here</t>
        </is>
      </c>
      <c r="C7" s="70" t="n">
        <v>1</v>
      </c>
      <c r="D7" s="50" t="n"/>
      <c r="E7" s="50" t="n"/>
    </row>
    <row r="8" ht="14.25" customHeight="1" s="45">
      <c r="B8" s="52" t="inlineStr">
        <is>
          <t>Result - kilograms</t>
        </is>
      </c>
      <c r="C8" s="71">
        <f>IF(ISNUMBER($C$7),$C$7*37.32,"")</f>
        <v/>
      </c>
      <c r="D8" s="50" t="n"/>
      <c r="E8" s="50" t="n"/>
    </row>
    <row r="9" ht="15" customHeight="1" s="45">
      <c r="B9" s="50" t="n"/>
      <c r="C9" s="50" t="n"/>
      <c r="D9" s="50" t="n"/>
      <c r="E9" s="50" t="n"/>
    </row>
    <row r="10" ht="15" customHeight="1" s="45">
      <c r="B10" s="51" t="inlineStr">
        <is>
          <t>Kilograms -&gt; maunds</t>
        </is>
      </c>
      <c r="C10" s="50" t="n"/>
      <c r="D10" s="50" t="n"/>
      <c r="E10" s="50" t="n"/>
    </row>
    <row r="11" ht="14.25" customHeight="1" s="45">
      <c r="B11" s="52" t="inlineStr">
        <is>
          <t>Type kg value here</t>
        </is>
      </c>
      <c r="C11" s="70" t="n">
        <v>37.32</v>
      </c>
      <c r="D11" s="50" t="n"/>
      <c r="E11" s="50" t="n"/>
    </row>
    <row r="12" ht="14.25" customHeight="1" s="45">
      <c r="B12" s="52" t="inlineStr">
        <is>
          <t>Result - maunds</t>
        </is>
      </c>
      <c r="C12" s="71">
        <f>IF(ISNUMBER($C$11),ROUND($C$11/37.32,4),"")</f>
        <v/>
      </c>
      <c r="D12" s="50" t="n"/>
      <c r="E12" s="50" t="n"/>
    </row>
    <row r="13" ht="15" customHeight="1" s="45">
      <c r="B13" s="50" t="n"/>
      <c r="C13" s="50" t="n"/>
      <c r="D13" s="50" t="n"/>
      <c r="E13" s="50" t="n"/>
    </row>
    <row r="14" ht="15" customHeight="1" s="45">
      <c r="B14" s="51" t="inlineStr">
        <is>
          <t>Reminder - price flags</t>
        </is>
      </c>
      <c r="C14" s="50" t="n"/>
      <c r="D14" s="50" t="n"/>
      <c r="E14" s="50" t="n"/>
    </row>
    <row r="15" ht="14.25" customHeight="1" s="45">
      <c r="B15" s="52" t="inlineStr">
        <is>
          <t>K</t>
        </is>
      </c>
      <c r="C15" s="72" t="inlineStr">
        <is>
          <t>Species not handled by the respondent today.</t>
        </is>
      </c>
      <c r="D15" s="50" t="n"/>
      <c r="E15" s="50" t="n"/>
    </row>
    <row r="16" ht="14.25" customHeight="1" s="45">
      <c r="B16" s="52" t="inlineStr">
        <is>
          <t>D</t>
        </is>
      </c>
      <c r="C16" s="72" t="inlineStr">
        <is>
          <t>Price declined - keep the row, the flag itself is information.</t>
        </is>
      </c>
      <c r="D16" s="50" t="n"/>
      <c r="E16" s="50" t="n"/>
    </row>
    <row r="17" ht="14.25" customHeight="1" s="45">
      <c r="B17" s="52" t="inlineStr">
        <is>
          <t>0 / '-'</t>
        </is>
      </c>
      <c r="C17" s="72" t="inlineStr">
        <is>
          <t>True zero / not applicable. Empty cells are not allowed in species grids.</t>
        </is>
      </c>
      <c r="D17" s="50" t="n"/>
      <c r="E17" s="50" t="n"/>
    </row>
    <row r="18" ht="14.25" customHeight="1" s="45">
      <c r="B18" s="52" t="inlineStr">
        <is>
          <t>Conversion</t>
        </is>
      </c>
      <c r="C18" s="72" t="inlineStr">
        <is>
          <t>Blue BDT_per_kg columns convert maund quotes automatically - never type over them.</t>
        </is>
      </c>
      <c r="D18" s="50" t="n"/>
      <c r="E18" s="50" t="n"/>
    </row>
  </sheetData>
  <mergeCells count="1">
    <mergeCell ref="B2:E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D6E4F0"/>
    <outlinePr summaryBelow="1" summaryRight="1"/>
    <pageSetUpPr fitToPage="0"/>
  </sheetPr>
  <dimension ref="B2:G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328125" defaultRowHeight="15" zeroHeight="0" outlineLevelRow="0"/>
  <cols>
    <col width="3" customWidth="1" style="44" min="1" max="1"/>
    <col width="9" customWidth="1" style="44" min="2" max="2"/>
    <col width="14" customWidth="1" style="44" min="3" max="3"/>
    <col width="34" customWidth="1" style="44" min="4" max="4"/>
    <col width="30" customWidth="1" style="44" min="5" max="5"/>
    <col width="14" customWidth="1" style="44" min="6" max="6"/>
  </cols>
  <sheetData>
    <row r="2" ht="31.5" customHeight="1" s="45">
      <c r="B2" s="46" t="inlineStr">
        <is>
          <t>Species Codebook (Methodology Table 3.4)</t>
        </is>
      </c>
      <c r="C2" s="47" t="n"/>
      <c r="D2" s="47" t="n"/>
      <c r="E2" s="47" t="n"/>
      <c r="F2" s="47" t="n"/>
      <c r="G2" s="48" t="n"/>
    </row>
    <row r="3" ht="7.5" customHeight="1" s="45">
      <c r="B3" s="50" t="n"/>
      <c r="C3" s="50" t="n"/>
      <c r="D3" s="50" t="n"/>
      <c r="E3" s="50" t="n"/>
      <c r="F3" s="50" t="n"/>
      <c r="G3" s="50" t="n"/>
    </row>
    <row r="4" ht="27.75" customHeight="1" s="45">
      <c r="B4" s="57" t="inlineStr">
        <is>
          <t>Code</t>
        </is>
      </c>
      <c r="C4" s="57" t="inlineStr">
        <is>
          <t>Local_name</t>
        </is>
      </c>
      <c r="D4" s="57" t="inlineStr">
        <is>
          <t>English_common_name</t>
        </is>
      </c>
      <c r="E4" s="57" t="inlineStr">
        <is>
          <t>Scientific_name</t>
        </is>
      </c>
      <c r="F4" s="57" t="inlineStr">
        <is>
          <t>Price_tier</t>
        </is>
      </c>
      <c r="G4" s="50" t="n"/>
    </row>
    <row r="5" ht="21.75" customHeight="1" s="45">
      <c r="B5" s="59" t="inlineStr">
        <is>
          <t>S01</t>
        </is>
      </c>
      <c r="C5" s="59" t="inlineStr">
        <is>
          <t>Ilish</t>
        </is>
      </c>
      <c r="D5" s="59" t="inlineStr">
        <is>
          <t>Hilsa shad</t>
        </is>
      </c>
      <c r="E5" s="59" t="inlineStr">
        <is>
          <t>Tenualosa ilisha</t>
        </is>
      </c>
      <c r="F5" s="59" t="inlineStr">
        <is>
          <t>High</t>
        </is>
      </c>
      <c r="G5" s="50" t="n"/>
    </row>
    <row r="6" ht="21.75" customHeight="1" s="45">
      <c r="B6" s="61" t="inlineStr">
        <is>
          <t>S02</t>
        </is>
      </c>
      <c r="C6" s="61" t="inlineStr">
        <is>
          <t>Rupchanda</t>
        </is>
      </c>
      <c r="D6" s="61" t="inlineStr">
        <is>
          <t>Silver pomfret</t>
        </is>
      </c>
      <c r="E6" s="61" t="inlineStr">
        <is>
          <t>Pampus argenteus</t>
        </is>
      </c>
      <c r="F6" s="61" t="inlineStr">
        <is>
          <t>High</t>
        </is>
      </c>
      <c r="G6" s="50" t="n"/>
    </row>
    <row r="7" ht="21.75" customHeight="1" s="45">
      <c r="B7" s="59" t="inlineStr">
        <is>
          <t>S03</t>
        </is>
      </c>
      <c r="C7" s="59" t="inlineStr">
        <is>
          <t>Lakkha</t>
        </is>
      </c>
      <c r="D7" s="59" t="inlineStr">
        <is>
          <t>Indian salmon (four-finger threadfin)</t>
        </is>
      </c>
      <c r="E7" s="59" t="inlineStr">
        <is>
          <t>Eleutheronema tetradactylum</t>
        </is>
      </c>
      <c r="F7" s="59" t="inlineStr">
        <is>
          <t>High</t>
        </is>
      </c>
      <c r="G7" s="50" t="n"/>
    </row>
    <row r="8" ht="21.75" customHeight="1" s="45">
      <c r="B8" s="61" t="inlineStr">
        <is>
          <t>S04</t>
        </is>
      </c>
      <c r="C8" s="61" t="inlineStr">
        <is>
          <t>Koral/Kurl</t>
        </is>
      </c>
      <c r="D8" s="61" t="inlineStr">
        <is>
          <t>Asian sea bass</t>
        </is>
      </c>
      <c r="E8" s="61" t="inlineStr">
        <is>
          <t>Lates calcarifer</t>
        </is>
      </c>
      <c r="F8" s="61" t="inlineStr">
        <is>
          <t>High</t>
        </is>
      </c>
      <c r="G8" s="50" t="n"/>
    </row>
    <row r="9" ht="21.75" customHeight="1" s="45">
      <c r="B9" s="59" t="inlineStr">
        <is>
          <t>S05</t>
        </is>
      </c>
      <c r="C9" s="59" t="inlineStr">
        <is>
          <t>Surma</t>
        </is>
      </c>
      <c r="D9" s="59" t="inlineStr">
        <is>
          <t>Indian mackerel</t>
        </is>
      </c>
      <c r="E9" s="59" t="inlineStr">
        <is>
          <t>Rastrelliger kanagurta</t>
        </is>
      </c>
      <c r="F9" s="59" t="inlineStr">
        <is>
          <t>Medium</t>
        </is>
      </c>
      <c r="G9" s="50" t="n"/>
    </row>
    <row r="10" ht="21.75" customHeight="1" s="45">
      <c r="B10" s="61" t="inlineStr">
        <is>
          <t>S06</t>
        </is>
      </c>
      <c r="C10" s="61" t="inlineStr">
        <is>
          <t>Churi</t>
        </is>
      </c>
      <c r="D10" s="61" t="inlineStr">
        <is>
          <t>Largehead ribbonfish</t>
        </is>
      </c>
      <c r="E10" s="61" t="inlineStr">
        <is>
          <t>Trichiurus lepturus</t>
        </is>
      </c>
      <c r="F10" s="61" t="inlineStr">
        <is>
          <t>Medium</t>
        </is>
      </c>
      <c r="G10" s="50" t="n"/>
    </row>
    <row r="11" ht="21.75" customHeight="1" s="45">
      <c r="B11" s="59" t="inlineStr">
        <is>
          <t>S07</t>
        </is>
      </c>
      <c r="C11" s="59" t="inlineStr">
        <is>
          <t>Poa</t>
        </is>
      </c>
      <c r="D11" s="59" t="inlineStr">
        <is>
          <t>Pama croaker</t>
        </is>
      </c>
      <c r="E11" s="59" t="inlineStr">
        <is>
          <t>Otolithoides pama</t>
        </is>
      </c>
      <c r="F11" s="59" t="inlineStr">
        <is>
          <t>Medium</t>
        </is>
      </c>
      <c r="G11" s="50" t="n"/>
    </row>
    <row r="12" ht="21.75" customHeight="1" s="45">
      <c r="B12" s="61" t="inlineStr">
        <is>
          <t>S08</t>
        </is>
      </c>
      <c r="C12" s="61" t="inlineStr">
        <is>
          <t>Kankoita</t>
        </is>
      </c>
      <c r="D12" s="61" t="inlineStr">
        <is>
          <t>Thorny/Indian anchovy</t>
        </is>
      </c>
      <c r="E12" s="61" t="inlineStr">
        <is>
          <t>Stolephorus indicus</t>
        </is>
      </c>
      <c r="F12" s="61" t="inlineStr">
        <is>
          <t>Low-volume</t>
        </is>
      </c>
      <c r="G12" s="50" t="n"/>
    </row>
    <row r="13" ht="21.75" customHeight="1" s="45">
      <c r="B13" s="59" t="inlineStr">
        <is>
          <t>S09</t>
        </is>
      </c>
      <c r="C13" s="59" t="inlineStr">
        <is>
          <t>Loitta</t>
        </is>
      </c>
      <c r="D13" s="59" t="inlineStr">
        <is>
          <t>Bombay duck</t>
        </is>
      </c>
      <c r="E13" s="59" t="inlineStr">
        <is>
          <t>Harpadon nehereus</t>
        </is>
      </c>
      <c r="F13" s="59" t="inlineStr">
        <is>
          <t>Low</t>
        </is>
      </c>
      <c r="G13" s="50" t="n"/>
    </row>
    <row r="14" ht="21.75" customHeight="1" s="45">
      <c r="B14" s="61" t="inlineStr">
        <is>
          <t>S10</t>
        </is>
      </c>
      <c r="C14" s="61" t="inlineStr">
        <is>
          <t>Harina</t>
        </is>
      </c>
      <c r="D14" s="61" t="inlineStr">
        <is>
          <t>Chacunda gizzard shad</t>
        </is>
      </c>
      <c r="E14" s="61" t="inlineStr">
        <is>
          <t>Anodontostoma chacunda</t>
        </is>
      </c>
      <c r="F14" s="61" t="inlineStr">
        <is>
          <t>Low</t>
        </is>
      </c>
      <c r="G14" s="50" t="n"/>
    </row>
  </sheetData>
  <mergeCells count="1">
    <mergeCell ref="B2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D6E4F0"/>
    <outlinePr summaryBelow="1" summaryRight="1"/>
    <pageSetUpPr fitToPage="0"/>
  </sheetPr>
  <dimension ref="B2:F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328125" defaultRowHeight="15" zeroHeight="0" outlineLevelRow="0"/>
  <cols>
    <col width="3" customWidth="1" style="44" min="1" max="1"/>
    <col width="9" customWidth="1" style="44" min="2" max="2"/>
    <col width="22" customWidth="1" style="44" min="3" max="3"/>
    <col width="30" customWidth="1" style="44" min="4" max="4"/>
    <col width="46" customWidth="1" style="44" min="5" max="5"/>
  </cols>
  <sheetData>
    <row r="2" ht="31.5" customHeight="1" s="45">
      <c r="B2" s="46" t="inlineStr">
        <is>
          <t>Market Codebook (Methodology Table 3.1)</t>
        </is>
      </c>
      <c r="C2" s="47" t="n"/>
      <c r="D2" s="47" t="n"/>
      <c r="E2" s="47" t="n"/>
      <c r="F2" s="48" t="n"/>
    </row>
    <row r="3" ht="7.5" customHeight="1" s="45">
      <c r="B3" s="50" t="n"/>
      <c r="C3" s="50" t="n"/>
      <c r="D3" s="50" t="n"/>
      <c r="E3" s="50" t="n"/>
      <c r="F3" s="50" t="n"/>
    </row>
    <row r="4" ht="27.75" customHeight="1" s="45">
      <c r="B4" s="57" t="inlineStr">
        <is>
          <t>Code</t>
        </is>
      </c>
      <c r="C4" s="57" t="inlineStr">
        <is>
          <t>Market_name</t>
        </is>
      </c>
      <c r="D4" s="57" t="inlineStr">
        <is>
          <t>Channel_position</t>
        </is>
      </c>
      <c r="E4" s="57" t="inlineStr">
        <is>
          <t>Primary_analytical_contribution</t>
        </is>
      </c>
      <c r="F4" s="50" t="n"/>
    </row>
    <row r="5" ht="21.75" customHeight="1" s="45">
      <c r="B5" s="59" t="inlineStr">
        <is>
          <t>M1</t>
        </is>
      </c>
      <c r="C5" s="59" t="inlineStr">
        <is>
          <t>Fishery Ghat</t>
        </is>
      </c>
      <c r="D5" s="59" t="inlineStr">
        <is>
          <t>Landing-linked wholesale-cum-retail</t>
        </is>
      </c>
      <c r="E5" s="59" t="inlineStr">
        <is>
          <t>First-sale (producer-side) price observations</t>
        </is>
      </c>
      <c r="F5" s="50" t="n"/>
    </row>
    <row r="6" ht="21.75" customHeight="1" s="45">
      <c r="B6" s="61" t="inlineStr">
        <is>
          <t>M2</t>
        </is>
      </c>
      <c r="C6" s="61" t="inlineStr">
        <is>
          <t>Chawkbazar</t>
        </is>
      </c>
      <c r="D6" s="61" t="inlineStr">
        <is>
          <t>Retail</t>
        </is>
      </c>
      <c r="E6" s="61" t="inlineStr">
        <is>
          <t>Retail prices and trade volume quotes</t>
        </is>
      </c>
      <c r="F6" s="50" t="n"/>
    </row>
    <row r="7" ht="21.75" customHeight="1" s="45">
      <c r="B7" s="59" t="inlineStr">
        <is>
          <t>M3</t>
        </is>
      </c>
      <c r="C7" s="59" t="inlineStr">
        <is>
          <t>Kazir Dewri</t>
        </is>
      </c>
      <c r="D7" s="59" t="inlineStr">
        <is>
          <t>Retail</t>
        </is>
      </c>
      <c r="E7" s="59" t="inlineStr">
        <is>
          <t>Retail prices and vendor practices</t>
        </is>
      </c>
      <c r="F7" s="50" t="n"/>
    </row>
    <row r="8" ht="21.75" customHeight="1" s="45">
      <c r="B8" s="61" t="inlineStr">
        <is>
          <t>M4</t>
        </is>
      </c>
      <c r="C8" s="61" t="inlineStr">
        <is>
          <t>Karnaphuli Complex</t>
        </is>
      </c>
      <c r="D8" s="61" t="inlineStr">
        <is>
          <t>Retail</t>
        </is>
      </c>
      <c r="E8" s="61" t="inlineStr">
        <is>
          <t>Retail prices; comparability with the 2019 baseline</t>
        </is>
      </c>
      <c r="F8" s="50" t="n"/>
    </row>
    <row r="9" ht="21.75" customHeight="1" s="45">
      <c r="B9" s="59" t="inlineStr">
        <is>
          <t>M5</t>
        </is>
      </c>
      <c r="C9" s="59" t="inlineStr">
        <is>
          <t>Bahaddarhat</t>
        </is>
      </c>
      <c r="D9" s="59" t="inlineStr">
        <is>
          <t>Retail</t>
        </is>
      </c>
      <c r="E9" s="59" t="inlineStr">
        <is>
          <t>Newer-generation retail turnover</t>
        </is>
      </c>
      <c r="F9" s="50" t="n"/>
    </row>
    <row r="10" ht="21.75" customHeight="1" s="45">
      <c r="B10" s="61" t="inlineStr">
        <is>
          <t>M6</t>
        </is>
      </c>
      <c r="C10" s="61" t="inlineStr">
        <is>
          <t>Patenga</t>
        </is>
      </c>
      <c r="D10" s="61" t="inlineStr">
        <is>
          <t>Landing-linked retail</t>
        </is>
      </c>
      <c r="E10" s="61" t="inlineStr">
        <is>
          <t>Coast-side buy prices supporting producer-share estimation</t>
        </is>
      </c>
      <c r="F10" s="50" t="n"/>
    </row>
  </sheetData>
  <mergeCells count="1">
    <mergeCell ref="B2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1B7D46"/>
    <outlinePr summaryBelow="1" summaryRight="1"/>
    <pageSetUpPr fitToPage="0"/>
  </sheetPr>
  <dimension ref="B2:AG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328125" defaultRowHeight="15" zeroHeight="0" outlineLevelRow="0"/>
  <cols>
    <col width="3" customWidth="1" style="44" min="1" max="1"/>
    <col width="12" customWidth="1" style="44" min="2" max="2"/>
    <col width="8" customWidth="1" style="44" min="3" max="3"/>
    <col width="12" customWidth="1" style="44" min="4" max="4"/>
    <col width="8" customWidth="1" style="44" min="5" max="5"/>
    <col width="13" customWidth="1" style="44" min="6" max="6"/>
    <col width="11" customWidth="1" style="44" min="7" max="7"/>
    <col width="12" customWidth="1" style="44" min="8" max="10"/>
    <col width="10" customWidth="1" style="44" min="11" max="11"/>
    <col width="13" customWidth="1" style="44" min="12" max="12"/>
    <col width="12" customWidth="1" style="44" min="13" max="15"/>
    <col width="11" customWidth="1" style="44" min="16" max="16"/>
    <col width="12" customWidth="1" style="44" min="17" max="18"/>
    <col width="10" customWidth="1" style="44" min="19" max="19"/>
    <col width="12" customWidth="1" style="44" min="20" max="22"/>
    <col width="18" customWidth="1" style="44" min="23" max="23"/>
    <col width="11" customWidth="1" style="44" min="24" max="26"/>
    <col width="12" customWidth="1" style="44" min="27" max="27"/>
    <col width="16" customWidth="1" style="44" min="28" max="30"/>
    <col width="11" customWidth="1" style="44" min="31" max="31"/>
    <col width="22" customWidth="1" style="44" min="32" max="32"/>
  </cols>
  <sheetData>
    <row r="2" ht="31.5" customHeight="1" s="45">
      <c r="B2" s="46" t="inlineStr">
        <is>
          <t>Form A - Aratdar Questionnaire (one respondent per row)</t>
        </is>
      </c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7" t="n"/>
      <c r="M2" s="47" t="n"/>
      <c r="N2" s="47" t="n"/>
      <c r="O2" s="47" t="n"/>
      <c r="P2" s="47" t="n"/>
      <c r="Q2" s="47" t="n"/>
      <c r="R2" s="47" t="n"/>
      <c r="S2" s="47" t="n"/>
      <c r="T2" s="47" t="n"/>
      <c r="U2" s="47" t="n"/>
      <c r="V2" s="47" t="n"/>
      <c r="W2" s="47" t="n"/>
      <c r="X2" s="47" t="n"/>
      <c r="Y2" s="47" t="n"/>
      <c r="Z2" s="47" t="n"/>
      <c r="AA2" s="47" t="n"/>
      <c r="AB2" s="47" t="n"/>
      <c r="AC2" s="47" t="n"/>
      <c r="AD2" s="47" t="n"/>
      <c r="AE2" s="47" t="n"/>
      <c r="AF2" s="47" t="n"/>
      <c r="AG2" s="48" t="n"/>
    </row>
    <row r="3" ht="7.5" customHeight="1" s="45">
      <c r="B3" s="50" t="n"/>
      <c r="C3" s="50" t="n"/>
      <c r="D3" s="50" t="n"/>
      <c r="E3" s="50" t="n"/>
      <c r="F3" s="50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  <c r="AA3" s="50" t="n"/>
      <c r="AB3" s="50" t="n"/>
      <c r="AC3" s="50" t="n"/>
      <c r="AD3" s="50" t="n"/>
      <c r="AE3" s="50" t="n"/>
      <c r="AF3" s="50" t="n"/>
      <c r="AG3" s="50" t="n"/>
    </row>
    <row r="4" ht="27.75" customHeight="1" s="45">
      <c r="B4" s="57" t="inlineStr">
        <is>
          <t>Respondent_ID</t>
        </is>
      </c>
      <c r="C4" s="57" t="inlineStr">
        <is>
          <t>Market</t>
        </is>
      </c>
      <c r="D4" s="57" t="inlineStr">
        <is>
          <t>Interview_Date</t>
        </is>
      </c>
      <c r="E4" s="57" t="inlineStr">
        <is>
          <t>Age_years</t>
        </is>
      </c>
      <c r="F4" s="57" t="inlineStr">
        <is>
          <t>Education</t>
        </is>
      </c>
      <c r="G4" s="57" t="inlineStr">
        <is>
          <t>Years_in_business</t>
        </is>
      </c>
      <c r="H4" s="57" t="inlineStr">
        <is>
          <t>Daily_capacity_raw</t>
        </is>
      </c>
      <c r="I4" s="57" t="inlineStr">
        <is>
          <t>Daily_capacity_unit</t>
        </is>
      </c>
      <c r="J4" s="57" t="inlineStr">
        <is>
          <t>Daily_capacity_kg</t>
        </is>
      </c>
      <c r="K4" s="57" t="inlineStr">
        <is>
          <t>Family_members</t>
        </is>
      </c>
      <c r="L4" s="57" t="inlineStr">
        <is>
          <t>Rent_pay_or_receive</t>
        </is>
      </c>
      <c r="M4" s="57" t="inlineStr">
        <is>
          <t>Rent_amount_BDT</t>
        </is>
      </c>
      <c r="N4" s="57" t="inlineStr">
        <is>
          <t>Rent_frequency</t>
        </is>
      </c>
      <c r="O4" s="57" t="inlineStr">
        <is>
          <t>Commission_basis</t>
        </is>
      </c>
      <c r="P4" s="57" t="inlineStr">
        <is>
          <t>Commission_rate</t>
        </is>
      </c>
      <c r="Q4" s="57" t="inlineStr">
        <is>
          <t>Electricity_bill_BDT</t>
        </is>
      </c>
      <c r="R4" s="57" t="inlineStr">
        <is>
          <t>Electricity_frequency</t>
        </is>
      </c>
      <c r="S4" s="57" t="inlineStr">
        <is>
          <t>Workers_count</t>
        </is>
      </c>
      <c r="T4" s="57" t="inlineStr">
        <is>
          <t>Worker_daily_wage_BDT</t>
        </is>
      </c>
      <c r="U4" s="57" t="inlineStr">
        <is>
          <t>Equipment_Cooler_Maintenance_BDT</t>
        </is>
      </c>
      <c r="V4" s="57" t="inlineStr">
        <is>
          <t>Equipment_Cooler_Maintenance_frequency</t>
        </is>
      </c>
      <c r="W4" s="57" t="inlineStr">
        <is>
          <t>Other_cost_description</t>
        </is>
      </c>
      <c r="X4" s="57" t="inlineStr">
        <is>
          <t>Other_cost_BDT</t>
        </is>
      </c>
      <c r="Y4" s="57" t="inlineStr">
        <is>
          <t>Payment_cash_pct</t>
        </is>
      </c>
      <c r="Z4" s="57" t="inlineStr">
        <is>
          <t>Payment_MFS_pct</t>
        </is>
      </c>
      <c r="AA4" s="57" t="inlineStr">
        <is>
          <t>Payment_credit_pct</t>
        </is>
      </c>
      <c r="AB4" s="57" t="inlineStr">
        <is>
          <t>MFS_transaction_frequency</t>
        </is>
      </c>
      <c r="AC4" s="57" t="inlineStr">
        <is>
          <t>Problem_1</t>
        </is>
      </c>
      <c r="AD4" s="57" t="inlineStr">
        <is>
          <t>Problem_2</t>
        </is>
      </c>
      <c r="AE4" s="57" t="inlineStr">
        <is>
          <t>Problem_3</t>
        </is>
      </c>
      <c r="AF4" s="57" t="inlineStr">
        <is>
          <t>Pair_ID</t>
        </is>
      </c>
      <c r="AG4" s="57" t="inlineStr">
        <is>
          <t>Notes</t>
        </is>
      </c>
    </row>
    <row r="5" ht="19.5" customHeight="1" s="45">
      <c r="B5" s="73" t="inlineStr">
        <is>
          <t>M1-A-01</t>
        </is>
      </c>
      <c r="C5" s="74" t="inlineStr">
        <is>
          <t>M1</t>
        </is>
      </c>
      <c r="D5" s="65" t="n">
        <v>46084</v>
      </c>
      <c r="E5" s="69" t="n">
        <v>50</v>
      </c>
      <c r="F5" s="67" t="inlineStr">
        <is>
          <t>Secondary</t>
        </is>
      </c>
      <c r="G5" s="69" t="n">
        <v>12</v>
      </c>
      <c r="H5" s="75" t="n">
        <v>18</v>
      </c>
      <c r="I5" s="67" t="inlineStr">
        <is>
          <t>Maund</t>
        </is>
      </c>
      <c r="J5" s="76" t="n">
        <v>671.76</v>
      </c>
      <c r="K5" s="69" t="n">
        <v>4</v>
      </c>
      <c r="L5" s="67" t="inlineStr">
        <is>
          <t>Pay</t>
        </is>
      </c>
      <c r="M5" s="75" t="n">
        <v>30000</v>
      </c>
      <c r="N5" s="67" t="inlineStr">
        <is>
          <t>Monthly</t>
        </is>
      </c>
      <c r="O5" s="67" t="inlineStr">
        <is>
          <t>Percent</t>
        </is>
      </c>
      <c r="P5" s="75" t="n">
        <v>3</v>
      </c>
      <c r="Q5" s="75" t="n">
        <v>11400</v>
      </c>
      <c r="R5" s="67" t="inlineStr">
        <is>
          <t>Monthly</t>
        </is>
      </c>
      <c r="S5" s="69" t="n">
        <v>8</v>
      </c>
      <c r="T5" s="75" t="n">
        <v>600</v>
      </c>
      <c r="U5" s="75" t="n">
        <v>5000</v>
      </c>
      <c r="V5" s="67" t="inlineStr">
        <is>
          <t>Monthly</t>
        </is>
      </c>
      <c r="W5" s="68" t="inlineStr">
        <is>
          <t>Auction hall cleaning fee</t>
        </is>
      </c>
      <c r="X5" s="75" t="n">
        <v>1100</v>
      </c>
      <c r="Y5" s="77" t="n">
        <v>67</v>
      </c>
      <c r="Z5" s="77" t="n">
        <v>22</v>
      </c>
      <c r="AA5" s="77" t="n">
        <v>11</v>
      </c>
      <c r="AB5" s="67" t="inlineStr">
        <is>
          <t>Occasional</t>
        </is>
      </c>
      <c r="AC5" s="68" t="inlineStr">
        <is>
          <t>Low landings in lean season</t>
        </is>
      </c>
      <c r="AD5" s="68" t="inlineStr">
        <is>
          <t>Unsold fish spoilage loss</t>
        </is>
      </c>
      <c r="AE5" s="68" t="inlineStr">
        <is>
          <t>Supply syndicate control</t>
        </is>
      </c>
      <c r="AF5" s="67" t="inlineStr">
        <is>
          <t>PAIR-M1-02</t>
        </is>
      </c>
      <c r="AG5" s="68" t="n"/>
    </row>
    <row r="6" ht="19.5" customHeight="1" s="45">
      <c r="B6" s="73" t="inlineStr">
        <is>
          <t>M1-A-02</t>
        </is>
      </c>
      <c r="C6" s="74" t="inlineStr">
        <is>
          <t>M1</t>
        </is>
      </c>
      <c r="D6" s="65" t="n">
        <v>46084</v>
      </c>
      <c r="E6" s="69" t="n">
        <v>32</v>
      </c>
      <c r="F6" s="67" t="inlineStr">
        <is>
          <t>Secondary</t>
        </is>
      </c>
      <c r="G6" s="69" t="n">
        <v>16</v>
      </c>
      <c r="H6" s="75" t="n">
        <v>19</v>
      </c>
      <c r="I6" s="67" t="inlineStr">
        <is>
          <t>Maund</t>
        </is>
      </c>
      <c r="J6" s="76" t="n">
        <v>709.08</v>
      </c>
      <c r="K6" s="69" t="n">
        <v>3</v>
      </c>
      <c r="L6" s="67" t="inlineStr">
        <is>
          <t>Pay</t>
        </is>
      </c>
      <c r="M6" s="75" t="n">
        <v>420000</v>
      </c>
      <c r="N6" s="67" t="inlineStr">
        <is>
          <t>Yearly</t>
        </is>
      </c>
      <c r="O6" s="67" t="inlineStr">
        <is>
          <t>Kg</t>
        </is>
      </c>
      <c r="P6" s="75" t="n">
        <v>1</v>
      </c>
      <c r="Q6" s="75" t="n">
        <v>8700</v>
      </c>
      <c r="R6" s="67" t="inlineStr">
        <is>
          <t>Monthly</t>
        </is>
      </c>
      <c r="S6" s="69" t="n">
        <v>7</v>
      </c>
      <c r="T6" s="75" t="n">
        <v>550</v>
      </c>
      <c r="U6" s="75" t="n">
        <v>7500</v>
      </c>
      <c r="V6" s="67" t="inlineStr">
        <is>
          <t>Monthly</t>
        </is>
      </c>
      <c r="W6" s="68" t="inlineStr">
        <is>
          <t>Auction hall cleaning fee</t>
        </is>
      </c>
      <c r="X6" s="75" t="n">
        <v>1150</v>
      </c>
      <c r="Y6" s="77" t="n">
        <v>65</v>
      </c>
      <c r="Z6" s="77" t="n">
        <v>10</v>
      </c>
      <c r="AA6" s="77" t="n">
        <v>25</v>
      </c>
      <c r="AB6" s="67" t="inlineStr">
        <is>
          <t>Regular</t>
        </is>
      </c>
      <c r="AC6" s="68" t="inlineStr">
        <is>
          <t>Rising cost of ice and salt</t>
        </is>
      </c>
      <c r="AD6" s="68" t="inlineStr">
        <is>
          <t>Delayed credit recovery</t>
        </is>
      </c>
      <c r="AE6" s="68" t="inlineStr">
        <is>
          <t>Competition from frozen imported fish</t>
        </is>
      </c>
      <c r="AF6" s="67" t="n"/>
      <c r="AG6" s="68" t="n"/>
    </row>
    <row r="7" ht="19.5" customHeight="1" s="45">
      <c r="B7" s="73" t="inlineStr">
        <is>
          <t>M1-A-03</t>
        </is>
      </c>
      <c r="C7" s="74" t="inlineStr">
        <is>
          <t>M1</t>
        </is>
      </c>
      <c r="D7" s="65" t="n">
        <v>46084</v>
      </c>
      <c r="E7" s="69" t="n">
        <v>55</v>
      </c>
      <c r="F7" s="67" t="inlineStr">
        <is>
          <t>Secondary</t>
        </is>
      </c>
      <c r="G7" s="69" t="n">
        <v>32</v>
      </c>
      <c r="H7" s="75" t="n">
        <v>14</v>
      </c>
      <c r="I7" s="67" t="inlineStr">
        <is>
          <t>Maund</t>
        </is>
      </c>
      <c r="J7" s="76" t="n">
        <v>522.48</v>
      </c>
      <c r="K7" s="69" t="n">
        <v>4</v>
      </c>
      <c r="L7" s="67" t="inlineStr">
        <is>
          <t>Pay</t>
        </is>
      </c>
      <c r="M7" s="75" t="n">
        <v>420000</v>
      </c>
      <c r="N7" s="67" t="inlineStr">
        <is>
          <t>Yearly</t>
        </is>
      </c>
      <c r="O7" s="67" t="inlineStr">
        <is>
          <t>Lot</t>
        </is>
      </c>
      <c r="P7" s="75" t="n">
        <v>1000</v>
      </c>
      <c r="Q7" s="75" t="n">
        <v>12700</v>
      </c>
      <c r="R7" s="67" t="inlineStr">
        <is>
          <t>Monthly</t>
        </is>
      </c>
      <c r="S7" s="69" t="n">
        <v>3</v>
      </c>
      <c r="T7" s="75" t="n">
        <v>800</v>
      </c>
      <c r="U7" s="75" t="n">
        <v>12000</v>
      </c>
      <c r="V7" s="67" t="inlineStr">
        <is>
          <t>Yearly</t>
        </is>
      </c>
      <c r="W7" s="68" t="inlineStr">
        <is>
          <t>Weighing scale repair</t>
        </is>
      </c>
      <c r="X7" s="75" t="n">
        <v>950</v>
      </c>
      <c r="Y7" s="77" t="n">
        <v>80</v>
      </c>
      <c r="Z7" s="77" t="n">
        <v>8</v>
      </c>
      <c r="AA7" s="77" t="n">
        <v>12</v>
      </c>
      <c r="AB7" s="67" t="inlineStr">
        <is>
          <t>Regular</t>
        </is>
      </c>
      <c r="AC7" s="68" t="inlineStr">
        <is>
          <t>Competition from frozen imported fish</t>
        </is>
      </c>
      <c r="AD7" s="68" t="inlineStr">
        <is>
          <t>Day-to-day price volatility</t>
        </is>
      </c>
      <c r="AE7" s="68" t="inlineStr">
        <is>
          <t>Transport cost increase</t>
        </is>
      </c>
      <c r="AF7" s="67" t="n"/>
      <c r="AG7" s="68" t="n"/>
    </row>
    <row r="8" ht="19.5" customHeight="1" s="45">
      <c r="B8" s="73" t="inlineStr">
        <is>
          <t>M1-A-04</t>
        </is>
      </c>
      <c r="C8" s="74" t="inlineStr">
        <is>
          <t>M1</t>
        </is>
      </c>
      <c r="D8" s="65" t="n">
        <v>46084</v>
      </c>
      <c r="E8" s="69" t="n">
        <v>39</v>
      </c>
      <c r="F8" s="67" t="inlineStr">
        <is>
          <t>Secondary</t>
        </is>
      </c>
      <c r="G8" s="69" t="n">
        <v>17</v>
      </c>
      <c r="H8" s="75" t="n">
        <v>11</v>
      </c>
      <c r="I8" s="67" t="inlineStr">
        <is>
          <t>Maund</t>
        </is>
      </c>
      <c r="J8" s="76" t="n">
        <v>410.52</v>
      </c>
      <c r="K8" s="69" t="n">
        <v>5</v>
      </c>
      <c r="L8" s="67" t="inlineStr">
        <is>
          <t>Pay</t>
        </is>
      </c>
      <c r="M8" s="75" t="n">
        <v>240000</v>
      </c>
      <c r="N8" s="67" t="inlineStr">
        <is>
          <t>Yearly</t>
        </is>
      </c>
      <c r="O8" s="67" t="inlineStr">
        <is>
          <t>Percent</t>
        </is>
      </c>
      <c r="P8" s="75" t="n">
        <v>2</v>
      </c>
      <c r="Q8" s="75" t="n">
        <v>5800</v>
      </c>
      <c r="R8" s="67" t="inlineStr">
        <is>
          <t>Monthly</t>
        </is>
      </c>
      <c r="S8" s="69" t="n">
        <v>5</v>
      </c>
      <c r="T8" s="75" t="n">
        <v>700</v>
      </c>
      <c r="U8" s="75" t="n">
        <v>6500</v>
      </c>
      <c r="V8" s="67" t="inlineStr">
        <is>
          <t>Yearly</t>
        </is>
      </c>
      <c r="W8" s="68" t="inlineStr">
        <is>
          <t>Auction hall cleaning fee</t>
        </is>
      </c>
      <c r="X8" s="75" t="n">
        <v>450</v>
      </c>
      <c r="Y8" s="77" t="n">
        <v>69</v>
      </c>
      <c r="Z8" s="77" t="n">
        <v>20</v>
      </c>
      <c r="AA8" s="77" t="n">
        <v>11</v>
      </c>
      <c r="AB8" s="67" t="inlineStr">
        <is>
          <t>Occasional</t>
        </is>
      </c>
      <c r="AC8" s="68" t="inlineStr">
        <is>
          <t>Delayed credit recovery</t>
        </is>
      </c>
      <c r="AD8" s="68" t="inlineStr">
        <is>
          <t>Supply syndicate control</t>
        </is>
      </c>
      <c r="AE8" s="68" t="inlineStr">
        <is>
          <t>Low landings in lean season</t>
        </is>
      </c>
      <c r="AF8" s="67" t="n"/>
      <c r="AG8" s="68" t="n"/>
    </row>
    <row r="9" ht="19.5" customHeight="1" s="45">
      <c r="B9" s="73" t="inlineStr">
        <is>
          <t>M1-A-05</t>
        </is>
      </c>
      <c r="C9" s="74" t="inlineStr">
        <is>
          <t>M1</t>
        </is>
      </c>
      <c r="D9" s="65" t="n">
        <v>46084</v>
      </c>
      <c r="E9" s="69" t="n">
        <v>57</v>
      </c>
      <c r="F9" s="67" t="inlineStr">
        <is>
          <t>Primary</t>
        </is>
      </c>
      <c r="G9" s="69" t="n">
        <v>31</v>
      </c>
      <c r="H9" s="75" t="n">
        <v>29</v>
      </c>
      <c r="I9" s="67" t="inlineStr">
        <is>
          <t>Maund</t>
        </is>
      </c>
      <c r="J9" s="76" t="n">
        <v>1082.28</v>
      </c>
      <c r="K9" s="69" t="n">
        <v>9</v>
      </c>
      <c r="L9" s="67" t="inlineStr">
        <is>
          <t>Pay</t>
        </is>
      </c>
      <c r="M9" s="75" t="n">
        <v>380000</v>
      </c>
      <c r="N9" s="67" t="inlineStr">
        <is>
          <t>Yearly</t>
        </is>
      </c>
      <c r="O9" s="67" t="inlineStr">
        <is>
          <t>Percent</t>
        </is>
      </c>
      <c r="P9" s="75" t="n">
        <v>3</v>
      </c>
      <c r="Q9" s="75" t="n">
        <v>12000</v>
      </c>
      <c r="R9" s="67" t="inlineStr">
        <is>
          <t>Monthly</t>
        </is>
      </c>
      <c r="S9" s="69" t="n">
        <v>8</v>
      </c>
      <c r="T9" s="75" t="n">
        <v>500</v>
      </c>
      <c r="U9" s="75" t="n">
        <v>9500</v>
      </c>
      <c r="V9" s="67" t="inlineStr">
        <is>
          <t>Yearly</t>
        </is>
      </c>
      <c r="W9" s="68" t="inlineStr">
        <is>
          <t>Market committee toll</t>
        </is>
      </c>
      <c r="X9" s="75" t="n">
        <v>2000</v>
      </c>
      <c r="Y9" s="77" t="n">
        <v>65</v>
      </c>
      <c r="Z9" s="77" t="n">
        <v>13</v>
      </c>
      <c r="AA9" s="77" t="n">
        <v>22</v>
      </c>
      <c r="AB9" s="67" t="inlineStr">
        <is>
          <t>Occasional</t>
        </is>
      </c>
      <c r="AC9" s="68" t="inlineStr">
        <is>
          <t>Day-to-day price volatility</t>
        </is>
      </c>
      <c r="AD9" s="68" t="inlineStr">
        <is>
          <t>Competition from frozen imported fish</t>
        </is>
      </c>
      <c r="AE9" s="68" t="inlineStr">
        <is>
          <t>Rising cost of ice and salt</t>
        </is>
      </c>
      <c r="AF9" s="67" t="inlineStr">
        <is>
          <t>PAIR-M1-01</t>
        </is>
      </c>
      <c r="AG9" s="68" t="n"/>
    </row>
    <row r="10" ht="19.5" customHeight="1" s="45">
      <c r="B10" s="73" t="inlineStr">
        <is>
          <t>M1-A-06</t>
        </is>
      </c>
      <c r="C10" s="74" t="inlineStr">
        <is>
          <t>M1</t>
        </is>
      </c>
      <c r="D10" s="65" t="n"/>
      <c r="E10" s="69" t="n"/>
      <c r="F10" s="67" t="n"/>
      <c r="G10" s="69" t="n"/>
      <c r="H10" s="75" t="n"/>
      <c r="I10" s="67" t="n"/>
      <c r="J10" s="76" t="n"/>
      <c r="K10" s="69" t="n"/>
      <c r="L10" s="67" t="n"/>
      <c r="M10" s="75" t="n"/>
      <c r="N10" s="67" t="n"/>
      <c r="O10" s="67" t="n"/>
      <c r="P10" s="75" t="n"/>
      <c r="Q10" s="75" t="n"/>
      <c r="R10" s="67" t="n"/>
      <c r="S10" s="69" t="n"/>
      <c r="T10" s="75" t="n"/>
      <c r="U10" s="75" t="n"/>
      <c r="V10" s="67" t="n"/>
      <c r="W10" s="68" t="n"/>
      <c r="X10" s="75" t="n"/>
      <c r="Y10" s="77" t="n"/>
      <c r="Z10" s="77" t="n"/>
      <c r="AA10" s="77" t="n"/>
      <c r="AB10" s="67" t="n"/>
      <c r="AC10" s="68" t="n"/>
      <c r="AD10" s="68" t="n"/>
      <c r="AE10" s="68" t="n"/>
      <c r="AF10" s="67" t="n"/>
      <c r="AG10" s="68" t="n"/>
    </row>
    <row r="11" ht="19.5" customHeight="1" s="45">
      <c r="B11" s="73" t="inlineStr">
        <is>
          <t>M2-A-01</t>
        </is>
      </c>
      <c r="C11" s="74" t="inlineStr">
        <is>
          <t>M2</t>
        </is>
      </c>
      <c r="D11" s="65" t="n">
        <v>46085</v>
      </c>
      <c r="E11" s="69" t="n">
        <v>29</v>
      </c>
      <c r="F11" s="67" t="inlineStr">
        <is>
          <t>Secondary</t>
        </is>
      </c>
      <c r="G11" s="69" t="n">
        <v>13</v>
      </c>
      <c r="H11" s="75" t="n">
        <v>26</v>
      </c>
      <c r="I11" s="67" t="inlineStr">
        <is>
          <t>Maund</t>
        </is>
      </c>
      <c r="J11" s="76" t="n">
        <v>970.3200000000001</v>
      </c>
      <c r="K11" s="69" t="n">
        <v>3</v>
      </c>
      <c r="L11" s="67" t="inlineStr">
        <is>
          <t>Receive</t>
        </is>
      </c>
      <c r="M11" s="75" t="n">
        <v>2000</v>
      </c>
      <c r="N11" s="67" t="inlineStr">
        <is>
          <t>Monthly</t>
        </is>
      </c>
      <c r="O11" s="67" t="inlineStr">
        <is>
          <t>Percent</t>
        </is>
      </c>
      <c r="P11" s="75" t="n">
        <v>3.5</v>
      </c>
      <c r="Q11" s="75" t="n">
        <v>11100</v>
      </c>
      <c r="R11" s="67" t="inlineStr">
        <is>
          <t>Monthly</t>
        </is>
      </c>
      <c r="S11" s="69" t="n">
        <v>6</v>
      </c>
      <c r="T11" s="75" t="n">
        <v>800</v>
      </c>
      <c r="U11" s="75" t="n">
        <v>9000</v>
      </c>
      <c r="V11" s="67" t="inlineStr">
        <is>
          <t>Yearly</t>
        </is>
      </c>
      <c r="W11" s="68" t="inlineStr">
        <is>
          <t>Weighing scale repair</t>
        </is>
      </c>
      <c r="X11" s="75" t="n">
        <v>500</v>
      </c>
      <c r="Y11" s="77" t="n">
        <v>77</v>
      </c>
      <c r="Z11" s="77" t="n">
        <v>16</v>
      </c>
      <c r="AA11" s="77" t="n">
        <v>7</v>
      </c>
      <c r="AB11" s="67" t="inlineStr">
        <is>
          <t>Regular</t>
        </is>
      </c>
      <c r="AC11" s="68" t="inlineStr">
        <is>
          <t>Low landings in lean season</t>
        </is>
      </c>
      <c r="AD11" s="68" t="inlineStr">
        <is>
          <t>High ice price</t>
        </is>
      </c>
      <c r="AE11" s="68" t="inlineStr">
        <is>
          <t>Irregular electricity and load-shedding</t>
        </is>
      </c>
      <c r="AF11" s="67" t="inlineStr">
        <is>
          <t>PAIR-M2-02</t>
        </is>
      </c>
      <c r="AG11" s="68" t="n"/>
    </row>
    <row r="12" ht="19.5" customHeight="1" s="45">
      <c r="B12" s="73" t="inlineStr">
        <is>
          <t>M2-A-02</t>
        </is>
      </c>
      <c r="C12" s="74" t="inlineStr">
        <is>
          <t>M2</t>
        </is>
      </c>
      <c r="D12" s="65" t="n">
        <v>46085</v>
      </c>
      <c r="E12" s="69" t="n">
        <v>52</v>
      </c>
      <c r="F12" s="67" t="inlineStr">
        <is>
          <t>Illiterate</t>
        </is>
      </c>
      <c r="G12" s="69" t="n">
        <v>20</v>
      </c>
      <c r="H12" s="75" t="n">
        <v>32</v>
      </c>
      <c r="I12" s="67" t="inlineStr">
        <is>
          <t>Maund</t>
        </is>
      </c>
      <c r="J12" s="76" t="n">
        <v>1194.24</v>
      </c>
      <c r="K12" s="69" t="n">
        <v>8</v>
      </c>
      <c r="L12" s="67" t="inlineStr">
        <is>
          <t>Receive</t>
        </is>
      </c>
      <c r="M12" s="75" t="n">
        <v>2500</v>
      </c>
      <c r="N12" s="67" t="inlineStr">
        <is>
          <t>Monthly</t>
        </is>
      </c>
      <c r="O12" s="67" t="inlineStr">
        <is>
          <t>Kg</t>
        </is>
      </c>
      <c r="P12" s="75" t="n">
        <v>3</v>
      </c>
      <c r="Q12" s="75" t="n">
        <v>4400</v>
      </c>
      <c r="R12" s="67" t="inlineStr">
        <is>
          <t>Monthly</t>
        </is>
      </c>
      <c r="S12" s="69" t="n">
        <v>6</v>
      </c>
      <c r="T12" s="75" t="n">
        <v>650</v>
      </c>
      <c r="U12" s="75" t="n">
        <v>11000</v>
      </c>
      <c r="V12" s="67" t="inlineStr">
        <is>
          <t>Yearly</t>
        </is>
      </c>
      <c r="W12" s="68" t="inlineStr">
        <is>
          <t>Ice block purchase</t>
        </is>
      </c>
      <c r="X12" s="75" t="n">
        <v>1800</v>
      </c>
      <c r="Y12" s="77" t="n">
        <v>73</v>
      </c>
      <c r="Z12" s="77" t="n">
        <v>7</v>
      </c>
      <c r="AA12" s="77" t="n">
        <v>20</v>
      </c>
      <c r="AB12" s="67" t="inlineStr">
        <is>
          <t>Regular</t>
        </is>
      </c>
      <c r="AC12" s="68" t="inlineStr">
        <is>
          <t>Competition from frozen imported fish</t>
        </is>
      </c>
      <c r="AD12" s="68" t="inlineStr">
        <is>
          <t>Low landings in lean season</t>
        </is>
      </c>
      <c r="AE12" s="68" t="inlineStr">
        <is>
          <t>Rising toll and lease burden</t>
        </is>
      </c>
      <c r="AF12" s="67" t="n"/>
      <c r="AG12" s="68" t="n"/>
    </row>
    <row r="13" ht="19.5" customHeight="1" s="45">
      <c r="B13" s="73" t="inlineStr">
        <is>
          <t>M2-A-03</t>
        </is>
      </c>
      <c r="C13" s="74" t="inlineStr">
        <is>
          <t>M2</t>
        </is>
      </c>
      <c r="D13" s="65" t="n">
        <v>46085</v>
      </c>
      <c r="E13" s="69" t="n">
        <v>34</v>
      </c>
      <c r="F13" s="67" t="inlineStr">
        <is>
          <t>Primary</t>
        </is>
      </c>
      <c r="G13" s="69" t="n">
        <v>12</v>
      </c>
      <c r="H13" s="75" t="n">
        <v>10</v>
      </c>
      <c r="I13" s="67" t="inlineStr">
        <is>
          <t>Maund</t>
        </is>
      </c>
      <c r="J13" s="76" t="n">
        <v>373.2</v>
      </c>
      <c r="K13" s="69" t="n">
        <v>7</v>
      </c>
      <c r="L13" s="67" t="inlineStr">
        <is>
          <t>Pay</t>
        </is>
      </c>
      <c r="M13" s="75" t="n">
        <v>80000</v>
      </c>
      <c r="N13" s="67" t="inlineStr">
        <is>
          <t>Yearly</t>
        </is>
      </c>
      <c r="O13" s="67" t="inlineStr">
        <is>
          <t>Lot</t>
        </is>
      </c>
      <c r="P13" s="75" t="n">
        <v>500</v>
      </c>
      <c r="Q13" s="75" t="n">
        <v>5300</v>
      </c>
      <c r="R13" s="67" t="inlineStr">
        <is>
          <t>Monthly</t>
        </is>
      </c>
      <c r="S13" s="69" t="n">
        <v>6</v>
      </c>
      <c r="T13" s="75" t="n">
        <v>500</v>
      </c>
      <c r="U13" s="75" t="n">
        <v>11000</v>
      </c>
      <c r="V13" s="67" t="inlineStr">
        <is>
          <t>Yearly</t>
        </is>
      </c>
      <c r="W13" s="68" t="inlineStr">
        <is>
          <t>Ice block purchase</t>
        </is>
      </c>
      <c r="X13" s="75" t="n">
        <v>1300</v>
      </c>
      <c r="Y13" s="77" t="n">
        <v>66</v>
      </c>
      <c r="Z13" s="77" t="n">
        <v>16</v>
      </c>
      <c r="AA13" s="77" t="n">
        <v>18</v>
      </c>
      <c r="AB13" s="67" t="inlineStr">
        <is>
          <t>Regular</t>
        </is>
      </c>
      <c r="AC13" s="68" t="inlineStr">
        <is>
          <t>Waterlogging during monsoon</t>
        </is>
      </c>
      <c r="AD13" s="68" t="inlineStr">
        <is>
          <t>Rising toll and lease burden</t>
        </is>
      </c>
      <c r="AE13" s="68" t="inlineStr">
        <is>
          <t>Rising cost of ice and salt</t>
        </is>
      </c>
      <c r="AF13" s="67" t="n"/>
      <c r="AG13" s="68" t="n"/>
    </row>
    <row r="14" ht="19.5" customHeight="1" s="45">
      <c r="B14" s="73" t="inlineStr">
        <is>
          <t>M2-A-04</t>
        </is>
      </c>
      <c r="C14" s="74" t="inlineStr">
        <is>
          <t>M2</t>
        </is>
      </c>
      <c r="D14" s="65" t="n">
        <v>46085</v>
      </c>
      <c r="E14" s="69" t="n">
        <v>59</v>
      </c>
      <c r="F14" s="67" t="inlineStr">
        <is>
          <t>Higher_Secondary</t>
        </is>
      </c>
      <c r="G14" s="69" t="n">
        <v>34</v>
      </c>
      <c r="H14" s="75" t="n">
        <v>21</v>
      </c>
      <c r="I14" s="67" t="inlineStr">
        <is>
          <t>Maund</t>
        </is>
      </c>
      <c r="J14" s="76" t="n">
        <v>783.72</v>
      </c>
      <c r="K14" s="69" t="n">
        <v>9</v>
      </c>
      <c r="L14" s="67" t="inlineStr">
        <is>
          <t>Pay</t>
        </is>
      </c>
      <c r="M14" s="75" t="n">
        <v>150000</v>
      </c>
      <c r="N14" s="67" t="inlineStr">
        <is>
          <t>Yearly</t>
        </is>
      </c>
      <c r="O14" s="67" t="inlineStr">
        <is>
          <t>Kg</t>
        </is>
      </c>
      <c r="P14" s="75" t="n">
        <v>3</v>
      </c>
      <c r="Q14" s="75" t="n">
        <v>5000</v>
      </c>
      <c r="R14" s="67" t="inlineStr">
        <is>
          <t>Monthly</t>
        </is>
      </c>
      <c r="S14" s="69" t="n">
        <v>3</v>
      </c>
      <c r="T14" s="75" t="n">
        <v>800</v>
      </c>
      <c r="U14" s="75" t="n">
        <v>9000</v>
      </c>
      <c r="V14" s="67" t="inlineStr">
        <is>
          <t>Monthly</t>
        </is>
      </c>
      <c r="W14" s="68" t="inlineStr">
        <is>
          <t>Weighing scale repair</t>
        </is>
      </c>
      <c r="X14" s="75" t="n">
        <v>1350</v>
      </c>
      <c r="Y14" s="77" t="n">
        <v>61</v>
      </c>
      <c r="Z14" s="77" t="n">
        <v>24</v>
      </c>
      <c r="AA14" s="77" t="n">
        <v>15</v>
      </c>
      <c r="AB14" s="67" t="inlineStr">
        <is>
          <t>Never</t>
        </is>
      </c>
      <c r="AC14" s="68" t="inlineStr">
        <is>
          <t>Unsold fish spoilage loss</t>
        </is>
      </c>
      <c r="AD14" s="68" t="inlineStr">
        <is>
          <t>Waterlogging during monsoon</t>
        </is>
      </c>
      <c r="AE14" s="68" t="inlineStr">
        <is>
          <t>High ice price</t>
        </is>
      </c>
      <c r="AF14" s="67" t="inlineStr">
        <is>
          <t>PAIR-M2-01</t>
        </is>
      </c>
      <c r="AG14" s="68" t="n"/>
    </row>
    <row r="15" ht="19.5" customHeight="1" s="45">
      <c r="B15" s="73" t="inlineStr">
        <is>
          <t>M2-A-05</t>
        </is>
      </c>
      <c r="C15" s="74" t="inlineStr">
        <is>
          <t>M2</t>
        </is>
      </c>
      <c r="D15" s="65" t="n">
        <v>46085</v>
      </c>
      <c r="E15" s="69" t="n">
        <v>31</v>
      </c>
      <c r="F15" s="67" t="inlineStr">
        <is>
          <t>Primary</t>
        </is>
      </c>
      <c r="G15" s="69" t="n">
        <v>11</v>
      </c>
      <c r="H15" s="75" t="n">
        <v>8</v>
      </c>
      <c r="I15" s="67" t="inlineStr">
        <is>
          <t>Maund</t>
        </is>
      </c>
      <c r="J15" s="76" t="n">
        <v>298.56</v>
      </c>
      <c r="K15" s="69" t="n">
        <v>5</v>
      </c>
      <c r="L15" s="67" t="inlineStr">
        <is>
          <t>Pay</t>
        </is>
      </c>
      <c r="M15" s="75" t="n">
        <v>21000</v>
      </c>
      <c r="N15" s="67" t="inlineStr">
        <is>
          <t>Monthly</t>
        </is>
      </c>
      <c r="O15" s="67" t="inlineStr">
        <is>
          <t>Percent</t>
        </is>
      </c>
      <c r="P15" s="75" t="n">
        <v>2.5</v>
      </c>
      <c r="Q15" s="75" t="n">
        <v>3100</v>
      </c>
      <c r="R15" s="67" t="inlineStr">
        <is>
          <t>Monthly</t>
        </is>
      </c>
      <c r="S15" s="69" t="n">
        <v>6</v>
      </c>
      <c r="T15" s="75" t="n">
        <v>650</v>
      </c>
      <c r="U15" s="75" t="n">
        <v>7500</v>
      </c>
      <c r="V15" s="67" t="inlineStr">
        <is>
          <t>Monthly</t>
        </is>
      </c>
      <c r="W15" s="68" t="inlineStr">
        <is>
          <t>Union levy</t>
        </is>
      </c>
      <c r="X15" s="75" t="n">
        <v>2300</v>
      </c>
      <c r="Y15" s="77" t="n">
        <v>80</v>
      </c>
      <c r="Z15" s="77" t="n">
        <v>15</v>
      </c>
      <c r="AA15" s="77" t="n">
        <v>5</v>
      </c>
      <c r="AB15" s="67" t="inlineStr">
        <is>
          <t>Regular</t>
        </is>
      </c>
      <c r="AC15" s="68" t="inlineStr">
        <is>
          <t>Day-to-day price volatility</t>
        </is>
      </c>
      <c r="AD15" s="68" t="inlineStr">
        <is>
          <t>Competition from frozen imported fish</t>
        </is>
      </c>
      <c r="AE15" s="68" t="inlineStr">
        <is>
          <t>Supply syndicate control</t>
        </is>
      </c>
      <c r="AF15" s="67" t="inlineStr">
        <is>
          <t>PAIR-M2-03</t>
        </is>
      </c>
      <c r="AG15" s="68" t="n"/>
    </row>
    <row r="16" ht="19.5" customHeight="1" s="45">
      <c r="B16" s="73" t="inlineStr">
        <is>
          <t>M2-A-06</t>
        </is>
      </c>
      <c r="C16" s="74" t="inlineStr">
        <is>
          <t>M2</t>
        </is>
      </c>
      <c r="D16" s="65" t="n"/>
      <c r="E16" s="69" t="n"/>
      <c r="F16" s="67" t="n"/>
      <c r="G16" s="69" t="n"/>
      <c r="H16" s="75" t="n"/>
      <c r="I16" s="67" t="n"/>
      <c r="J16" s="76" t="n"/>
      <c r="K16" s="69" t="n"/>
      <c r="L16" s="67" t="n"/>
      <c r="M16" s="75" t="n"/>
      <c r="N16" s="67" t="n"/>
      <c r="O16" s="67" t="n"/>
      <c r="P16" s="75" t="n"/>
      <c r="Q16" s="75" t="n"/>
      <c r="R16" s="67" t="n"/>
      <c r="S16" s="69" t="n"/>
      <c r="T16" s="75" t="n"/>
      <c r="U16" s="75" t="n"/>
      <c r="V16" s="67" t="n"/>
      <c r="W16" s="68" t="n"/>
      <c r="X16" s="75" t="n"/>
      <c r="Y16" s="77" t="n"/>
      <c r="Z16" s="77" t="n"/>
      <c r="AA16" s="77" t="n"/>
      <c r="AB16" s="67" t="n"/>
      <c r="AC16" s="68" t="n"/>
      <c r="AD16" s="68" t="n"/>
      <c r="AE16" s="68" t="n"/>
      <c r="AF16" s="67" t="n"/>
      <c r="AG16" s="68" t="n"/>
    </row>
    <row r="17" ht="19.5" customHeight="1" s="45">
      <c r="B17" s="73" t="inlineStr">
        <is>
          <t>M3-A-01</t>
        </is>
      </c>
      <c r="C17" s="74" t="inlineStr">
        <is>
          <t>M3</t>
        </is>
      </c>
      <c r="D17" s="65" t="n">
        <v>46086</v>
      </c>
      <c r="E17" s="69" t="n">
        <v>51</v>
      </c>
      <c r="F17" s="67" t="inlineStr">
        <is>
          <t>Secondary</t>
        </is>
      </c>
      <c r="G17" s="69" t="n">
        <v>18</v>
      </c>
      <c r="H17" s="75" t="n">
        <v>21</v>
      </c>
      <c r="I17" s="67" t="inlineStr">
        <is>
          <t>Maund</t>
        </is>
      </c>
      <c r="J17" s="76" t="n">
        <v>783.72</v>
      </c>
      <c r="K17" s="69" t="n">
        <v>3</v>
      </c>
      <c r="L17" s="67" t="inlineStr">
        <is>
          <t>Pay</t>
        </is>
      </c>
      <c r="M17" s="75" t="n">
        <v>175000</v>
      </c>
      <c r="N17" s="67" t="inlineStr">
        <is>
          <t>Yearly</t>
        </is>
      </c>
      <c r="O17" s="67" t="inlineStr">
        <is>
          <t>Percent</t>
        </is>
      </c>
      <c r="P17" s="75" t="n">
        <v>2.5</v>
      </c>
      <c r="Q17" s="75" t="n">
        <v>9700</v>
      </c>
      <c r="R17" s="67" t="inlineStr">
        <is>
          <t>Monthly</t>
        </is>
      </c>
      <c r="S17" s="69" t="n">
        <v>9</v>
      </c>
      <c r="T17" s="75" t="n">
        <v>600</v>
      </c>
      <c r="U17" s="75" t="n">
        <v>7500</v>
      </c>
      <c r="V17" s="67" t="inlineStr">
        <is>
          <t>Monthly</t>
        </is>
      </c>
      <c r="W17" s="68" t="inlineStr">
        <is>
          <t>Union levy</t>
        </is>
      </c>
      <c r="X17" s="75" t="n">
        <v>1100</v>
      </c>
      <c r="Y17" s="77" t="n">
        <v>77</v>
      </c>
      <c r="Z17" s="77" t="n">
        <v>14</v>
      </c>
      <c r="AA17" s="77" t="n">
        <v>9</v>
      </c>
      <c r="AB17" s="67" t="inlineStr">
        <is>
          <t>Occasional</t>
        </is>
      </c>
      <c r="AC17" s="68" t="inlineStr">
        <is>
          <t>High ice price</t>
        </is>
      </c>
      <c r="AD17" s="68" t="inlineStr">
        <is>
          <t>Low landings in lean season</t>
        </is>
      </c>
      <c r="AE17" s="68" t="inlineStr">
        <is>
          <t>Waterlogging during monsoon</t>
        </is>
      </c>
      <c r="AF17" s="67" t="n"/>
      <c r="AG17" s="68" t="n"/>
    </row>
    <row r="18" ht="19.5" customHeight="1" s="45">
      <c r="B18" s="73" t="inlineStr">
        <is>
          <t>M3-A-02</t>
        </is>
      </c>
      <c r="C18" s="74" t="inlineStr">
        <is>
          <t>M3</t>
        </is>
      </c>
      <c r="D18" s="65" t="n">
        <v>46086</v>
      </c>
      <c r="E18" s="69" t="n">
        <v>41</v>
      </c>
      <c r="F18" s="67" t="inlineStr">
        <is>
          <t>Secondary</t>
        </is>
      </c>
      <c r="G18" s="69" t="n">
        <v>25</v>
      </c>
      <c r="H18" s="75" t="n">
        <v>31</v>
      </c>
      <c r="I18" s="67" t="inlineStr">
        <is>
          <t>Maund</t>
        </is>
      </c>
      <c r="J18" s="76" t="n">
        <v>1156.92</v>
      </c>
      <c r="K18" s="69" t="n">
        <v>4</v>
      </c>
      <c r="L18" s="67" t="inlineStr">
        <is>
          <t>Pay</t>
        </is>
      </c>
      <c r="M18" s="75" t="n">
        <v>9000</v>
      </c>
      <c r="N18" s="67" t="inlineStr">
        <is>
          <t>Monthly</t>
        </is>
      </c>
      <c r="O18" s="67" t="inlineStr">
        <is>
          <t>Percent</t>
        </is>
      </c>
      <c r="P18" s="75" t="n">
        <v>2</v>
      </c>
      <c r="Q18" s="75" t="n">
        <v>7600</v>
      </c>
      <c r="R18" s="67" t="inlineStr">
        <is>
          <t>Yearly</t>
        </is>
      </c>
      <c r="S18" s="69" t="n">
        <v>4</v>
      </c>
      <c r="T18" s="75" t="n">
        <v>800</v>
      </c>
      <c r="U18" s="75" t="n">
        <v>8500</v>
      </c>
      <c r="V18" s="67" t="inlineStr">
        <is>
          <t>Yearly</t>
        </is>
      </c>
      <c r="W18" s="68" t="inlineStr">
        <is>
          <t>Union levy</t>
        </is>
      </c>
      <c r="X18" s="75" t="n">
        <v>1350</v>
      </c>
      <c r="Y18" s="77" t="n">
        <v>76</v>
      </c>
      <c r="Z18" s="77" t="n">
        <v>5</v>
      </c>
      <c r="AA18" s="77" t="n">
        <v>19</v>
      </c>
      <c r="AB18" s="67" t="inlineStr">
        <is>
          <t>Regular</t>
        </is>
      </c>
      <c r="AC18" s="68" t="inlineStr">
        <is>
          <t>Competition from frozen imported fish</t>
        </is>
      </c>
      <c r="AD18" s="68" t="inlineStr">
        <is>
          <t>Waterlogging during monsoon</t>
        </is>
      </c>
      <c r="AE18" s="68" t="inlineStr">
        <is>
          <t>Transport cost increase</t>
        </is>
      </c>
      <c r="AF18" s="67" t="inlineStr">
        <is>
          <t>PAIR-M3-01</t>
        </is>
      </c>
      <c r="AG18" s="68" t="n"/>
    </row>
    <row r="19" ht="19.5" customHeight="1" s="45">
      <c r="B19" s="73" t="inlineStr">
        <is>
          <t>M3-A-03</t>
        </is>
      </c>
      <c r="C19" s="74" t="inlineStr">
        <is>
          <t>M3</t>
        </is>
      </c>
      <c r="D19" s="65" t="n">
        <v>46086</v>
      </c>
      <c r="E19" s="69" t="n">
        <v>58</v>
      </c>
      <c r="F19" s="67" t="inlineStr">
        <is>
          <t>Primary</t>
        </is>
      </c>
      <c r="G19" s="69" t="n">
        <v>30</v>
      </c>
      <c r="H19" s="75" t="n">
        <v>29</v>
      </c>
      <c r="I19" s="67" t="inlineStr">
        <is>
          <t>Maund</t>
        </is>
      </c>
      <c r="J19" s="76" t="n">
        <v>1082.28</v>
      </c>
      <c r="K19" s="69" t="n">
        <v>7</v>
      </c>
      <c r="L19" s="67" t="inlineStr">
        <is>
          <t>Pay</t>
        </is>
      </c>
      <c r="M19" s="75" t="n">
        <v>165000</v>
      </c>
      <c r="N19" s="67" t="inlineStr">
        <is>
          <t>Yearly</t>
        </is>
      </c>
      <c r="O19" s="67" t="inlineStr">
        <is>
          <t>Kg</t>
        </is>
      </c>
      <c r="P19" s="75" t="n">
        <v>1.5</v>
      </c>
      <c r="Q19" s="75" t="n">
        <v>3200</v>
      </c>
      <c r="R19" s="67" t="inlineStr">
        <is>
          <t>Monthly</t>
        </is>
      </c>
      <c r="S19" s="69" t="n">
        <v>6</v>
      </c>
      <c r="T19" s="75" t="n">
        <v>550</v>
      </c>
      <c r="U19" s="75" t="n">
        <v>6500</v>
      </c>
      <c r="V19" s="67" t="inlineStr">
        <is>
          <t>Yearly</t>
        </is>
      </c>
      <c r="W19" s="68" t="inlineStr">
        <is>
          <t>Auction hall cleaning fee</t>
        </is>
      </c>
      <c r="X19" s="75" t="n">
        <v>950</v>
      </c>
      <c r="Y19" s="77" t="n">
        <v>68</v>
      </c>
      <c r="Z19" s="77" t="n">
        <v>16</v>
      </c>
      <c r="AA19" s="77" t="n">
        <v>16</v>
      </c>
      <c r="AB19" s="67" t="inlineStr">
        <is>
          <t>Occasional</t>
        </is>
      </c>
      <c r="AC19" s="68" t="inlineStr">
        <is>
          <t>Rising cost of ice and salt</t>
        </is>
      </c>
      <c r="AD19" s="68" t="inlineStr">
        <is>
          <t>Low landings in lean season</t>
        </is>
      </c>
      <c r="AE19" s="68" t="inlineStr">
        <is>
          <t>Waterlogging during monsoon</t>
        </is>
      </c>
      <c r="AF19" s="67" t="n"/>
      <c r="AG19" s="68" t="n"/>
    </row>
    <row r="20" ht="19.5" customHeight="1" s="45">
      <c r="B20" s="73" t="inlineStr">
        <is>
          <t>M3-A-04</t>
        </is>
      </c>
      <c r="C20" s="74" t="inlineStr">
        <is>
          <t>M3</t>
        </is>
      </c>
      <c r="D20" s="65" t="n">
        <v>46086</v>
      </c>
      <c r="E20" s="69" t="n">
        <v>48</v>
      </c>
      <c r="F20" s="67" t="inlineStr">
        <is>
          <t>Primary</t>
        </is>
      </c>
      <c r="G20" s="69" t="n">
        <v>8</v>
      </c>
      <c r="H20" s="75" t="n">
        <v>20</v>
      </c>
      <c r="I20" s="67" t="inlineStr">
        <is>
          <t>Maund</t>
        </is>
      </c>
      <c r="J20" s="76" t="n">
        <v>746.4</v>
      </c>
      <c r="K20" s="69" t="n">
        <v>3</v>
      </c>
      <c r="L20" s="67" t="inlineStr">
        <is>
          <t>Pay</t>
        </is>
      </c>
      <c r="M20" s="75" t="n">
        <v>75000</v>
      </c>
      <c r="N20" s="67" t="inlineStr">
        <is>
          <t>Yearly</t>
        </is>
      </c>
      <c r="O20" s="67" t="inlineStr">
        <is>
          <t>Percent</t>
        </is>
      </c>
      <c r="P20" s="75" t="n">
        <v>2</v>
      </c>
      <c r="Q20" s="75" t="n">
        <v>7300</v>
      </c>
      <c r="R20" s="67" t="inlineStr">
        <is>
          <t>Monthly</t>
        </is>
      </c>
      <c r="S20" s="69" t="n">
        <v>6</v>
      </c>
      <c r="T20" s="75" t="n">
        <v>550</v>
      </c>
      <c r="U20" s="75" t="n">
        <v>4000</v>
      </c>
      <c r="V20" s="67" t="inlineStr">
        <is>
          <t>Yearly</t>
        </is>
      </c>
      <c r="W20" s="68" t="inlineStr">
        <is>
          <t>Ice block purchase</t>
        </is>
      </c>
      <c r="X20" s="75" t="n">
        <v>1950</v>
      </c>
      <c r="Y20" s="77" t="n">
        <v>78</v>
      </c>
      <c r="Z20" s="77" t="n">
        <v>5</v>
      </c>
      <c r="AA20" s="77" t="n">
        <v>17</v>
      </c>
      <c r="AB20" s="67" t="inlineStr">
        <is>
          <t>Occasional</t>
        </is>
      </c>
      <c r="AC20" s="68" t="inlineStr">
        <is>
          <t>Rising cost of ice and salt</t>
        </is>
      </c>
      <c r="AD20" s="68" t="inlineStr">
        <is>
          <t>Day-to-day price volatility</t>
        </is>
      </c>
      <c r="AE20" s="68" t="inlineStr">
        <is>
          <t>Delayed credit recovery</t>
        </is>
      </c>
      <c r="AF20" s="67" t="n"/>
      <c r="AG20" s="68" t="n"/>
    </row>
    <row r="21" ht="19.5" customHeight="1" s="45">
      <c r="B21" s="73" t="inlineStr">
        <is>
          <t>M3-A-05</t>
        </is>
      </c>
      <c r="C21" s="74" t="inlineStr">
        <is>
          <t>M3</t>
        </is>
      </c>
      <c r="D21" s="65" t="n">
        <v>46086</v>
      </c>
      <c r="E21" s="69" t="n">
        <v>46</v>
      </c>
      <c r="F21" s="67" t="inlineStr">
        <is>
          <t>Secondary</t>
        </is>
      </c>
      <c r="G21" s="69" t="n">
        <v>30</v>
      </c>
      <c r="H21" s="75" t="n">
        <v>26</v>
      </c>
      <c r="I21" s="67" t="inlineStr">
        <is>
          <t>Maund</t>
        </is>
      </c>
      <c r="J21" s="76" t="n">
        <v>970.3200000000001</v>
      </c>
      <c r="K21" s="69" t="n">
        <v>5</v>
      </c>
      <c r="L21" s="67" t="inlineStr">
        <is>
          <t>Receive</t>
        </is>
      </c>
      <c r="M21" s="75" t="n">
        <v>3500</v>
      </c>
      <c r="N21" s="67" t="inlineStr">
        <is>
          <t>Monthly</t>
        </is>
      </c>
      <c r="O21" s="67" t="inlineStr">
        <is>
          <t>Percent</t>
        </is>
      </c>
      <c r="P21" s="75" t="n">
        <v>2</v>
      </c>
      <c r="Q21" s="75" t="n">
        <v>11700</v>
      </c>
      <c r="R21" s="67" t="inlineStr">
        <is>
          <t>Monthly</t>
        </is>
      </c>
      <c r="S21" s="69" t="n">
        <v>3</v>
      </c>
      <c r="T21" s="75" t="n">
        <v>650</v>
      </c>
      <c r="U21" s="75" t="n">
        <v>2500</v>
      </c>
      <c r="V21" s="67" t="inlineStr">
        <is>
          <t>Yearly</t>
        </is>
      </c>
      <c r="W21" s="68" t="inlineStr">
        <is>
          <t>Weighing scale repair</t>
        </is>
      </c>
      <c r="X21" s="75" t="n">
        <v>800</v>
      </c>
      <c r="Y21" s="77" t="n">
        <v>73</v>
      </c>
      <c r="Z21" s="77" t="n">
        <v>7</v>
      </c>
      <c r="AA21" s="77" t="n">
        <v>20</v>
      </c>
      <c r="AB21" s="67" t="inlineStr">
        <is>
          <t>Occasional</t>
        </is>
      </c>
      <c r="AC21" s="68" t="inlineStr">
        <is>
          <t>High ice price</t>
        </is>
      </c>
      <c r="AD21" s="68" t="inlineStr">
        <is>
          <t>Low landings in lean season</t>
        </is>
      </c>
      <c r="AE21" s="68" t="inlineStr">
        <is>
          <t>Irregular electricity and load-shedding</t>
        </is>
      </c>
      <c r="AF21" s="67" t="inlineStr">
        <is>
          <t>PAIR-M3-02</t>
        </is>
      </c>
      <c r="AG21" s="68" t="n"/>
    </row>
    <row r="22" ht="19.5" customHeight="1" s="45">
      <c r="B22" s="73" t="inlineStr">
        <is>
          <t>M3-A-06</t>
        </is>
      </c>
      <c r="C22" s="74" t="inlineStr">
        <is>
          <t>M3</t>
        </is>
      </c>
      <c r="D22" s="65" t="n"/>
      <c r="E22" s="69" t="n"/>
      <c r="F22" s="67" t="n"/>
      <c r="G22" s="69" t="n"/>
      <c r="H22" s="75" t="n"/>
      <c r="I22" s="67" t="n"/>
      <c r="J22" s="76" t="n"/>
      <c r="K22" s="69" t="n"/>
      <c r="L22" s="67" t="n"/>
      <c r="M22" s="75" t="n"/>
      <c r="N22" s="67" t="n"/>
      <c r="O22" s="67" t="n"/>
      <c r="P22" s="75" t="n"/>
      <c r="Q22" s="75" t="n"/>
      <c r="R22" s="67" t="n"/>
      <c r="S22" s="69" t="n"/>
      <c r="T22" s="75" t="n"/>
      <c r="U22" s="75" t="n"/>
      <c r="V22" s="67" t="n"/>
      <c r="W22" s="68" t="n"/>
      <c r="X22" s="75" t="n"/>
      <c r="Y22" s="77" t="n"/>
      <c r="Z22" s="77" t="n"/>
      <c r="AA22" s="77" t="n"/>
      <c r="AB22" s="67" t="n"/>
      <c r="AC22" s="68" t="n"/>
      <c r="AD22" s="68" t="n"/>
      <c r="AE22" s="68" t="n"/>
      <c r="AF22" s="67" t="n"/>
      <c r="AG22" s="68" t="n"/>
    </row>
    <row r="23" ht="19.5" customHeight="1" s="45">
      <c r="B23" s="73" t="inlineStr">
        <is>
          <t>M4-A-01</t>
        </is>
      </c>
      <c r="C23" s="74" t="inlineStr">
        <is>
          <t>M4</t>
        </is>
      </c>
      <c r="D23" s="65" t="n">
        <v>46087</v>
      </c>
      <c r="E23" s="69" t="n">
        <v>52</v>
      </c>
      <c r="F23" s="67" t="inlineStr">
        <is>
          <t>Primary</t>
        </is>
      </c>
      <c r="G23" s="69" t="n">
        <v>23</v>
      </c>
      <c r="H23" s="75" t="n">
        <v>28</v>
      </c>
      <c r="I23" s="67" t="inlineStr">
        <is>
          <t>Maund</t>
        </is>
      </c>
      <c r="J23" s="76" t="n">
        <v>1044.96</v>
      </c>
      <c r="K23" s="69" t="n">
        <v>8</v>
      </c>
      <c r="L23" s="67" t="inlineStr">
        <is>
          <t>Pay</t>
        </is>
      </c>
      <c r="M23" s="75" t="n">
        <v>17000</v>
      </c>
      <c r="N23" s="67" t="inlineStr">
        <is>
          <t>Monthly</t>
        </is>
      </c>
      <c r="O23" s="67" t="inlineStr">
        <is>
          <t>Percent</t>
        </is>
      </c>
      <c r="P23" s="75" t="n">
        <v>3.5</v>
      </c>
      <c r="Q23" s="75" t="n">
        <v>7100</v>
      </c>
      <c r="R23" s="67" t="inlineStr">
        <is>
          <t>Monthly</t>
        </is>
      </c>
      <c r="S23" s="69" t="n">
        <v>7</v>
      </c>
      <c r="T23" s="75" t="n">
        <v>550</v>
      </c>
      <c r="U23" s="75" t="n">
        <v>4000</v>
      </c>
      <c r="V23" s="67" t="inlineStr">
        <is>
          <t>Yearly</t>
        </is>
      </c>
      <c r="W23" s="68" t="inlineStr">
        <is>
          <t>Weighing scale repair</t>
        </is>
      </c>
      <c r="X23" s="75" t="n">
        <v>550</v>
      </c>
      <c r="Y23" s="77" t="n">
        <v>62</v>
      </c>
      <c r="Z23" s="77" t="n">
        <v>6</v>
      </c>
      <c r="AA23" s="77" t="n">
        <v>32</v>
      </c>
      <c r="AB23" s="67" t="inlineStr">
        <is>
          <t>Never</t>
        </is>
      </c>
      <c r="AC23" s="68" t="inlineStr">
        <is>
          <t>Unsold fish spoilage loss</t>
        </is>
      </c>
      <c r="AD23" s="68" t="inlineStr">
        <is>
          <t>Waterlogging during monsoon</t>
        </is>
      </c>
      <c r="AE23" s="68" t="inlineStr">
        <is>
          <t>Low landings in lean season</t>
        </is>
      </c>
      <c r="AF23" s="67" t="inlineStr">
        <is>
          <t>PAIR-M4-01</t>
        </is>
      </c>
      <c r="AG23" s="68" t="n"/>
    </row>
    <row r="24" ht="19.5" customHeight="1" s="45">
      <c r="B24" s="73" t="inlineStr">
        <is>
          <t>M4-A-02</t>
        </is>
      </c>
      <c r="C24" s="74" t="inlineStr">
        <is>
          <t>M4</t>
        </is>
      </c>
      <c r="D24" s="65" t="n">
        <v>46087</v>
      </c>
      <c r="E24" s="69" t="n">
        <v>57</v>
      </c>
      <c r="F24" s="67" t="inlineStr">
        <is>
          <t>Secondary</t>
        </is>
      </c>
      <c r="G24" s="69" t="n">
        <v>24</v>
      </c>
      <c r="H24" s="75" t="n">
        <v>32</v>
      </c>
      <c r="I24" s="67" t="inlineStr">
        <is>
          <t>Maund</t>
        </is>
      </c>
      <c r="J24" s="76" t="n">
        <v>1194.24</v>
      </c>
      <c r="K24" s="69" t="n">
        <v>8</v>
      </c>
      <c r="L24" s="67" t="inlineStr">
        <is>
          <t>Pay</t>
        </is>
      </c>
      <c r="M24" s="75" t="n">
        <v>100000</v>
      </c>
      <c r="N24" s="67" t="inlineStr">
        <is>
          <t>Yearly</t>
        </is>
      </c>
      <c r="O24" s="67" t="inlineStr">
        <is>
          <t>Percent</t>
        </is>
      </c>
      <c r="P24" s="75" t="n">
        <v>4</v>
      </c>
      <c r="Q24" s="75" t="n">
        <v>11800</v>
      </c>
      <c r="R24" s="67" t="inlineStr">
        <is>
          <t>Monthly</t>
        </is>
      </c>
      <c r="S24" s="69" t="n">
        <v>5</v>
      </c>
      <c r="T24" s="75" t="n">
        <v>750</v>
      </c>
      <c r="U24" s="75" t="n">
        <v>9500</v>
      </c>
      <c r="V24" s="67" t="inlineStr">
        <is>
          <t>Monthly</t>
        </is>
      </c>
      <c r="W24" s="68" t="inlineStr">
        <is>
          <t>Auction hall cleaning fee</t>
        </is>
      </c>
      <c r="X24" s="75" t="n">
        <v>350</v>
      </c>
      <c r="Y24" s="77" t="n">
        <v>66</v>
      </c>
      <c r="Z24" s="77" t="n">
        <v>20</v>
      </c>
      <c r="AA24" s="77" t="n">
        <v>14</v>
      </c>
      <c r="AB24" s="67" t="inlineStr">
        <is>
          <t>Regular</t>
        </is>
      </c>
      <c r="AC24" s="68" t="inlineStr">
        <is>
          <t>Competition from frozen imported fish</t>
        </is>
      </c>
      <c r="AD24" s="68" t="inlineStr">
        <is>
          <t>Unsold fish spoilage loss</t>
        </is>
      </c>
      <c r="AE24" s="68" t="inlineStr">
        <is>
          <t>Delayed credit recovery</t>
        </is>
      </c>
      <c r="AF24" s="67" t="inlineStr">
        <is>
          <t>PAIR-M4-03</t>
        </is>
      </c>
      <c r="AG24" s="68" t="n"/>
    </row>
    <row r="25" ht="19.5" customHeight="1" s="45">
      <c r="B25" s="73" t="inlineStr">
        <is>
          <t>M4-A-03</t>
        </is>
      </c>
      <c r="C25" s="74" t="inlineStr">
        <is>
          <t>M4</t>
        </is>
      </c>
      <c r="D25" s="65" t="n">
        <v>46087</v>
      </c>
      <c r="E25" s="69" t="n">
        <v>37</v>
      </c>
      <c r="F25" s="67" t="inlineStr">
        <is>
          <t>Secondary</t>
        </is>
      </c>
      <c r="G25" s="69" t="n">
        <v>21</v>
      </c>
      <c r="H25" s="75" t="n">
        <v>9</v>
      </c>
      <c r="I25" s="67" t="inlineStr">
        <is>
          <t>Maund</t>
        </is>
      </c>
      <c r="J25" s="76" t="n">
        <v>335.88</v>
      </c>
      <c r="K25" s="69" t="n">
        <v>8</v>
      </c>
      <c r="L25" s="67" t="inlineStr">
        <is>
          <t>Pay</t>
        </is>
      </c>
      <c r="M25" s="75" t="n">
        <v>110000</v>
      </c>
      <c r="N25" s="67" t="inlineStr">
        <is>
          <t>Yearly</t>
        </is>
      </c>
      <c r="O25" s="67" t="inlineStr">
        <is>
          <t>Percent</t>
        </is>
      </c>
      <c r="P25" s="75" t="n">
        <v>3.5</v>
      </c>
      <c r="Q25" s="75" t="n">
        <v>7200</v>
      </c>
      <c r="R25" s="67" t="inlineStr">
        <is>
          <t>Monthly</t>
        </is>
      </c>
      <c r="S25" s="69" t="n">
        <v>2</v>
      </c>
      <c r="T25" s="75" t="n">
        <v>650</v>
      </c>
      <c r="U25" s="75" t="n">
        <v>10000</v>
      </c>
      <c r="V25" s="67" t="inlineStr">
        <is>
          <t>Monthly</t>
        </is>
      </c>
      <c r="W25" s="68" t="inlineStr">
        <is>
          <t>Weighing scale repair</t>
        </is>
      </c>
      <c r="X25" s="75" t="n">
        <v>650</v>
      </c>
      <c r="Y25" s="77" t="n">
        <v>76</v>
      </c>
      <c r="Z25" s="77" t="n">
        <v>18</v>
      </c>
      <c r="AA25" s="77" t="n">
        <v>6</v>
      </c>
      <c r="AB25" s="67" t="inlineStr">
        <is>
          <t>Regular</t>
        </is>
      </c>
      <c r="AC25" s="68" t="inlineStr">
        <is>
          <t>Rising toll and lease burden</t>
        </is>
      </c>
      <c r="AD25" s="68" t="inlineStr">
        <is>
          <t>Rising cost of ice and salt</t>
        </is>
      </c>
      <c r="AE25" s="68" t="inlineStr">
        <is>
          <t>Unsold fish spoilage loss</t>
        </is>
      </c>
      <c r="AF25" s="67" t="inlineStr">
        <is>
          <t>PAIR-M4-02</t>
        </is>
      </c>
      <c r="AG25" s="68" t="n"/>
    </row>
    <row r="26" ht="19.5" customHeight="1" s="45">
      <c r="B26" s="73" t="inlineStr">
        <is>
          <t>M4-A-04</t>
        </is>
      </c>
      <c r="C26" s="74" t="inlineStr">
        <is>
          <t>M4</t>
        </is>
      </c>
      <c r="D26" s="65" t="n">
        <v>46087</v>
      </c>
      <c r="E26" s="69" t="n">
        <v>40</v>
      </c>
      <c r="F26" s="67" t="inlineStr">
        <is>
          <t>Primary</t>
        </is>
      </c>
      <c r="G26" s="69" t="n">
        <v>5</v>
      </c>
      <c r="H26" s="75" t="n">
        <v>26</v>
      </c>
      <c r="I26" s="67" t="inlineStr">
        <is>
          <t>Maund</t>
        </is>
      </c>
      <c r="J26" s="76" t="n">
        <v>970.3200000000001</v>
      </c>
      <c r="K26" s="69" t="n">
        <v>7</v>
      </c>
      <c r="L26" s="67" t="inlineStr">
        <is>
          <t>Pay</t>
        </is>
      </c>
      <c r="M26" s="75" t="n">
        <v>175000</v>
      </c>
      <c r="N26" s="67" t="inlineStr">
        <is>
          <t>Yearly</t>
        </is>
      </c>
      <c r="O26" s="67" t="inlineStr">
        <is>
          <t>Percent</t>
        </is>
      </c>
      <c r="P26" s="75" t="n">
        <v>4</v>
      </c>
      <c r="Q26" s="75" t="n">
        <v>6500</v>
      </c>
      <c r="R26" s="67" t="inlineStr">
        <is>
          <t>Monthly</t>
        </is>
      </c>
      <c r="S26" s="69" t="n">
        <v>8</v>
      </c>
      <c r="T26" s="75" t="n">
        <v>650</v>
      </c>
      <c r="U26" s="75" t="n">
        <v>3500</v>
      </c>
      <c r="V26" s="67" t="inlineStr">
        <is>
          <t>Yearly</t>
        </is>
      </c>
      <c r="W26" s="68" t="inlineStr">
        <is>
          <t>Union levy</t>
        </is>
      </c>
      <c r="X26" s="75" t="n">
        <v>1300</v>
      </c>
      <c r="Y26" s="77" t="n">
        <v>67</v>
      </c>
      <c r="Z26" s="77" t="n">
        <v>9</v>
      </c>
      <c r="AA26" s="77" t="n">
        <v>24</v>
      </c>
      <c r="AB26" s="67" t="inlineStr">
        <is>
          <t>Occasional</t>
        </is>
      </c>
      <c r="AC26" s="68" t="inlineStr">
        <is>
          <t>Rising cost of ice and salt</t>
        </is>
      </c>
      <c r="AD26" s="68" t="inlineStr">
        <is>
          <t>Delayed credit recovery</t>
        </is>
      </c>
      <c r="AE26" s="68" t="inlineStr">
        <is>
          <t>Transport cost increase</t>
        </is>
      </c>
      <c r="AF26" s="67" t="n"/>
      <c r="AG26" s="68" t="n"/>
    </row>
    <row r="27" ht="19.5" customHeight="1" s="45">
      <c r="B27" s="73" t="inlineStr">
        <is>
          <t>M4-A-05</t>
        </is>
      </c>
      <c r="C27" s="74" t="inlineStr">
        <is>
          <t>M4</t>
        </is>
      </c>
      <c r="D27" s="65" t="n">
        <v>46087</v>
      </c>
      <c r="E27" s="69" t="n">
        <v>62</v>
      </c>
      <c r="F27" s="67" t="inlineStr">
        <is>
          <t>Higher_Secondary</t>
        </is>
      </c>
      <c r="G27" s="69" t="n">
        <v>27</v>
      </c>
      <c r="H27" s="75" t="n">
        <v>24</v>
      </c>
      <c r="I27" s="67" t="inlineStr">
        <is>
          <t>Maund</t>
        </is>
      </c>
      <c r="J27" s="76" t="n">
        <v>895.6799999999999</v>
      </c>
      <c r="K27" s="69" t="n">
        <v>5</v>
      </c>
      <c r="L27" s="67" t="inlineStr">
        <is>
          <t>Pay</t>
        </is>
      </c>
      <c r="M27" s="75" t="n">
        <v>120000</v>
      </c>
      <c r="N27" s="67" t="inlineStr">
        <is>
          <t>Yearly</t>
        </is>
      </c>
      <c r="O27" s="67" t="inlineStr">
        <is>
          <t>Lot</t>
        </is>
      </c>
      <c r="P27" s="75" t="n">
        <v>2000</v>
      </c>
      <c r="Q27" s="75" t="n">
        <v>4400</v>
      </c>
      <c r="R27" s="67" t="inlineStr">
        <is>
          <t>Monthly</t>
        </is>
      </c>
      <c r="S27" s="69" t="n">
        <v>3</v>
      </c>
      <c r="T27" s="75" t="n">
        <v>700</v>
      </c>
      <c r="U27" s="75" t="n">
        <v>8000</v>
      </c>
      <c r="V27" s="67" t="inlineStr">
        <is>
          <t>Yearly</t>
        </is>
      </c>
      <c r="W27" s="68" t="inlineStr">
        <is>
          <t>Weighing scale repair</t>
        </is>
      </c>
      <c r="X27" s="75" t="n">
        <v>800</v>
      </c>
      <c r="Y27" s="77" t="n">
        <v>67</v>
      </c>
      <c r="Z27" s="77" t="n">
        <v>18</v>
      </c>
      <c r="AA27" s="77" t="n">
        <v>15</v>
      </c>
      <c r="AB27" s="67" t="inlineStr">
        <is>
          <t>Regular</t>
        </is>
      </c>
      <c r="AC27" s="68" t="inlineStr">
        <is>
          <t>Waterlogging during monsoon</t>
        </is>
      </c>
      <c r="AD27" s="68" t="inlineStr">
        <is>
          <t>Irregular electricity and load-shedding</t>
        </is>
      </c>
      <c r="AE27" s="68" t="inlineStr">
        <is>
          <t>Competition from frozen imported fish</t>
        </is>
      </c>
      <c r="AF27" s="67" t="n"/>
      <c r="AG27" s="68" t="n"/>
    </row>
    <row r="28" ht="19.5" customHeight="1" s="45">
      <c r="B28" s="73" t="inlineStr">
        <is>
          <t>M4-A-06</t>
        </is>
      </c>
      <c r="C28" s="74" t="inlineStr">
        <is>
          <t>M4</t>
        </is>
      </c>
      <c r="D28" s="65" t="n"/>
      <c r="E28" s="69" t="n"/>
      <c r="F28" s="67" t="n"/>
      <c r="G28" s="69" t="n"/>
      <c r="H28" s="75" t="n"/>
      <c r="I28" s="67" t="n"/>
      <c r="J28" s="76" t="n"/>
      <c r="K28" s="69" t="n"/>
      <c r="L28" s="67" t="n"/>
      <c r="M28" s="75" t="n"/>
      <c r="N28" s="67" t="n"/>
      <c r="O28" s="67" t="n"/>
      <c r="P28" s="75" t="n"/>
      <c r="Q28" s="75" t="n"/>
      <c r="R28" s="67" t="n"/>
      <c r="S28" s="69" t="n"/>
      <c r="T28" s="75" t="n"/>
      <c r="U28" s="75" t="n"/>
      <c r="V28" s="67" t="n"/>
      <c r="W28" s="68" t="n"/>
      <c r="X28" s="75" t="n"/>
      <c r="Y28" s="77" t="n"/>
      <c r="Z28" s="77" t="n"/>
      <c r="AA28" s="77" t="n"/>
      <c r="AB28" s="67" t="n"/>
      <c r="AC28" s="68" t="n"/>
      <c r="AD28" s="68" t="n"/>
      <c r="AE28" s="68" t="n"/>
      <c r="AF28" s="67" t="n"/>
      <c r="AG28" s="68" t="n"/>
    </row>
    <row r="29" ht="19.5" customHeight="1" s="45">
      <c r="B29" s="73" t="inlineStr">
        <is>
          <t>M5-A-01</t>
        </is>
      </c>
      <c r="C29" s="74" t="inlineStr">
        <is>
          <t>M5</t>
        </is>
      </c>
      <c r="D29" s="65" t="n">
        <v>46088</v>
      </c>
      <c r="E29" s="69" t="n">
        <v>58</v>
      </c>
      <c r="F29" s="67" t="inlineStr">
        <is>
          <t>Illiterate</t>
        </is>
      </c>
      <c r="G29" s="69" t="n">
        <v>20</v>
      </c>
      <c r="H29" s="75" t="n">
        <v>29</v>
      </c>
      <c r="I29" s="67" t="inlineStr">
        <is>
          <t>Maund</t>
        </is>
      </c>
      <c r="J29" s="76" t="n">
        <v>1082.28</v>
      </c>
      <c r="K29" s="69" t="n">
        <v>4</v>
      </c>
      <c r="L29" s="67" t="inlineStr">
        <is>
          <t>Pay</t>
        </is>
      </c>
      <c r="M29" s="75" t="n">
        <v>190000</v>
      </c>
      <c r="N29" s="67" t="inlineStr">
        <is>
          <t>Yearly</t>
        </is>
      </c>
      <c r="O29" s="67" t="inlineStr">
        <is>
          <t>Percent</t>
        </is>
      </c>
      <c r="P29" s="75" t="n">
        <v>2.5</v>
      </c>
      <c r="Q29" s="75" t="n">
        <v>2900</v>
      </c>
      <c r="R29" s="67" t="inlineStr">
        <is>
          <t>Monthly</t>
        </is>
      </c>
      <c r="S29" s="69" t="n">
        <v>2</v>
      </c>
      <c r="T29" s="75" t="n">
        <v>700</v>
      </c>
      <c r="U29" s="75" t="n">
        <v>10500</v>
      </c>
      <c r="V29" s="67" t="inlineStr">
        <is>
          <t>Yearly</t>
        </is>
      </c>
      <c r="W29" s="68" t="inlineStr">
        <is>
          <t>Market committee toll</t>
        </is>
      </c>
      <c r="X29" s="75" t="n">
        <v>1050</v>
      </c>
      <c r="Y29" s="77" t="n">
        <v>56</v>
      </c>
      <c r="Z29" s="77" t="n">
        <v>25</v>
      </c>
      <c r="AA29" s="77" t="n">
        <v>19</v>
      </c>
      <c r="AB29" s="67" t="inlineStr">
        <is>
          <t>Occasional</t>
        </is>
      </c>
      <c r="AC29" s="68" t="inlineStr">
        <is>
          <t>Day-to-day price volatility</t>
        </is>
      </c>
      <c r="AD29" s="68" t="inlineStr">
        <is>
          <t>Unsold fish spoilage loss</t>
        </is>
      </c>
      <c r="AE29" s="68" t="inlineStr">
        <is>
          <t>Waterlogging during monsoon</t>
        </is>
      </c>
      <c r="AF29" s="67" t="inlineStr">
        <is>
          <t>PAIR-M5-03</t>
        </is>
      </c>
      <c r="AG29" s="68" t="n"/>
    </row>
    <row r="30" ht="19.5" customHeight="1" s="45">
      <c r="B30" s="73" t="inlineStr">
        <is>
          <t>M5-A-02</t>
        </is>
      </c>
      <c r="C30" s="74" t="inlineStr">
        <is>
          <t>M5</t>
        </is>
      </c>
      <c r="D30" s="65" t="n">
        <v>46088</v>
      </c>
      <c r="E30" s="69" t="n">
        <v>44</v>
      </c>
      <c r="F30" s="67" t="inlineStr">
        <is>
          <t>Primary</t>
        </is>
      </c>
      <c r="G30" s="69" t="n">
        <v>28</v>
      </c>
      <c r="H30" s="75" t="n">
        <v>9</v>
      </c>
      <c r="I30" s="67" t="inlineStr">
        <is>
          <t>Maund</t>
        </is>
      </c>
      <c r="J30" s="76" t="n">
        <v>335.88</v>
      </c>
      <c r="K30" s="69" t="n">
        <v>7</v>
      </c>
      <c r="L30" s="67" t="inlineStr">
        <is>
          <t>Pay</t>
        </is>
      </c>
      <c r="M30" s="75" t="n">
        <v>10000</v>
      </c>
      <c r="N30" s="67" t="inlineStr">
        <is>
          <t>Monthly</t>
        </is>
      </c>
      <c r="O30" s="67" t="inlineStr">
        <is>
          <t>Lot</t>
        </is>
      </c>
      <c r="P30" s="75" t="n">
        <v>2000</v>
      </c>
      <c r="Q30" s="75" t="n">
        <v>8200</v>
      </c>
      <c r="R30" s="67" t="inlineStr">
        <is>
          <t>Monthly</t>
        </is>
      </c>
      <c r="S30" s="69" t="n">
        <v>3</v>
      </c>
      <c r="T30" s="75" t="n">
        <v>650</v>
      </c>
      <c r="U30" s="75" t="n">
        <v>8500</v>
      </c>
      <c r="V30" s="67" t="inlineStr">
        <is>
          <t>Yearly</t>
        </is>
      </c>
      <c r="W30" s="68" t="inlineStr">
        <is>
          <t>Weighing scale repair</t>
        </is>
      </c>
      <c r="X30" s="75" t="n">
        <v>1250</v>
      </c>
      <c r="Y30" s="77" t="n">
        <v>71</v>
      </c>
      <c r="Z30" s="77" t="n">
        <v>20</v>
      </c>
      <c r="AA30" s="77" t="n">
        <v>9</v>
      </c>
      <c r="AB30" s="67" t="inlineStr">
        <is>
          <t>Occasional</t>
        </is>
      </c>
      <c r="AC30" s="68" t="inlineStr">
        <is>
          <t>Supply syndicate control</t>
        </is>
      </c>
      <c r="AD30" s="68" t="inlineStr">
        <is>
          <t>Competition from frozen imported fish</t>
        </is>
      </c>
      <c r="AE30" s="68" t="inlineStr">
        <is>
          <t>Day-to-day price volatility</t>
        </is>
      </c>
      <c r="AF30" s="67" t="inlineStr">
        <is>
          <t>PAIR-M5-02</t>
        </is>
      </c>
      <c r="AG30" s="68" t="n"/>
    </row>
    <row r="31" ht="19.5" customHeight="1" s="45">
      <c r="B31" s="73" t="inlineStr">
        <is>
          <t>M5-A-03</t>
        </is>
      </c>
      <c r="C31" s="74" t="inlineStr">
        <is>
          <t>M5</t>
        </is>
      </c>
      <c r="D31" s="65" t="n">
        <v>46088</v>
      </c>
      <c r="E31" s="69" t="n">
        <v>38</v>
      </c>
      <c r="F31" s="67" t="inlineStr">
        <is>
          <t>Primary</t>
        </is>
      </c>
      <c r="G31" s="69" t="n">
        <v>22</v>
      </c>
      <c r="H31" s="75" t="n">
        <v>12</v>
      </c>
      <c r="I31" s="67" t="inlineStr">
        <is>
          <t>Maund</t>
        </is>
      </c>
      <c r="J31" s="76" t="n">
        <v>447.84</v>
      </c>
      <c r="K31" s="69" t="n">
        <v>9</v>
      </c>
      <c r="L31" s="67" t="inlineStr">
        <is>
          <t>Receive</t>
        </is>
      </c>
      <c r="M31" s="75" t="n">
        <v>4000</v>
      </c>
      <c r="N31" s="67" t="inlineStr">
        <is>
          <t>Monthly</t>
        </is>
      </c>
      <c r="O31" s="67" t="inlineStr">
        <is>
          <t>Percent</t>
        </is>
      </c>
      <c r="P31" s="75" t="n">
        <v>3</v>
      </c>
      <c r="Q31" s="75" t="n">
        <v>10500</v>
      </c>
      <c r="R31" s="67" t="inlineStr">
        <is>
          <t>Monthly</t>
        </is>
      </c>
      <c r="S31" s="69" t="n">
        <v>3</v>
      </c>
      <c r="T31" s="75" t="n">
        <v>700</v>
      </c>
      <c r="U31" s="75" t="n">
        <v>2000</v>
      </c>
      <c r="V31" s="67" t="inlineStr">
        <is>
          <t>Yearly</t>
        </is>
      </c>
      <c r="W31" s="68" t="inlineStr">
        <is>
          <t>Ice block purchase</t>
        </is>
      </c>
      <c r="X31" s="75" t="n">
        <v>2250</v>
      </c>
      <c r="Y31" s="77" t="n">
        <v>73</v>
      </c>
      <c r="Z31" s="77" t="n">
        <v>15</v>
      </c>
      <c r="AA31" s="77" t="n">
        <v>12</v>
      </c>
      <c r="AB31" s="67" t="inlineStr">
        <is>
          <t>Regular</t>
        </is>
      </c>
      <c r="AC31" s="68" t="inlineStr">
        <is>
          <t>Delayed credit recovery</t>
        </is>
      </c>
      <c r="AD31" s="68" t="inlineStr">
        <is>
          <t>High ice price</t>
        </is>
      </c>
      <c r="AE31" s="68" t="inlineStr">
        <is>
          <t>Unsold fish spoilage loss</t>
        </is>
      </c>
      <c r="AF31" s="67" t="inlineStr">
        <is>
          <t>PAIR-M5-01</t>
        </is>
      </c>
      <c r="AG31" s="68" t="n"/>
    </row>
    <row r="32" ht="19.5" customHeight="1" s="45">
      <c r="B32" s="73" t="inlineStr">
        <is>
          <t>M5-A-04</t>
        </is>
      </c>
      <c r="C32" s="74" t="inlineStr">
        <is>
          <t>M5</t>
        </is>
      </c>
      <c r="D32" s="65" t="n">
        <v>46088</v>
      </c>
      <c r="E32" s="69" t="n">
        <v>40</v>
      </c>
      <c r="F32" s="67" t="inlineStr">
        <is>
          <t>Secondary</t>
        </is>
      </c>
      <c r="G32" s="69" t="n">
        <v>24</v>
      </c>
      <c r="H32" s="75" t="n">
        <v>33</v>
      </c>
      <c r="I32" s="67" t="inlineStr">
        <is>
          <t>Maund</t>
        </is>
      </c>
      <c r="J32" s="76" t="n">
        <v>1231.56</v>
      </c>
      <c r="K32" s="69" t="n">
        <v>8</v>
      </c>
      <c r="L32" s="67" t="inlineStr">
        <is>
          <t>Receive</t>
        </is>
      </c>
      <c r="M32" s="75" t="n">
        <v>2000</v>
      </c>
      <c r="N32" s="67" t="inlineStr">
        <is>
          <t>Monthly</t>
        </is>
      </c>
      <c r="O32" s="67" t="inlineStr">
        <is>
          <t>Percent</t>
        </is>
      </c>
      <c r="P32" s="75" t="n">
        <v>2.5</v>
      </c>
      <c r="Q32" s="75" t="n">
        <v>13100</v>
      </c>
      <c r="R32" s="67" t="inlineStr">
        <is>
          <t>Monthly</t>
        </is>
      </c>
      <c r="S32" s="69" t="n">
        <v>3</v>
      </c>
      <c r="T32" s="75" t="n">
        <v>800</v>
      </c>
      <c r="U32" s="75" t="n">
        <v>3000</v>
      </c>
      <c r="V32" s="67" t="inlineStr">
        <is>
          <t>Yearly</t>
        </is>
      </c>
      <c r="W32" s="68" t="inlineStr">
        <is>
          <t>Auction hall cleaning fee</t>
        </is>
      </c>
      <c r="X32" s="75" t="n">
        <v>650</v>
      </c>
      <c r="Y32" s="77" t="n">
        <v>64</v>
      </c>
      <c r="Z32" s="77" t="n">
        <v>20</v>
      </c>
      <c r="AA32" s="77" t="n">
        <v>16</v>
      </c>
      <c r="AB32" s="67" t="inlineStr">
        <is>
          <t>Occasional</t>
        </is>
      </c>
      <c r="AC32" s="68" t="inlineStr">
        <is>
          <t>Waterlogging during monsoon</t>
        </is>
      </c>
      <c r="AD32" s="68" t="inlineStr">
        <is>
          <t>Competition from frozen imported fish</t>
        </is>
      </c>
      <c r="AE32" s="68" t="inlineStr">
        <is>
          <t>Irregular electricity and load-shedding</t>
        </is>
      </c>
      <c r="AF32" s="67" t="n"/>
      <c r="AG32" s="68" t="n"/>
    </row>
    <row r="33" ht="19.5" customHeight="1" s="45">
      <c r="B33" s="73" t="inlineStr">
        <is>
          <t>M5-A-05</t>
        </is>
      </c>
      <c r="C33" s="74" t="inlineStr">
        <is>
          <t>M5</t>
        </is>
      </c>
      <c r="D33" s="65" t="n">
        <v>46088</v>
      </c>
      <c r="E33" s="69" t="n">
        <v>50</v>
      </c>
      <c r="F33" s="67" t="inlineStr">
        <is>
          <t>Primary</t>
        </is>
      </c>
      <c r="G33" s="69" t="n">
        <v>10</v>
      </c>
      <c r="H33" s="75" t="n">
        <v>11</v>
      </c>
      <c r="I33" s="67" t="inlineStr">
        <is>
          <t>Maund</t>
        </is>
      </c>
      <c r="J33" s="76" t="n">
        <v>410.52</v>
      </c>
      <c r="K33" s="69" t="n">
        <v>5</v>
      </c>
      <c r="L33" s="67" t="inlineStr">
        <is>
          <t>Pay</t>
        </is>
      </c>
      <c r="M33" s="75" t="n">
        <v>130000</v>
      </c>
      <c r="N33" s="67" t="inlineStr">
        <is>
          <t>Yearly</t>
        </is>
      </c>
      <c r="O33" s="67" t="inlineStr">
        <is>
          <t>Percent</t>
        </is>
      </c>
      <c r="P33" s="75" t="n">
        <v>5</v>
      </c>
      <c r="Q33" s="75" t="n">
        <v>2700</v>
      </c>
      <c r="R33" s="67" t="inlineStr">
        <is>
          <t>Monthly</t>
        </is>
      </c>
      <c r="S33" s="69" t="n">
        <v>9</v>
      </c>
      <c r="T33" s="75" t="n">
        <v>700</v>
      </c>
      <c r="U33" s="75" t="n">
        <v>8500</v>
      </c>
      <c r="V33" s="67" t="inlineStr">
        <is>
          <t>Monthly</t>
        </is>
      </c>
      <c r="W33" s="68" t="inlineStr">
        <is>
          <t>Weighing scale repair</t>
        </is>
      </c>
      <c r="X33" s="75" t="n">
        <v>650</v>
      </c>
      <c r="Y33" s="77" t="n">
        <v>69</v>
      </c>
      <c r="Z33" s="77" t="n">
        <v>18</v>
      </c>
      <c r="AA33" s="77" t="n">
        <v>13</v>
      </c>
      <c r="AB33" s="67" t="inlineStr">
        <is>
          <t>Regular</t>
        </is>
      </c>
      <c r="AC33" s="68" t="inlineStr">
        <is>
          <t>Transport cost increase</t>
        </is>
      </c>
      <c r="AD33" s="68" t="inlineStr">
        <is>
          <t>Supply syndicate control</t>
        </is>
      </c>
      <c r="AE33" s="68" t="inlineStr">
        <is>
          <t>High ice price</t>
        </is>
      </c>
      <c r="AF33" s="67" t="n"/>
      <c r="AG33" s="68" t="n"/>
    </row>
    <row r="34" ht="19.5" customHeight="1" s="45">
      <c r="B34" s="73" t="inlineStr">
        <is>
          <t>M5-A-06</t>
        </is>
      </c>
      <c r="C34" s="74" t="inlineStr">
        <is>
          <t>M5</t>
        </is>
      </c>
      <c r="D34" s="65" t="n"/>
      <c r="E34" s="69" t="n"/>
      <c r="F34" s="67" t="n"/>
      <c r="G34" s="69" t="n"/>
      <c r="H34" s="75" t="n"/>
      <c r="I34" s="67" t="n"/>
      <c r="J34" s="76" t="n"/>
      <c r="K34" s="69" t="n"/>
      <c r="L34" s="67" t="n"/>
      <c r="M34" s="75" t="n"/>
      <c r="N34" s="67" t="n"/>
      <c r="O34" s="67" t="n"/>
      <c r="P34" s="75" t="n"/>
      <c r="Q34" s="75" t="n"/>
      <c r="R34" s="67" t="n"/>
      <c r="S34" s="69" t="n"/>
      <c r="T34" s="75" t="n"/>
      <c r="U34" s="75" t="n"/>
      <c r="V34" s="67" t="n"/>
      <c r="W34" s="68" t="n"/>
      <c r="X34" s="75" t="n"/>
      <c r="Y34" s="77" t="n"/>
      <c r="Z34" s="77" t="n"/>
      <c r="AA34" s="77" t="n"/>
      <c r="AB34" s="67" t="n"/>
      <c r="AC34" s="68" t="n"/>
      <c r="AD34" s="68" t="n"/>
      <c r="AE34" s="68" t="n"/>
      <c r="AF34" s="67" t="n"/>
      <c r="AG34" s="68" t="n"/>
    </row>
    <row r="35" ht="19.5" customHeight="1" s="45">
      <c r="B35" s="73" t="inlineStr">
        <is>
          <t>M6-A-01</t>
        </is>
      </c>
      <c r="C35" s="74" t="inlineStr">
        <is>
          <t>M6</t>
        </is>
      </c>
      <c r="D35" s="65" t="n">
        <v>46084</v>
      </c>
      <c r="E35" s="69" t="n">
        <v>41</v>
      </c>
      <c r="F35" s="67" t="inlineStr">
        <is>
          <t>Secondary</t>
        </is>
      </c>
      <c r="G35" s="69" t="n">
        <v>22</v>
      </c>
      <c r="H35" s="75" t="n">
        <v>33</v>
      </c>
      <c r="I35" s="67" t="inlineStr">
        <is>
          <t>Maund</t>
        </is>
      </c>
      <c r="J35" s="76" t="n">
        <v>1231.56</v>
      </c>
      <c r="K35" s="69" t="n">
        <v>3</v>
      </c>
      <c r="L35" s="67" t="inlineStr">
        <is>
          <t>Pay</t>
        </is>
      </c>
      <c r="M35" s="75" t="n">
        <v>175000</v>
      </c>
      <c r="N35" s="67" t="inlineStr">
        <is>
          <t>Yearly</t>
        </is>
      </c>
      <c r="O35" s="67" t="inlineStr">
        <is>
          <t>Lot</t>
        </is>
      </c>
      <c r="P35" s="75" t="n">
        <v>2500</v>
      </c>
      <c r="Q35" s="75" t="n">
        <v>6000</v>
      </c>
      <c r="R35" s="67" t="inlineStr">
        <is>
          <t>Monthly</t>
        </is>
      </c>
      <c r="S35" s="69" t="n">
        <v>3</v>
      </c>
      <c r="T35" s="75" t="n">
        <v>800</v>
      </c>
      <c r="U35" s="75" t="n">
        <v>1500</v>
      </c>
      <c r="V35" s="67" t="inlineStr">
        <is>
          <t>Yearly</t>
        </is>
      </c>
      <c r="W35" s="68" t="inlineStr">
        <is>
          <t>Union levy</t>
        </is>
      </c>
      <c r="X35" s="75" t="n">
        <v>1700</v>
      </c>
      <c r="Y35" s="77" t="n">
        <v>80</v>
      </c>
      <c r="Z35" s="77" t="n">
        <v>12</v>
      </c>
      <c r="AA35" s="77" t="n">
        <v>8</v>
      </c>
      <c r="AB35" s="67" t="inlineStr">
        <is>
          <t>Occasional</t>
        </is>
      </c>
      <c r="AC35" s="68" t="inlineStr">
        <is>
          <t>Unsold fish spoilage loss</t>
        </is>
      </c>
      <c r="AD35" s="68" t="inlineStr">
        <is>
          <t>Delayed credit recovery</t>
        </is>
      </c>
      <c r="AE35" s="68" t="inlineStr">
        <is>
          <t>High ice price</t>
        </is>
      </c>
      <c r="AF35" s="67" t="n"/>
      <c r="AG35" s="68" t="n"/>
    </row>
    <row r="36" ht="19.5" customHeight="1" s="45">
      <c r="B36" s="73" t="inlineStr">
        <is>
          <t>M6-A-02</t>
        </is>
      </c>
      <c r="C36" s="74" t="inlineStr">
        <is>
          <t>M6</t>
        </is>
      </c>
      <c r="D36" s="65" t="n">
        <v>46084</v>
      </c>
      <c r="E36" s="69" t="n">
        <v>59</v>
      </c>
      <c r="F36" s="67" t="inlineStr">
        <is>
          <t>Secondary</t>
        </is>
      </c>
      <c r="G36" s="69" t="n">
        <v>40</v>
      </c>
      <c r="H36" s="75" t="n">
        <v>26</v>
      </c>
      <c r="I36" s="67" t="inlineStr">
        <is>
          <t>Maund</t>
        </is>
      </c>
      <c r="J36" s="76" t="n">
        <v>970.3200000000001</v>
      </c>
      <c r="K36" s="69" t="n">
        <v>8</v>
      </c>
      <c r="L36" s="67" t="inlineStr">
        <is>
          <t>Pay</t>
        </is>
      </c>
      <c r="M36" s="75" t="n">
        <v>140000</v>
      </c>
      <c r="N36" s="67" t="inlineStr">
        <is>
          <t>Yearly</t>
        </is>
      </c>
      <c r="O36" s="67" t="inlineStr">
        <is>
          <t>Lot</t>
        </is>
      </c>
      <c r="P36" s="75" t="n">
        <v>500</v>
      </c>
      <c r="Q36" s="75" t="n">
        <v>9700</v>
      </c>
      <c r="R36" s="67" t="inlineStr">
        <is>
          <t>Monthly</t>
        </is>
      </c>
      <c r="S36" s="69" t="n">
        <v>7</v>
      </c>
      <c r="T36" s="75" t="n">
        <v>750</v>
      </c>
      <c r="U36" s="75" t="n">
        <v>8000</v>
      </c>
      <c r="V36" s="67" t="inlineStr">
        <is>
          <t>Monthly</t>
        </is>
      </c>
      <c r="W36" s="68" t="inlineStr">
        <is>
          <t>Market committee toll</t>
        </is>
      </c>
      <c r="X36" s="75" t="n">
        <v>2500</v>
      </c>
      <c r="Y36" s="77" t="n">
        <v>79</v>
      </c>
      <c r="Z36" s="77" t="n">
        <v>14</v>
      </c>
      <c r="AA36" s="77" t="n">
        <v>7</v>
      </c>
      <c r="AB36" s="67" t="inlineStr">
        <is>
          <t>Never</t>
        </is>
      </c>
      <c r="AC36" s="68" t="inlineStr">
        <is>
          <t>High ice price</t>
        </is>
      </c>
      <c r="AD36" s="68" t="inlineStr">
        <is>
          <t>Supply syndicate control</t>
        </is>
      </c>
      <c r="AE36" s="68" t="inlineStr">
        <is>
          <t>Rising toll and lease burden</t>
        </is>
      </c>
      <c r="AF36" s="67" t="inlineStr">
        <is>
          <t>PAIR-M6-01</t>
        </is>
      </c>
      <c r="AG36" s="68" t="n"/>
    </row>
    <row r="37" ht="19.5" customHeight="1" s="45">
      <c r="B37" s="73" t="inlineStr">
        <is>
          <t>M6-A-03</t>
        </is>
      </c>
      <c r="C37" s="74" t="inlineStr">
        <is>
          <t>M6</t>
        </is>
      </c>
      <c r="D37" s="65" t="n">
        <v>46084</v>
      </c>
      <c r="E37" s="69" t="n">
        <v>46</v>
      </c>
      <c r="F37" s="67" t="inlineStr">
        <is>
          <t>Illiterate</t>
        </is>
      </c>
      <c r="G37" s="69" t="n">
        <v>5</v>
      </c>
      <c r="H37" s="75" t="n">
        <v>12</v>
      </c>
      <c r="I37" s="67" t="inlineStr">
        <is>
          <t>Maund</t>
        </is>
      </c>
      <c r="J37" s="76" t="n">
        <v>447.84</v>
      </c>
      <c r="K37" s="69" t="n">
        <v>3</v>
      </c>
      <c r="L37" s="67" t="inlineStr">
        <is>
          <t>Pay</t>
        </is>
      </c>
      <c r="M37" s="75" t="n">
        <v>19000</v>
      </c>
      <c r="N37" s="67" t="inlineStr">
        <is>
          <t>Monthly</t>
        </is>
      </c>
      <c r="O37" s="67" t="inlineStr">
        <is>
          <t>Percent</t>
        </is>
      </c>
      <c r="P37" s="75" t="n">
        <v>3.5</v>
      </c>
      <c r="Q37" s="75" t="n">
        <v>9900</v>
      </c>
      <c r="R37" s="67" t="inlineStr">
        <is>
          <t>Monthly</t>
        </is>
      </c>
      <c r="S37" s="69" t="n">
        <v>8</v>
      </c>
      <c r="T37" s="75" t="n">
        <v>750</v>
      </c>
      <c r="U37" s="75" t="n">
        <v>4000</v>
      </c>
      <c r="V37" s="67" t="inlineStr">
        <is>
          <t>Monthly</t>
        </is>
      </c>
      <c r="W37" s="68" t="inlineStr">
        <is>
          <t>Union levy</t>
        </is>
      </c>
      <c r="X37" s="75" t="n">
        <v>600</v>
      </c>
      <c r="Y37" s="77" t="n">
        <v>55</v>
      </c>
      <c r="Z37" s="77" t="n">
        <v>6</v>
      </c>
      <c r="AA37" s="77" t="n">
        <v>39</v>
      </c>
      <c r="AB37" s="67" t="inlineStr">
        <is>
          <t>Regular</t>
        </is>
      </c>
      <c r="AC37" s="68" t="inlineStr">
        <is>
          <t>Waterlogging during monsoon</t>
        </is>
      </c>
      <c r="AD37" s="68" t="inlineStr">
        <is>
          <t>Rising cost of ice and salt</t>
        </is>
      </c>
      <c r="AE37" s="68" t="inlineStr">
        <is>
          <t>Unsold fish spoilage loss</t>
        </is>
      </c>
      <c r="AF37" s="67" t="n"/>
      <c r="AG37" s="68" t="n"/>
    </row>
    <row r="38" ht="19.5" customHeight="1" s="45">
      <c r="B38" s="73" t="inlineStr">
        <is>
          <t>M6-A-04</t>
        </is>
      </c>
      <c r="C38" s="74" t="inlineStr">
        <is>
          <t>M6</t>
        </is>
      </c>
      <c r="D38" s="65" t="n">
        <v>46084</v>
      </c>
      <c r="E38" s="69" t="n">
        <v>57</v>
      </c>
      <c r="F38" s="67" t="inlineStr">
        <is>
          <t>Primary</t>
        </is>
      </c>
      <c r="G38" s="69" t="n">
        <v>30</v>
      </c>
      <c r="H38" s="75" t="n">
        <v>34</v>
      </c>
      <c r="I38" s="67" t="inlineStr">
        <is>
          <t>Maund</t>
        </is>
      </c>
      <c r="J38" s="76" t="n">
        <v>1268.88</v>
      </c>
      <c r="K38" s="69" t="n">
        <v>7</v>
      </c>
      <c r="L38" s="67" t="inlineStr">
        <is>
          <t>Pay</t>
        </is>
      </c>
      <c r="M38" s="75" t="n">
        <v>125000</v>
      </c>
      <c r="N38" s="67" t="inlineStr">
        <is>
          <t>Yearly</t>
        </is>
      </c>
      <c r="O38" s="67" t="inlineStr">
        <is>
          <t>Percent</t>
        </is>
      </c>
      <c r="P38" s="75" t="n">
        <v>2.5</v>
      </c>
      <c r="Q38" s="75" t="n">
        <v>12200</v>
      </c>
      <c r="R38" s="67" t="inlineStr">
        <is>
          <t>Monthly</t>
        </is>
      </c>
      <c r="S38" s="69" t="n">
        <v>6</v>
      </c>
      <c r="T38" s="75" t="n">
        <v>650</v>
      </c>
      <c r="U38" s="75" t="n">
        <v>6000</v>
      </c>
      <c r="V38" s="67" t="inlineStr">
        <is>
          <t>Yearly</t>
        </is>
      </c>
      <c r="W38" s="68" t="inlineStr">
        <is>
          <t>Auction hall cleaning fee</t>
        </is>
      </c>
      <c r="X38" s="75" t="n">
        <v>800</v>
      </c>
      <c r="Y38" s="77" t="n">
        <v>66</v>
      </c>
      <c r="Z38" s="77" t="n">
        <v>12</v>
      </c>
      <c r="AA38" s="77" t="n">
        <v>22</v>
      </c>
      <c r="AB38" s="67" t="inlineStr">
        <is>
          <t>Regular</t>
        </is>
      </c>
      <c r="AC38" s="68" t="inlineStr">
        <is>
          <t>Delayed credit recovery</t>
        </is>
      </c>
      <c r="AD38" s="68" t="inlineStr">
        <is>
          <t>Day-to-day price volatility</t>
        </is>
      </c>
      <c r="AE38" s="68" t="inlineStr">
        <is>
          <t>Low landings in lean season</t>
        </is>
      </c>
      <c r="AF38" s="67" t="n"/>
      <c r="AG38" s="68" t="n"/>
    </row>
    <row r="39" ht="19.5" customHeight="1" s="45">
      <c r="B39" s="73" t="inlineStr">
        <is>
          <t>M6-A-05</t>
        </is>
      </c>
      <c r="C39" s="74" t="inlineStr">
        <is>
          <t>M6</t>
        </is>
      </c>
      <c r="D39" s="65" t="n">
        <v>46084</v>
      </c>
      <c r="E39" s="69" t="n">
        <v>50</v>
      </c>
      <c r="F39" s="67" t="inlineStr">
        <is>
          <t>Illiterate</t>
        </is>
      </c>
      <c r="G39" s="69" t="n">
        <v>9</v>
      </c>
      <c r="H39" s="75" t="n">
        <v>11</v>
      </c>
      <c r="I39" s="67" t="inlineStr">
        <is>
          <t>Maund</t>
        </is>
      </c>
      <c r="J39" s="76" t="n">
        <v>410.52</v>
      </c>
      <c r="K39" s="69" t="n">
        <v>8</v>
      </c>
      <c r="L39" s="67" t="inlineStr">
        <is>
          <t>Receive</t>
        </is>
      </c>
      <c r="M39" s="75" t="n">
        <v>3500</v>
      </c>
      <c r="N39" s="67" t="inlineStr">
        <is>
          <t>Monthly</t>
        </is>
      </c>
      <c r="O39" s="67" t="inlineStr">
        <is>
          <t>Percent</t>
        </is>
      </c>
      <c r="P39" s="75" t="n">
        <v>2</v>
      </c>
      <c r="Q39" s="75" t="n">
        <v>6600</v>
      </c>
      <c r="R39" s="67" t="inlineStr">
        <is>
          <t>Monthly</t>
        </is>
      </c>
      <c r="S39" s="69" t="n">
        <v>9</v>
      </c>
      <c r="T39" s="75" t="n">
        <v>700</v>
      </c>
      <c r="U39" s="75" t="n">
        <v>6500</v>
      </c>
      <c r="V39" s="67" t="inlineStr">
        <is>
          <t>Yearly</t>
        </is>
      </c>
      <c r="W39" s="68" t="inlineStr">
        <is>
          <t>Ice block purchase</t>
        </is>
      </c>
      <c r="X39" s="75" t="n">
        <v>2700</v>
      </c>
      <c r="Y39" s="77" t="n">
        <v>63</v>
      </c>
      <c r="Z39" s="77" t="n">
        <v>14</v>
      </c>
      <c r="AA39" s="77" t="n">
        <v>23</v>
      </c>
      <c r="AB39" s="67" t="inlineStr">
        <is>
          <t>Never</t>
        </is>
      </c>
      <c r="AC39" s="68" t="inlineStr">
        <is>
          <t>Rising toll and lease burden</t>
        </is>
      </c>
      <c r="AD39" s="68" t="inlineStr">
        <is>
          <t>High ice price</t>
        </is>
      </c>
      <c r="AE39" s="68" t="inlineStr">
        <is>
          <t>Competition from frozen imported fish</t>
        </is>
      </c>
      <c r="AF39" s="67" t="inlineStr">
        <is>
          <t>PAIR-M6-02</t>
        </is>
      </c>
      <c r="AG39" s="68" t="n"/>
    </row>
    <row r="40" ht="19.5" customHeight="1" s="45">
      <c r="B40" s="73" t="inlineStr">
        <is>
          <t>M6-A-06</t>
        </is>
      </c>
      <c r="C40" s="74" t="inlineStr">
        <is>
          <t>M6</t>
        </is>
      </c>
      <c r="D40" s="65" t="n"/>
      <c r="E40" s="69" t="n"/>
      <c r="F40" s="67" t="n"/>
      <c r="G40" s="69" t="n"/>
      <c r="H40" s="75" t="n"/>
      <c r="I40" s="67" t="n"/>
      <c r="J40" s="76" t="n"/>
      <c r="K40" s="69" t="n"/>
      <c r="L40" s="67" t="n"/>
      <c r="M40" s="75" t="n"/>
      <c r="N40" s="67" t="n"/>
      <c r="O40" s="67" t="n"/>
      <c r="P40" s="75" t="n"/>
      <c r="Q40" s="75" t="n"/>
      <c r="R40" s="67" t="n"/>
      <c r="S40" s="69" t="n"/>
      <c r="T40" s="75" t="n"/>
      <c r="U40" s="75" t="n"/>
      <c r="V40" s="67" t="n"/>
      <c r="W40" s="68" t="n"/>
      <c r="X40" s="75" t="n"/>
      <c r="Y40" s="77" t="n"/>
      <c r="Z40" s="77" t="n"/>
      <c r="AA40" s="77" t="n"/>
      <c r="AB40" s="67" t="n"/>
      <c r="AC40" s="68" t="n"/>
      <c r="AD40" s="68" t="n"/>
      <c r="AE40" s="68" t="n"/>
      <c r="AF40" s="67" t="n"/>
      <c r="AG40" s="68" t="n"/>
    </row>
  </sheetData>
  <autoFilter ref="B4:AG40"/>
  <mergeCells count="1">
    <mergeCell ref="B2:AG2"/>
  </mergeCells>
  <dataValidations count="12">
    <dataValidation sqref="C5:C40" showDropDown="0" showInputMessage="0" showErrorMessage="1" allowBlank="1" errorTitle="Invalid entry" error="Please choose one of the listed values." promptTitle="Dropdown" prompt="Select from list" type="list" errorStyle="stop" operator="between">
      <formula1>"M1,M2,M3,M4,M5,M6"</formula1>
      <formula2>0</formula2>
    </dataValidation>
    <dataValidation sqref="F5:F40" showDropDown="0" showInputMessage="0" showErrorMessage="1" allowBlank="1" errorTitle="Invalid entry" error="Please choose one of the listed values." promptTitle="Dropdown" prompt="Select from list" type="list" errorStyle="stop" operator="between">
      <formula1>"Illiterate,Primary,Secondary,Higher_Secondary"</formula1>
      <formula2>0</formula2>
    </dataValidation>
    <dataValidation sqref="I5:I40" showDropDown="0" showInputMessage="0" showErrorMessage="1" allowBlank="1" errorTitle="Invalid entry" error="Please choose one of the listed values." promptTitle="Dropdown" prompt="Select from list" type="list" errorStyle="stop" operator="between">
      <formula1>"Maund,Kg"</formula1>
      <formula2>0</formula2>
    </dataValidation>
    <dataValidation sqref="L5:L40" showDropDown="0" showInputMessage="0" showErrorMessage="1" allowBlank="1" errorTitle="Invalid entry" error="Please choose one of the listed values." promptTitle="Dropdown" prompt="Select from list" type="list" errorStyle="stop" operator="between">
      <formula1>"Pay,Receive"</formula1>
      <formula2>0</formula2>
    </dataValidation>
    <dataValidation sqref="N5:N40 R5:R40 V5:V40" showDropDown="0" showInputMessage="0" showErrorMessage="1" allowBlank="1" errorTitle="Invalid entry" error="Please choose one of the listed values." promptTitle="Dropdown" prompt="Select from list" type="list" errorStyle="stop" operator="between">
      <formula1>"Monthly,Yearly"</formula1>
      <formula2>0</formula2>
    </dataValidation>
    <dataValidation sqref="O5:O40" showDropDown="0" showInputMessage="0" showErrorMessage="1" allowBlank="1" errorTitle="Invalid entry" error="Please choose one of the listed values." promptTitle="Dropdown" prompt="Select from list" type="list" errorStyle="stop" operator="between">
      <formula1>"Lot,Kg,Percent"</formula1>
      <formula2>0</formula2>
    </dataValidation>
    <dataValidation sqref="AB5:AB40" showDropDown="0" showInputMessage="0" showErrorMessage="1" allowBlank="1" errorTitle="Invalid entry" error="Please choose one of the listed values." promptTitle="Dropdown" prompt="Select from list" type="list" errorStyle="stop" operator="between">
      <formula1>"Regular,Occasional,Never"</formula1>
      <formula2>0</formula2>
    </dataValidation>
    <dataValidation sqref="E5:E40" showDropDown="0" showInputMessage="0" showErrorMessage="1" allowBlank="1" errorTitle="Out of range" error="Enter a whole number between 15 and 100." type="whole" errorStyle="stop" operator="between">
      <formula1>15</formula1>
      <formula2>100</formula2>
    </dataValidation>
    <dataValidation sqref="K5:K40" showDropDown="0" showInputMessage="0" showErrorMessage="1" allowBlank="1" errorTitle="Out of range" error="Enter a whole number between 1 and 30." type="whole" errorStyle="stop" operator="between">
      <formula1>1</formula1>
      <formula2>30</formula2>
    </dataValidation>
    <dataValidation sqref="S5:S40" showDropDown="0" showInputMessage="0" showErrorMessage="1" allowBlank="1" errorTitle="Out of range" error="Enter a whole number between 0 and 200." type="whole" errorStyle="stop" operator="between">
      <formula1>0</formula1>
      <formula2>200</formula2>
    </dataValidation>
    <dataValidation sqref="Y5:AA40" showDropDown="0" showInputMessage="0" showErrorMessage="1" allowBlank="1" errorTitle="Out of range" error="Enter a whole number between 0 and 100." type="whole" errorStyle="stop" operator="between">
      <formula1>0</formula1>
      <formula2>100</formula2>
    </dataValidation>
    <dataValidation sqref="H5:H40 M5:M40 P5:Q40 T5:U40 X5:X40" showDropDown="0" showInputMessage="0" showErrorMessage="1" allowBlank="1" errorTitle="Out of range" error="Enter a number between 0 and 1000000." type="decimal" errorStyle="stop" operator="between">
      <formula1>0</formula1>
      <formula2>1000000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filterMode="0">
    <tabColor rgb="FF1B7D46"/>
    <outlinePr summaryBelow="1" summaryRight="1"/>
    <pageSetUpPr fitToPage="0"/>
  </sheetPr>
  <dimension ref="B2:AH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baseColWidth="8" defaultColWidth="8.6328125" defaultRowHeight="15" zeroHeight="0" outlineLevelRow="0"/>
  <cols>
    <col width="3" customWidth="1" style="44" min="1" max="1"/>
    <col width="14" customWidth="1" style="44" min="2" max="2"/>
    <col width="8" customWidth="1" style="44" min="3" max="3"/>
    <col width="14" customWidth="1" style="44" min="4" max="6"/>
    <col width="8" customWidth="1" style="44" min="7" max="7"/>
    <col width="12" customWidth="1" style="44" min="8" max="9"/>
    <col width="14" customWidth="1" style="44" min="10" max="13"/>
    <col width="22" customWidth="1" style="44" min="14" max="14"/>
    <col width="16" customWidth="1" style="44" min="15" max="21"/>
    <col width="18" customWidth="1" style="44" min="22" max="22"/>
    <col width="16" customWidth="1" style="44" min="23" max="25"/>
    <col width="12" customWidth="1" style="44" min="26" max="27"/>
    <col width="16" customWidth="1" style="44" min="28" max="30"/>
    <col width="22" customWidth="1" style="44" min="31" max="32"/>
    <col width="12" customWidth="1" style="44" min="33" max="33"/>
    <col width="22" customWidth="1" style="44" min="34" max="34"/>
  </cols>
  <sheetData>
    <row r="2" ht="31.5" customHeight="1" s="45">
      <c r="B2" s="46" t="inlineStr">
        <is>
          <t>Form B - Bepari/Faria Questionnaire (one respondent per row)</t>
        </is>
      </c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7" t="n"/>
      <c r="M2" s="47" t="n"/>
      <c r="N2" s="47" t="n"/>
      <c r="O2" s="47" t="n"/>
      <c r="P2" s="47" t="n"/>
      <c r="Q2" s="47" t="n"/>
      <c r="R2" s="47" t="n"/>
      <c r="S2" s="47" t="n"/>
      <c r="T2" s="47" t="n"/>
      <c r="U2" s="47" t="n"/>
      <c r="V2" s="47" t="n"/>
      <c r="W2" s="47" t="n"/>
      <c r="X2" s="47" t="n"/>
      <c r="Y2" s="47" t="n"/>
      <c r="Z2" s="47" t="n"/>
      <c r="AA2" s="47" t="n"/>
      <c r="AB2" s="47" t="n"/>
      <c r="AC2" s="47" t="n"/>
      <c r="AD2" s="47" t="n"/>
      <c r="AE2" s="47" t="n"/>
      <c r="AF2" s="48" t="n"/>
      <c r="AG2" s="50" t="n"/>
      <c r="AH2" s="50" t="n"/>
    </row>
    <row r="3" ht="7.5" customHeight="1" s="45">
      <c r="B3" s="50" t="n"/>
      <c r="C3" s="50" t="n"/>
      <c r="D3" s="50" t="n"/>
      <c r="E3" s="50" t="n"/>
      <c r="F3" s="50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  <c r="AA3" s="50" t="n"/>
      <c r="AB3" s="50" t="n"/>
      <c r="AC3" s="50" t="n"/>
      <c r="AD3" s="50" t="n"/>
      <c r="AE3" s="50" t="n"/>
      <c r="AF3" s="50" t="n"/>
      <c r="AG3" s="50" t="n"/>
      <c r="AH3" s="50" t="n"/>
    </row>
    <row r="4" ht="30" customHeight="1" s="45">
      <c r="B4" s="78" t="inlineStr">
        <is>
          <t>Respondent_ID</t>
        </is>
      </c>
      <c r="C4" s="78" t="inlineStr">
        <is>
          <t>Market</t>
        </is>
      </c>
      <c r="D4" s="78" t="inlineStr">
        <is>
          <t>Interview_Date</t>
        </is>
      </c>
      <c r="E4" s="78" t="inlineStr">
        <is>
          <t>Actor_subtype</t>
        </is>
      </c>
      <c r="F4" s="78" t="inlineStr">
        <is>
          <t>Business_pattern</t>
        </is>
      </c>
      <c r="G4" s="78" t="inlineStr">
        <is>
          <t>Age_years</t>
        </is>
      </c>
      <c r="H4" s="78" t="inlineStr">
        <is>
          <t>Education</t>
        </is>
      </c>
      <c r="I4" s="78" t="inlineStr">
        <is>
          <t>Years_in_business</t>
        </is>
      </c>
      <c r="J4" s="78" t="inlineStr">
        <is>
          <t>Daily_capacity_raw</t>
        </is>
      </c>
      <c r="K4" s="78" t="inlineStr">
        <is>
          <t>Daily_capacity_unit</t>
        </is>
      </c>
      <c r="L4" s="78" t="inlineStr">
        <is>
          <t>Daily_capacity_kg</t>
        </is>
      </c>
      <c r="M4" s="78" t="inlineStr">
        <is>
          <t>Family_members</t>
        </is>
      </c>
      <c r="N4" s="78" t="inlineStr">
        <is>
          <t>Source_location</t>
        </is>
      </c>
      <c r="O4" s="78" t="inlineStr">
        <is>
          <t>Supplier_category</t>
        </is>
      </c>
      <c r="P4" s="78" t="inlineStr">
        <is>
          <t>Transport_fare_per_trip_BDT</t>
        </is>
      </c>
      <c r="Q4" s="78" t="inlineStr">
        <is>
          <t>Trip_frequency_days</t>
        </is>
      </c>
      <c r="R4" s="78" t="inlineStr">
        <is>
          <t>Trips_per_period</t>
        </is>
      </c>
      <c r="S4" s="78" t="inlineStr">
        <is>
          <t>Loading_Unloading_cost_per_trip_BDT</t>
        </is>
      </c>
      <c r="T4" s="78" t="inlineStr">
        <is>
          <t>Ice_usage_kg_per_day</t>
        </is>
      </c>
      <c r="U4" s="78" t="inlineStr">
        <is>
          <t>Ice_cost_BDT_per_day</t>
        </is>
      </c>
      <c r="V4" s="78" t="inlineStr">
        <is>
          <t>Commission_to_aratdar_value</t>
        </is>
      </c>
      <c r="W4" s="78" t="inlineStr">
        <is>
          <t>Commission_unit</t>
        </is>
      </c>
      <c r="X4" s="78" t="inlineStr">
        <is>
          <t>Transit_damage_pct</t>
        </is>
      </c>
      <c r="Y4" s="78" t="inlineStr">
        <is>
          <t>Payment_cash_pct</t>
        </is>
      </c>
      <c r="Z4" s="78" t="inlineStr">
        <is>
          <t>Payment_MFS_pct</t>
        </is>
      </c>
      <c r="AA4" s="78" t="inlineStr">
        <is>
          <t>Payment_credit_pct</t>
        </is>
      </c>
      <c r="AB4" s="78" t="inlineStr">
        <is>
          <t>MFS_transaction_frequency</t>
        </is>
      </c>
      <c r="AC4" s="78" t="inlineStr">
        <is>
          <t>Credit_sales_share</t>
        </is>
      </c>
      <c r="AD4" s="78" t="inlineStr">
        <is>
          <t>Problem_1</t>
        </is>
      </c>
      <c r="AE4" s="78" t="inlineStr">
        <is>
          <t>Problem_2</t>
        </is>
      </c>
      <c r="AF4" s="78" t="inlineStr">
        <is>
          <t>Problem_3</t>
        </is>
      </c>
      <c r="AG4" s="78" t="inlineStr">
        <is>
          <t>Pair_ID</t>
        </is>
      </c>
      <c r="AH4" s="78" t="inlineStr">
        <is>
          <t>Notes</t>
        </is>
      </c>
    </row>
    <row r="5" ht="19.5" customHeight="1" s="45">
      <c r="B5" s="79" t="inlineStr">
        <is>
          <t>M1-B-01</t>
        </is>
      </c>
      <c r="C5" s="80" t="inlineStr">
        <is>
          <t>M1</t>
        </is>
      </c>
      <c r="D5" s="81" t="n">
        <v>46084</v>
      </c>
      <c r="E5" s="80" t="inlineStr">
        <is>
          <t>Bepari</t>
        </is>
      </c>
      <c r="F5" s="80" t="inlineStr">
        <is>
          <t>Seasonal</t>
        </is>
      </c>
      <c r="G5" s="82" t="n">
        <v>43</v>
      </c>
      <c r="H5" s="80" t="inlineStr">
        <is>
          <t>Primary</t>
        </is>
      </c>
      <c r="I5" s="82" t="n">
        <v>27</v>
      </c>
      <c r="J5" s="82" t="n">
        <v>5</v>
      </c>
      <c r="K5" s="79" t="inlineStr">
        <is>
          <t>Maund</t>
        </is>
      </c>
      <c r="L5" s="80" t="n">
        <v>186.6</v>
      </c>
      <c r="M5" s="83" t="n">
        <v>7</v>
      </c>
      <c r="N5" s="83" t="inlineStr">
        <is>
          <t>Fishery Ghat landing</t>
        </is>
      </c>
      <c r="O5" s="83" t="inlineStr">
        <is>
          <t>Faria</t>
        </is>
      </c>
      <c r="P5" s="79" t="n">
        <v>1750</v>
      </c>
      <c r="Q5" s="83" t="n">
        <v>2</v>
      </c>
      <c r="R5" s="83" t="n">
        <v>1</v>
      </c>
      <c r="S5" s="80" t="n">
        <v>250</v>
      </c>
      <c r="T5" s="84" t="n">
        <v>44</v>
      </c>
      <c r="U5" s="83" t="n">
        <v>170</v>
      </c>
      <c r="V5" s="83" t="n">
        <v>3</v>
      </c>
      <c r="W5" s="84" t="inlineStr">
        <is>
          <t>Percent_of_lot</t>
        </is>
      </c>
      <c r="X5" s="84" t="n">
        <v>4</v>
      </c>
      <c r="Y5" s="84" t="n">
        <v>55</v>
      </c>
      <c r="Z5" s="80" t="n">
        <v>15</v>
      </c>
      <c r="AA5" s="80" t="n">
        <v>30</v>
      </c>
      <c r="AB5" s="79" t="inlineStr">
        <is>
          <t>Regular</t>
        </is>
      </c>
      <c r="AC5" s="79" t="inlineStr">
        <is>
          <t>Some</t>
        </is>
      </c>
      <c r="AD5" s="79" t="inlineStr">
        <is>
          <t>High ice price</t>
        </is>
      </c>
      <c r="AE5" s="80" t="inlineStr">
        <is>
          <t>Low landings in lean season</t>
        </is>
      </c>
      <c r="AF5" s="79" t="inlineStr">
        <is>
          <t>Rising toll and lease burden</t>
        </is>
      </c>
      <c r="AG5" s="85" t="n"/>
      <c r="AH5" s="85" t="n"/>
    </row>
    <row r="6" ht="19.5" customHeight="1" s="45">
      <c r="B6" s="79" t="inlineStr">
        <is>
          <t>M1-B-02</t>
        </is>
      </c>
      <c r="C6" s="80" t="inlineStr">
        <is>
          <t>M1</t>
        </is>
      </c>
      <c r="D6" s="81" t="n">
        <v>46084</v>
      </c>
      <c r="E6" s="80" t="inlineStr">
        <is>
          <t>Bepari</t>
        </is>
      </c>
      <c r="F6" s="80" t="inlineStr">
        <is>
          <t>Seasonal</t>
        </is>
      </c>
      <c r="G6" s="82" t="n">
        <v>25</v>
      </c>
      <c r="H6" s="80" t="inlineStr">
        <is>
          <t>Secondary</t>
        </is>
      </c>
      <c r="I6" s="82" t="n">
        <v>9</v>
      </c>
      <c r="J6" s="82" t="n">
        <v>7</v>
      </c>
      <c r="K6" s="79" t="inlineStr">
        <is>
          <t>Maund</t>
        </is>
      </c>
      <c r="L6" s="80" t="n">
        <v>261.24</v>
      </c>
      <c r="M6" s="83" t="n">
        <v>6</v>
      </c>
      <c r="N6" s="83" t="inlineStr">
        <is>
          <t>Karnaphuli river ghat</t>
        </is>
      </c>
      <c r="O6" s="83" t="inlineStr">
        <is>
          <t>Other</t>
        </is>
      </c>
      <c r="P6" s="79" t="n">
        <v>450</v>
      </c>
      <c r="Q6" s="83" t="n">
        <v>2</v>
      </c>
      <c r="R6" s="83" t="n">
        <v>1</v>
      </c>
      <c r="S6" s="80" t="n">
        <v>500</v>
      </c>
      <c r="T6" s="84" t="n">
        <v>35</v>
      </c>
      <c r="U6" s="83" t="n">
        <v>130</v>
      </c>
      <c r="V6" s="83" t="n">
        <v>4</v>
      </c>
      <c r="W6" s="84" t="inlineStr">
        <is>
          <t>Percent_of_lot</t>
        </is>
      </c>
      <c r="X6" s="84" t="n">
        <v>7</v>
      </c>
      <c r="Y6" s="84" t="n">
        <v>55</v>
      </c>
      <c r="Z6" s="80" t="n">
        <v>30</v>
      </c>
      <c r="AA6" s="80" t="n">
        <v>15</v>
      </c>
      <c r="AB6" s="79" t="inlineStr">
        <is>
          <t>Regular</t>
        </is>
      </c>
      <c r="AC6" s="79" t="inlineStr">
        <is>
          <t>None</t>
        </is>
      </c>
      <c r="AD6" s="79" t="inlineStr">
        <is>
          <t>Day-to-day price volatility</t>
        </is>
      </c>
      <c r="AE6" s="80" t="inlineStr">
        <is>
          <t>Rising cost of ice and salt</t>
        </is>
      </c>
      <c r="AF6" s="79" t="inlineStr">
        <is>
          <t>Rising toll and lease burden</t>
        </is>
      </c>
      <c r="AG6" s="85" t="n"/>
      <c r="AH6" s="85" t="n"/>
    </row>
    <row r="7" ht="19.5" customHeight="1" s="45">
      <c r="B7" s="79" t="inlineStr">
        <is>
          <t>M1-B-03</t>
        </is>
      </c>
      <c r="C7" s="80" t="inlineStr">
        <is>
          <t>M1</t>
        </is>
      </c>
      <c r="D7" s="81" t="n">
        <v>46084</v>
      </c>
      <c r="E7" s="80" t="inlineStr">
        <is>
          <t>Bepari</t>
        </is>
      </c>
      <c r="F7" s="80" t="inlineStr">
        <is>
          <t>Seasonal</t>
        </is>
      </c>
      <c r="G7" s="82" t="n">
        <v>27</v>
      </c>
      <c r="H7" s="80" t="inlineStr">
        <is>
          <t>Illiterate</t>
        </is>
      </c>
      <c r="I7" s="82" t="n">
        <v>11</v>
      </c>
      <c r="J7" s="82" t="n">
        <v>5</v>
      </c>
      <c r="K7" s="79" t="inlineStr">
        <is>
          <t>Maund</t>
        </is>
      </c>
      <c r="L7" s="80" t="n">
        <v>186.6</v>
      </c>
      <c r="M7" s="83" t="n">
        <v>7</v>
      </c>
      <c r="N7" s="83" t="inlineStr">
        <is>
          <t>Fishery Ghat landing</t>
        </is>
      </c>
      <c r="O7" s="83" t="inlineStr">
        <is>
          <t>Aratdar</t>
        </is>
      </c>
      <c r="P7" s="79" t="n">
        <v>900</v>
      </c>
      <c r="Q7" s="83" t="n">
        <v>3</v>
      </c>
      <c r="R7" s="83" t="n">
        <v>1</v>
      </c>
      <c r="S7" s="80" t="n">
        <v>150</v>
      </c>
      <c r="T7" s="84" t="n">
        <v>109</v>
      </c>
      <c r="U7" s="83" t="n">
        <v>300</v>
      </c>
      <c r="V7" s="83" t="n">
        <v>3</v>
      </c>
      <c r="W7" s="84" t="inlineStr">
        <is>
          <t>Percent_of_lot</t>
        </is>
      </c>
      <c r="X7" s="84" t="n">
        <v>5</v>
      </c>
      <c r="Y7" s="84" t="n">
        <v>67</v>
      </c>
      <c r="Z7" s="80" t="n">
        <v>27</v>
      </c>
      <c r="AA7" s="80" t="n">
        <v>6</v>
      </c>
      <c r="AB7" s="79" t="inlineStr">
        <is>
          <t>Never</t>
        </is>
      </c>
      <c r="AC7" s="79" t="inlineStr">
        <is>
          <t>Some</t>
        </is>
      </c>
      <c r="AD7" s="79" t="inlineStr">
        <is>
          <t>Rising cost of ice and salt</t>
        </is>
      </c>
      <c r="AE7" s="80" t="inlineStr">
        <is>
          <t>Low landings in lean season</t>
        </is>
      </c>
      <c r="AF7" s="79" t="inlineStr">
        <is>
          <t>Waterlogging during monsoon</t>
        </is>
      </c>
      <c r="AG7" s="85" t="n"/>
      <c r="AH7" s="85" t="n"/>
    </row>
    <row r="8" ht="19.5" customHeight="1" s="45">
      <c r="B8" s="79" t="inlineStr">
        <is>
          <t>M1-B-04</t>
        </is>
      </c>
      <c r="C8" s="80" t="inlineStr">
        <is>
          <t>M1</t>
        </is>
      </c>
      <c r="D8" s="81" t="n">
        <v>46084</v>
      </c>
      <c r="E8" s="80" t="inlineStr">
        <is>
          <t>Bepari</t>
        </is>
      </c>
      <c r="F8" s="80" t="inlineStr">
        <is>
          <t>Seasonal</t>
        </is>
      </c>
      <c r="G8" s="82" t="n">
        <v>51</v>
      </c>
      <c r="H8" s="80" t="inlineStr">
        <is>
          <t>Secondary</t>
        </is>
      </c>
      <c r="I8" s="82" t="n">
        <v>5</v>
      </c>
      <c r="J8" s="82" t="n">
        <v>4</v>
      </c>
      <c r="K8" s="79" t="inlineStr">
        <is>
          <t>Maund</t>
        </is>
      </c>
      <c r="L8" s="80" t="n">
        <v>149.28</v>
      </c>
      <c r="M8" s="83" t="n">
        <v>7</v>
      </c>
      <c r="N8" s="83" t="inlineStr">
        <is>
          <t>Karnaphuli river ghat</t>
        </is>
      </c>
      <c r="O8" s="83" t="inlineStr">
        <is>
          <t>Aratdar</t>
        </is>
      </c>
      <c r="P8" s="79" t="n">
        <v>500</v>
      </c>
      <c r="Q8" s="83" t="n">
        <v>2</v>
      </c>
      <c r="R8" s="83" t="n">
        <v>3</v>
      </c>
      <c r="S8" s="80" t="n">
        <v>100</v>
      </c>
      <c r="T8" s="84" t="n">
        <v>32</v>
      </c>
      <c r="U8" s="83" t="n">
        <v>80</v>
      </c>
      <c r="V8" s="83" t="n">
        <v>4</v>
      </c>
      <c r="W8" s="84" t="inlineStr">
        <is>
          <t>Percent_of_lot</t>
        </is>
      </c>
      <c r="X8" s="84" t="n">
        <v>8</v>
      </c>
      <c r="Y8" s="84" t="n">
        <v>79</v>
      </c>
      <c r="Z8" s="80" t="n">
        <v>10</v>
      </c>
      <c r="AA8" s="80" t="n">
        <v>11</v>
      </c>
      <c r="AB8" s="79" t="inlineStr">
        <is>
          <t>Occasional</t>
        </is>
      </c>
      <c r="AC8" s="79" t="inlineStr">
        <is>
          <t>None</t>
        </is>
      </c>
      <c r="AD8" s="79" t="inlineStr">
        <is>
          <t>Rising toll and lease burden</t>
        </is>
      </c>
      <c r="AE8" s="80" t="inlineStr">
        <is>
          <t>Day-to-day price volatility</t>
        </is>
      </c>
      <c r="AF8" s="79" t="inlineStr">
        <is>
          <t>Waterlogging during monsoon</t>
        </is>
      </c>
      <c r="AG8" s="85" t="n"/>
      <c r="AH8" s="85" t="n"/>
    </row>
    <row r="9" ht="19.5" customHeight="1" s="45">
      <c r="B9" s="79" t="inlineStr">
        <is>
          <t>M1-B-05</t>
        </is>
      </c>
      <c r="C9" s="80" t="inlineStr">
        <is>
          <t>M1</t>
        </is>
      </c>
      <c r="D9" s="81" t="n">
        <v>46084</v>
      </c>
      <c r="E9" s="80" t="inlineStr">
        <is>
          <t>Bepari</t>
        </is>
      </c>
      <c r="F9" s="80" t="inlineStr">
        <is>
          <t>Year_round</t>
        </is>
      </c>
      <c r="G9" s="82" t="n">
        <v>40</v>
      </c>
      <c r="H9" s="80" t="inlineStr">
        <is>
          <t>Secondary</t>
        </is>
      </c>
      <c r="I9" s="82" t="n">
        <v>18</v>
      </c>
      <c r="J9" s="82" t="n">
        <v>4</v>
      </c>
      <c r="K9" s="79" t="inlineStr">
        <is>
          <t>Maund</t>
        </is>
      </c>
      <c r="L9" s="80" t="n">
        <v>149.28</v>
      </c>
      <c r="M9" s="83" t="n">
        <v>3</v>
      </c>
      <c r="N9" s="83" t="inlineStr">
        <is>
          <t>Karnaphuli river ghat</t>
        </is>
      </c>
      <c r="O9" s="83" t="inlineStr">
        <is>
          <t>Aratdar</t>
        </is>
      </c>
      <c r="P9" s="79" t="n">
        <v>2650</v>
      </c>
      <c r="Q9" s="83" t="n">
        <v>3</v>
      </c>
      <c r="R9" s="83" t="n">
        <v>1</v>
      </c>
      <c r="S9" s="80" t="n">
        <v>100</v>
      </c>
      <c r="T9" s="84" t="n">
        <v>99</v>
      </c>
      <c r="U9" s="83" t="n">
        <v>390</v>
      </c>
      <c r="V9" s="83" t="n">
        <v>800</v>
      </c>
      <c r="W9" s="84" t="inlineStr">
        <is>
          <t>BDT_per_lot</t>
        </is>
      </c>
      <c r="X9" s="84" t="n">
        <v>8</v>
      </c>
      <c r="Y9" s="84" t="n">
        <v>54</v>
      </c>
      <c r="Z9" s="80" t="n">
        <v>28</v>
      </c>
      <c r="AA9" s="80" t="n">
        <v>18</v>
      </c>
      <c r="AB9" s="79" t="inlineStr">
        <is>
          <t>Occasional</t>
        </is>
      </c>
      <c r="AC9" s="79" t="inlineStr">
        <is>
          <t>Some</t>
        </is>
      </c>
      <c r="AD9" s="79" t="inlineStr">
        <is>
          <t>Supply syndicate control</t>
        </is>
      </c>
      <c r="AE9" s="80" t="inlineStr">
        <is>
          <t>High ice price</t>
        </is>
      </c>
      <c r="AF9" s="79" t="inlineStr">
        <is>
          <t>Low landings in lean season</t>
        </is>
      </c>
      <c r="AG9" s="85" t="n"/>
      <c r="AH9" s="85" t="n"/>
    </row>
    <row r="10" ht="19.5" customHeight="1" s="45">
      <c r="B10" s="79" t="inlineStr">
        <is>
          <t>M1-B-06</t>
        </is>
      </c>
      <c r="C10" s="80" t="inlineStr">
        <is>
          <t>M1</t>
        </is>
      </c>
      <c r="D10" s="81" t="n"/>
      <c r="E10" s="80" t="n"/>
      <c r="F10" s="80" t="n"/>
      <c r="G10" s="82" t="n"/>
      <c r="H10" s="80" t="n"/>
      <c r="I10" s="82" t="n"/>
      <c r="J10" s="82" t="n"/>
      <c r="K10" s="79" t="n"/>
      <c r="L10" s="80" t="n"/>
      <c r="M10" s="83" t="n"/>
      <c r="N10" s="83" t="n"/>
      <c r="O10" s="83" t="n"/>
      <c r="P10" s="79" t="n"/>
      <c r="Q10" s="83" t="n"/>
      <c r="R10" s="83" t="n"/>
      <c r="S10" s="80" t="n"/>
      <c r="T10" s="84" t="n"/>
      <c r="U10" s="83" t="n"/>
      <c r="V10" s="83" t="n"/>
      <c r="W10" s="84" t="n"/>
      <c r="X10" s="84" t="n"/>
      <c r="Y10" s="84" t="n"/>
      <c r="Z10" s="80" t="n"/>
      <c r="AA10" s="80" t="n"/>
      <c r="AB10" s="79" t="n"/>
      <c r="AC10" s="79" t="n"/>
      <c r="AD10" s="79" t="n"/>
      <c r="AE10" s="80" t="n"/>
      <c r="AF10" s="79" t="n"/>
      <c r="AG10" s="85" t="n"/>
      <c r="AH10" s="85" t="n"/>
    </row>
    <row r="11" ht="19.5" customHeight="1" s="45">
      <c r="B11" s="79" t="inlineStr">
        <is>
          <t>M2-B-01</t>
        </is>
      </c>
      <c r="C11" s="80" t="inlineStr">
        <is>
          <t>M2</t>
        </is>
      </c>
      <c r="D11" s="81" t="n">
        <v>46085</v>
      </c>
      <c r="E11" s="80" t="inlineStr">
        <is>
          <t>Bepari</t>
        </is>
      </c>
      <c r="F11" s="80" t="inlineStr">
        <is>
          <t>Year_round</t>
        </is>
      </c>
      <c r="G11" s="82" t="n">
        <v>45</v>
      </c>
      <c r="H11" s="80" t="inlineStr">
        <is>
          <t>Primary</t>
        </is>
      </c>
      <c r="I11" s="82" t="n">
        <v>12</v>
      </c>
      <c r="J11" s="82" t="n">
        <v>4</v>
      </c>
      <c r="K11" s="79" t="inlineStr">
        <is>
          <t>Maund</t>
        </is>
      </c>
      <c r="L11" s="80" t="n">
        <v>149.28</v>
      </c>
      <c r="M11" s="83" t="n">
        <v>4</v>
      </c>
      <c r="N11" s="83" t="inlineStr">
        <is>
          <t>Kuakata</t>
        </is>
      </c>
      <c r="O11" s="83" t="inlineStr">
        <is>
          <t>Fisherman</t>
        </is>
      </c>
      <c r="P11" s="79" t="n">
        <v>1650</v>
      </c>
      <c r="Q11" s="83" t="n">
        <v>1</v>
      </c>
      <c r="R11" s="83" t="n">
        <v>2</v>
      </c>
      <c r="S11" s="80" t="n">
        <v>250</v>
      </c>
      <c r="T11" s="84" t="n">
        <v>65</v>
      </c>
      <c r="U11" s="83" t="n">
        <v>180</v>
      </c>
      <c r="V11" s="83" t="n">
        <v>4</v>
      </c>
      <c r="W11" s="84" t="inlineStr">
        <is>
          <t>Percent_of_lot</t>
        </is>
      </c>
      <c r="X11" s="84" t="n">
        <v>6</v>
      </c>
      <c r="Y11" s="84" t="n">
        <v>62</v>
      </c>
      <c r="Z11" s="80" t="n">
        <v>15</v>
      </c>
      <c r="AA11" s="80" t="n">
        <v>23</v>
      </c>
      <c r="AB11" s="79" t="inlineStr">
        <is>
          <t>Regular</t>
        </is>
      </c>
      <c r="AC11" s="79" t="inlineStr">
        <is>
          <t>Some</t>
        </is>
      </c>
      <c r="AD11" s="79" t="inlineStr">
        <is>
          <t>Irregular electricity and load-shedding</t>
        </is>
      </c>
      <c r="AE11" s="80" t="inlineStr">
        <is>
          <t>Supply syndicate control</t>
        </is>
      </c>
      <c r="AF11" s="79" t="inlineStr">
        <is>
          <t>Unsold fish spoilage loss</t>
        </is>
      </c>
      <c r="AG11" s="85" t="n"/>
      <c r="AH11" s="85" t="n"/>
    </row>
    <row r="12" ht="19.5" customHeight="1" s="45">
      <c r="B12" s="79" t="inlineStr">
        <is>
          <t>M2-B-02</t>
        </is>
      </c>
      <c r="C12" s="80" t="inlineStr">
        <is>
          <t>M2</t>
        </is>
      </c>
      <c r="D12" s="81" t="n">
        <v>46085</v>
      </c>
      <c r="E12" s="80" t="inlineStr">
        <is>
          <t>Bepari</t>
        </is>
      </c>
      <c r="F12" s="80" t="inlineStr">
        <is>
          <t>Year_round</t>
        </is>
      </c>
      <c r="G12" s="82" t="n">
        <v>46</v>
      </c>
      <c r="H12" s="80" t="inlineStr">
        <is>
          <t>Secondary</t>
        </is>
      </c>
      <c r="I12" s="82" t="n">
        <v>25</v>
      </c>
      <c r="J12" s="82" t="n">
        <v>6</v>
      </c>
      <c r="K12" s="79" t="inlineStr">
        <is>
          <t>Maund</t>
        </is>
      </c>
      <c r="L12" s="80" t="n">
        <v>223.92</v>
      </c>
      <c r="M12" s="83" t="n">
        <v>8</v>
      </c>
      <c r="N12" s="83" t="inlineStr">
        <is>
          <t>Teknaf</t>
        </is>
      </c>
      <c r="O12" s="83" t="inlineStr">
        <is>
          <t>Fisherman</t>
        </is>
      </c>
      <c r="P12" s="79" t="n">
        <v>2400</v>
      </c>
      <c r="Q12" s="83" t="n">
        <v>3</v>
      </c>
      <c r="R12" s="83" t="n">
        <v>3</v>
      </c>
      <c r="S12" s="80" t="n">
        <v>150</v>
      </c>
      <c r="T12" s="84" t="n">
        <v>110</v>
      </c>
      <c r="U12" s="83" t="n">
        <v>310</v>
      </c>
      <c r="V12" s="83" t="n">
        <v>3</v>
      </c>
      <c r="W12" s="84" t="inlineStr">
        <is>
          <t>Percent_of_lot</t>
        </is>
      </c>
      <c r="X12" s="84" t="n">
        <v>8</v>
      </c>
      <c r="Y12" s="84" t="n">
        <v>60</v>
      </c>
      <c r="Z12" s="80" t="n">
        <v>7</v>
      </c>
      <c r="AA12" s="80" t="n">
        <v>33</v>
      </c>
      <c r="AB12" s="79" t="inlineStr">
        <is>
          <t>Regular</t>
        </is>
      </c>
      <c r="AC12" s="79" t="inlineStr">
        <is>
          <t>Some</t>
        </is>
      </c>
      <c r="AD12" s="79" t="inlineStr">
        <is>
          <t>Delayed credit recovery</t>
        </is>
      </c>
      <c r="AE12" s="80" t="inlineStr">
        <is>
          <t>Rising toll and lease burden</t>
        </is>
      </c>
      <c r="AF12" s="79" t="inlineStr">
        <is>
          <t>Rising cost of ice and salt</t>
        </is>
      </c>
      <c r="AG12" s="85" t="n"/>
      <c r="AH12" s="85" t="n"/>
    </row>
    <row r="13" ht="19.5" customHeight="1" s="45">
      <c r="B13" s="79" t="inlineStr">
        <is>
          <t>M2-B-03</t>
        </is>
      </c>
      <c r="C13" s="80" t="inlineStr">
        <is>
          <t>M2</t>
        </is>
      </c>
      <c r="D13" s="81" t="n">
        <v>46085</v>
      </c>
      <c r="E13" s="80" t="inlineStr">
        <is>
          <t>Bepari</t>
        </is>
      </c>
      <c r="F13" s="80" t="inlineStr">
        <is>
          <t>Year_round</t>
        </is>
      </c>
      <c r="G13" s="82" t="n">
        <v>51</v>
      </c>
      <c r="H13" s="80" t="inlineStr">
        <is>
          <t>Secondary</t>
        </is>
      </c>
      <c r="I13" s="82" t="n">
        <v>9</v>
      </c>
      <c r="J13" s="82" t="n">
        <v>9</v>
      </c>
      <c r="K13" s="79" t="inlineStr">
        <is>
          <t>Maund</t>
        </is>
      </c>
      <c r="L13" s="80" t="n">
        <v>335.88</v>
      </c>
      <c r="M13" s="83" t="n">
        <v>4</v>
      </c>
      <c r="N13" s="83" t="inlineStr">
        <is>
          <t>Karnaphuli river ghat</t>
        </is>
      </c>
      <c r="O13" s="83" t="inlineStr">
        <is>
          <t>Fisherman</t>
        </is>
      </c>
      <c r="P13" s="79" t="n">
        <v>3250</v>
      </c>
      <c r="Q13" s="83" t="n">
        <v>2</v>
      </c>
      <c r="R13" s="83" t="n">
        <v>2</v>
      </c>
      <c r="S13" s="80" t="n">
        <v>100</v>
      </c>
      <c r="T13" s="84" t="n">
        <v>88</v>
      </c>
      <c r="U13" s="83" t="n">
        <v>220</v>
      </c>
      <c r="V13" s="83" t="n">
        <v>4</v>
      </c>
      <c r="W13" s="84" t="inlineStr">
        <is>
          <t>Percent_of_lot</t>
        </is>
      </c>
      <c r="X13" s="84" t="n">
        <v>3</v>
      </c>
      <c r="Y13" s="84" t="n">
        <v>56</v>
      </c>
      <c r="Z13" s="80" t="n">
        <v>23</v>
      </c>
      <c r="AA13" s="80" t="n">
        <v>21</v>
      </c>
      <c r="AB13" s="79" t="inlineStr">
        <is>
          <t>Occasional</t>
        </is>
      </c>
      <c r="AC13" s="79" t="inlineStr">
        <is>
          <t>None</t>
        </is>
      </c>
      <c r="AD13" s="79" t="inlineStr">
        <is>
          <t>Supply syndicate control</t>
        </is>
      </c>
      <c r="AE13" s="80" t="inlineStr">
        <is>
          <t>Delayed credit recovery</t>
        </is>
      </c>
      <c r="AF13" s="79" t="inlineStr">
        <is>
          <t>Irregular electricity and load-shedding</t>
        </is>
      </c>
      <c r="AG13" s="85" t="n"/>
      <c r="AH13" s="85" t="n"/>
    </row>
    <row r="14" ht="19.5" customHeight="1" s="45">
      <c r="B14" s="79" t="inlineStr">
        <is>
          <t>M2-B-04</t>
        </is>
      </c>
      <c r="C14" s="80" t="inlineStr">
        <is>
          <t>M2</t>
        </is>
      </c>
      <c r="D14" s="81" t="n">
        <v>46085</v>
      </c>
      <c r="E14" s="80" t="inlineStr">
        <is>
          <t>Bepari</t>
        </is>
      </c>
      <c r="F14" s="80" t="inlineStr">
        <is>
          <t>Year_round</t>
        </is>
      </c>
      <c r="G14" s="82" t="n">
        <v>27</v>
      </c>
      <c r="H14" s="80" t="inlineStr">
        <is>
          <t>Secondary</t>
        </is>
      </c>
      <c r="I14" s="82" t="n">
        <v>11</v>
      </c>
      <c r="J14" s="82" t="n">
        <v>8</v>
      </c>
      <c r="K14" s="79" t="inlineStr">
        <is>
          <t>Maund</t>
        </is>
      </c>
      <c r="L14" s="80" t="n">
        <v>298.56</v>
      </c>
      <c r="M14" s="83" t="n">
        <v>2</v>
      </c>
      <c r="N14" s="83" t="inlineStr">
        <is>
          <t>Kuakata</t>
        </is>
      </c>
      <c r="O14" s="83" t="inlineStr">
        <is>
          <t>Aratdar</t>
        </is>
      </c>
      <c r="P14" s="79" t="n">
        <v>2300</v>
      </c>
      <c r="Q14" s="83" t="n">
        <v>2</v>
      </c>
      <c r="R14" s="83" t="n">
        <v>2</v>
      </c>
      <c r="S14" s="80" t="n">
        <v>450</v>
      </c>
      <c r="T14" s="84" t="n">
        <v>68</v>
      </c>
      <c r="U14" s="83" t="n">
        <v>260</v>
      </c>
      <c r="V14" s="83" t="n">
        <v>3.5</v>
      </c>
      <c r="W14" s="84" t="inlineStr">
        <is>
          <t>Percent_of_lot</t>
        </is>
      </c>
      <c r="X14" s="84" t="n">
        <v>5</v>
      </c>
      <c r="Y14" s="84" t="n">
        <v>68</v>
      </c>
      <c r="Z14" s="80" t="n">
        <v>8</v>
      </c>
      <c r="AA14" s="80" t="n">
        <v>24</v>
      </c>
      <c r="AB14" s="79" t="inlineStr">
        <is>
          <t>Occasional</t>
        </is>
      </c>
      <c r="AC14" s="79" t="inlineStr">
        <is>
          <t>None</t>
        </is>
      </c>
      <c r="AD14" s="79" t="inlineStr">
        <is>
          <t>Day-to-day price volatility</t>
        </is>
      </c>
      <c r="AE14" s="80" t="inlineStr">
        <is>
          <t>Transport cost increase</t>
        </is>
      </c>
      <c r="AF14" s="79" t="inlineStr">
        <is>
          <t>Waterlogging during monsoon</t>
        </is>
      </c>
      <c r="AG14" s="85" t="n"/>
      <c r="AH14" s="85" t="n"/>
    </row>
    <row r="15" ht="19.5" customHeight="1" s="45">
      <c r="B15" s="79" t="inlineStr">
        <is>
          <t>M2-B-05</t>
        </is>
      </c>
      <c r="C15" s="80" t="inlineStr">
        <is>
          <t>M2</t>
        </is>
      </c>
      <c r="D15" s="81" t="n">
        <v>46085</v>
      </c>
      <c r="E15" s="80" t="inlineStr">
        <is>
          <t>Bepari</t>
        </is>
      </c>
      <c r="F15" s="80" t="inlineStr">
        <is>
          <t>Year_round</t>
        </is>
      </c>
      <c r="G15" s="82" t="n">
        <v>58</v>
      </c>
      <c r="H15" s="80" t="inlineStr">
        <is>
          <t>Primary</t>
        </is>
      </c>
      <c r="I15" s="82" t="n">
        <v>5</v>
      </c>
      <c r="J15" s="82" t="n">
        <v>8</v>
      </c>
      <c r="K15" s="79" t="inlineStr">
        <is>
          <t>Maund</t>
        </is>
      </c>
      <c r="L15" s="80" t="n">
        <v>298.56</v>
      </c>
      <c r="M15" s="83" t="n">
        <v>4</v>
      </c>
      <c r="N15" s="83" t="inlineStr">
        <is>
          <t>Fishery Ghat landing</t>
        </is>
      </c>
      <c r="O15" s="83" t="inlineStr">
        <is>
          <t>Fisherman</t>
        </is>
      </c>
      <c r="P15" s="79" t="n">
        <v>2750</v>
      </c>
      <c r="Q15" s="83" t="n">
        <v>3</v>
      </c>
      <c r="R15" s="83" t="n">
        <v>1</v>
      </c>
      <c r="S15" s="80" t="n">
        <v>100</v>
      </c>
      <c r="T15" s="84" t="n">
        <v>57</v>
      </c>
      <c r="U15" s="83" t="n">
        <v>190</v>
      </c>
      <c r="V15" s="83" t="n">
        <v>2</v>
      </c>
      <c r="W15" s="84" t="inlineStr">
        <is>
          <t>Percent_of_lot</t>
        </is>
      </c>
      <c r="X15" s="84" t="n">
        <v>4</v>
      </c>
      <c r="Y15" s="84" t="n">
        <v>72</v>
      </c>
      <c r="Z15" s="80" t="n">
        <v>18</v>
      </c>
      <c r="AA15" s="80" t="n">
        <v>10</v>
      </c>
      <c r="AB15" s="79" t="inlineStr">
        <is>
          <t>Never</t>
        </is>
      </c>
      <c r="AC15" s="79" t="inlineStr">
        <is>
          <t>Some</t>
        </is>
      </c>
      <c r="AD15" s="79" t="inlineStr">
        <is>
          <t>Transport cost increase</t>
        </is>
      </c>
      <c r="AE15" s="80" t="inlineStr">
        <is>
          <t>Irregular electricity and load-shedding</t>
        </is>
      </c>
      <c r="AF15" s="79" t="inlineStr">
        <is>
          <t>Day-to-day price volatility</t>
        </is>
      </c>
      <c r="AG15" s="85" t="n"/>
      <c r="AH15" s="85" t="n"/>
    </row>
    <row r="16" ht="19.5" customHeight="1" s="45">
      <c r="B16" s="79" t="inlineStr">
        <is>
          <t>M2-B-06</t>
        </is>
      </c>
      <c r="C16" s="80" t="inlineStr">
        <is>
          <t>M2</t>
        </is>
      </c>
      <c r="D16" s="81" t="n"/>
      <c r="E16" s="80" t="n"/>
      <c r="F16" s="80" t="n"/>
      <c r="G16" s="82" t="n"/>
      <c r="H16" s="80" t="n"/>
      <c r="I16" s="82" t="n"/>
      <c r="J16" s="82" t="n"/>
      <c r="K16" s="79" t="n"/>
      <c r="L16" s="80" t="n"/>
      <c r="M16" s="83" t="n"/>
      <c r="N16" s="83" t="n"/>
      <c r="O16" s="83" t="n"/>
      <c r="P16" s="79" t="n"/>
      <c r="Q16" s="83" t="n"/>
      <c r="R16" s="83" t="n"/>
      <c r="S16" s="80" t="n"/>
      <c r="T16" s="84" t="n"/>
      <c r="U16" s="83" t="n"/>
      <c r="V16" s="83" t="n"/>
      <c r="W16" s="84" t="n"/>
      <c r="X16" s="84" t="n"/>
      <c r="Y16" s="84" t="n"/>
      <c r="Z16" s="80" t="n"/>
      <c r="AA16" s="80" t="n"/>
      <c r="AB16" s="79" t="n"/>
      <c r="AC16" s="79" t="n"/>
      <c r="AD16" s="79" t="n"/>
      <c r="AE16" s="80" t="n"/>
      <c r="AF16" s="79" t="n"/>
      <c r="AG16" s="85" t="n"/>
      <c r="AH16" s="85" t="n"/>
    </row>
    <row r="17" ht="19.5" customHeight="1" s="45">
      <c r="B17" s="79" t="inlineStr">
        <is>
          <t>M3-B-01</t>
        </is>
      </c>
      <c r="C17" s="80" t="inlineStr">
        <is>
          <t>M3</t>
        </is>
      </c>
      <c r="D17" s="81" t="n">
        <v>46086</v>
      </c>
      <c r="E17" s="80" t="inlineStr">
        <is>
          <t>Bepari</t>
        </is>
      </c>
      <c r="F17" s="80" t="inlineStr">
        <is>
          <t>Year_round</t>
        </is>
      </c>
      <c r="G17" s="82" t="n">
        <v>34</v>
      </c>
      <c r="H17" s="80" t="inlineStr">
        <is>
          <t>Primary</t>
        </is>
      </c>
      <c r="I17" s="82" t="n">
        <v>18</v>
      </c>
      <c r="J17" s="82" t="n">
        <v>4</v>
      </c>
      <c r="K17" s="79" t="inlineStr">
        <is>
          <t>Maund</t>
        </is>
      </c>
      <c r="L17" s="80" t="n">
        <v>149.28</v>
      </c>
      <c r="M17" s="83" t="n">
        <v>2</v>
      </c>
      <c r="N17" s="83" t="inlineStr">
        <is>
          <t>Moheshkhali</t>
        </is>
      </c>
      <c r="O17" s="83" t="inlineStr">
        <is>
          <t>Faria</t>
        </is>
      </c>
      <c r="P17" s="79" t="n">
        <v>3200</v>
      </c>
      <c r="Q17" s="83" t="n">
        <v>3</v>
      </c>
      <c r="R17" s="83" t="n">
        <v>1</v>
      </c>
      <c r="S17" s="80" t="n">
        <v>100</v>
      </c>
      <c r="T17" s="84" t="n">
        <v>66</v>
      </c>
      <c r="U17" s="83" t="n">
        <v>220</v>
      </c>
      <c r="V17" s="83" t="n">
        <v>4</v>
      </c>
      <c r="W17" s="84" t="inlineStr">
        <is>
          <t>Percent_of_lot</t>
        </is>
      </c>
      <c r="X17" s="84" t="n">
        <v>5</v>
      </c>
      <c r="Y17" s="84" t="n">
        <v>54</v>
      </c>
      <c r="Z17" s="80" t="n">
        <v>21</v>
      </c>
      <c r="AA17" s="80" t="n">
        <v>25</v>
      </c>
      <c r="AB17" s="79" t="inlineStr">
        <is>
          <t>Occasional</t>
        </is>
      </c>
      <c r="AC17" s="79" t="inlineStr">
        <is>
          <t>Some</t>
        </is>
      </c>
      <c r="AD17" s="79" t="inlineStr">
        <is>
          <t>Low landings in lean season</t>
        </is>
      </c>
      <c r="AE17" s="80" t="inlineStr">
        <is>
          <t>Rising cost of ice and salt</t>
        </is>
      </c>
      <c r="AF17" s="79" t="inlineStr">
        <is>
          <t>Irregular electricity and load-shedding</t>
        </is>
      </c>
      <c r="AG17" s="85" t="n"/>
      <c r="AH17" s="85" t="n"/>
    </row>
    <row r="18" ht="19.5" customHeight="1" s="45">
      <c r="B18" s="79" t="inlineStr">
        <is>
          <t>M3-B-02</t>
        </is>
      </c>
      <c r="C18" s="80" t="inlineStr">
        <is>
          <t>M3</t>
        </is>
      </c>
      <c r="D18" s="81" t="n">
        <v>46086</v>
      </c>
      <c r="E18" s="80" t="inlineStr">
        <is>
          <t>Faria</t>
        </is>
      </c>
      <c r="F18" s="80" t="inlineStr">
        <is>
          <t>Seasonal</t>
        </is>
      </c>
      <c r="G18" s="82" t="n">
        <v>43</v>
      </c>
      <c r="H18" s="80" t="inlineStr">
        <is>
          <t>Secondary</t>
        </is>
      </c>
      <c r="I18" s="82" t="n">
        <v>27</v>
      </c>
      <c r="J18" s="82" t="n">
        <v>3.9</v>
      </c>
      <c r="K18" s="79" t="inlineStr">
        <is>
          <t>Maund</t>
        </is>
      </c>
      <c r="L18" s="80" t="n">
        <v>145.55</v>
      </c>
      <c r="M18" s="83" t="n">
        <v>5</v>
      </c>
      <c r="N18" s="83" t="inlineStr">
        <is>
          <t>Kutubdia</t>
        </is>
      </c>
      <c r="O18" s="83" t="inlineStr">
        <is>
          <t>Fisherman</t>
        </is>
      </c>
      <c r="P18" s="79" t="n">
        <v>800</v>
      </c>
      <c r="Q18" s="83" t="n">
        <v>1</v>
      </c>
      <c r="R18" s="83" t="n">
        <v>3</v>
      </c>
      <c r="S18" s="80" t="n">
        <v>150</v>
      </c>
      <c r="T18" s="84" t="n">
        <v>64</v>
      </c>
      <c r="U18" s="83" t="n">
        <v>250</v>
      </c>
      <c r="V18" s="83" t="n">
        <v>1500</v>
      </c>
      <c r="W18" s="84" t="inlineStr">
        <is>
          <t>BDT_per_lot</t>
        </is>
      </c>
      <c r="X18" s="84" t="n">
        <v>2</v>
      </c>
      <c r="Y18" s="84" t="n">
        <v>77</v>
      </c>
      <c r="Z18" s="80" t="n">
        <v>10</v>
      </c>
      <c r="AA18" s="80" t="n">
        <v>13</v>
      </c>
      <c r="AB18" s="79" t="inlineStr">
        <is>
          <t>Occasional</t>
        </is>
      </c>
      <c r="AC18" s="79" t="inlineStr">
        <is>
          <t>Some</t>
        </is>
      </c>
      <c r="AD18" s="79" t="inlineStr">
        <is>
          <t>Transport cost increase</t>
        </is>
      </c>
      <c r="AE18" s="80" t="inlineStr">
        <is>
          <t>Rising cost of ice and salt</t>
        </is>
      </c>
      <c r="AF18" s="79" t="inlineStr">
        <is>
          <t>Low landings in lean season</t>
        </is>
      </c>
      <c r="AG18" s="85" t="n"/>
      <c r="AH18" s="85" t="n"/>
    </row>
    <row r="19" ht="19.5" customHeight="1" s="45">
      <c r="B19" s="79" t="inlineStr">
        <is>
          <t>M3-B-03</t>
        </is>
      </c>
      <c r="C19" s="80" t="inlineStr">
        <is>
          <t>M3</t>
        </is>
      </c>
      <c r="D19" s="81" t="n">
        <v>46086</v>
      </c>
      <c r="E19" s="80" t="inlineStr">
        <is>
          <t>Bepari</t>
        </is>
      </c>
      <c r="F19" s="80" t="inlineStr">
        <is>
          <t>Seasonal</t>
        </is>
      </c>
      <c r="G19" s="82" t="n">
        <v>29</v>
      </c>
      <c r="H19" s="80" t="inlineStr">
        <is>
          <t>Secondary</t>
        </is>
      </c>
      <c r="I19" s="82" t="n">
        <v>13</v>
      </c>
      <c r="J19" s="82" t="n">
        <v>5</v>
      </c>
      <c r="K19" s="79" t="inlineStr">
        <is>
          <t>Maund</t>
        </is>
      </c>
      <c r="L19" s="80" t="n">
        <v>186.6</v>
      </c>
      <c r="M19" s="83" t="n">
        <v>3</v>
      </c>
      <c r="N19" s="83" t="inlineStr">
        <is>
          <t>Teknaf</t>
        </is>
      </c>
      <c r="O19" s="83" t="inlineStr">
        <is>
          <t>Fisherman</t>
        </is>
      </c>
      <c r="P19" s="79" t="n">
        <v>1750</v>
      </c>
      <c r="Q19" s="83" t="n">
        <v>1</v>
      </c>
      <c r="R19" s="83" t="n">
        <v>2</v>
      </c>
      <c r="S19" s="80" t="n">
        <v>450</v>
      </c>
      <c r="T19" s="84" t="n">
        <v>79</v>
      </c>
      <c r="U19" s="83" t="n">
        <v>220</v>
      </c>
      <c r="V19" s="83" t="n">
        <v>2</v>
      </c>
      <c r="W19" s="84" t="inlineStr">
        <is>
          <t>Percent_of_lot</t>
        </is>
      </c>
      <c r="X19" s="84" t="n">
        <v>2</v>
      </c>
      <c r="Y19" s="84" t="n">
        <v>76</v>
      </c>
      <c r="Z19" s="80" t="n">
        <v>15</v>
      </c>
      <c r="AA19" s="80" t="n">
        <v>9</v>
      </c>
      <c r="AB19" s="79" t="inlineStr">
        <is>
          <t>Regular</t>
        </is>
      </c>
      <c r="AC19" s="79" t="inlineStr">
        <is>
          <t>Some</t>
        </is>
      </c>
      <c r="AD19" s="79" t="inlineStr">
        <is>
          <t>Competition from frozen imported fish</t>
        </is>
      </c>
      <c r="AE19" s="80" t="inlineStr">
        <is>
          <t>High ice price</t>
        </is>
      </c>
      <c r="AF19" s="79" t="inlineStr">
        <is>
          <t>Delayed credit recovery</t>
        </is>
      </c>
      <c r="AG19" s="85" t="n"/>
      <c r="AH19" s="85" t="n"/>
    </row>
    <row r="20" ht="19.5" customHeight="1" s="45">
      <c r="B20" s="79" t="inlineStr">
        <is>
          <t>M3-B-04</t>
        </is>
      </c>
      <c r="C20" s="80" t="inlineStr">
        <is>
          <t>M3</t>
        </is>
      </c>
      <c r="D20" s="81" t="n">
        <v>46086</v>
      </c>
      <c r="E20" s="80" t="inlineStr">
        <is>
          <t>Bepari</t>
        </is>
      </c>
      <c r="F20" s="80" t="inlineStr">
        <is>
          <t>Year_round</t>
        </is>
      </c>
      <c r="G20" s="82" t="n">
        <v>41</v>
      </c>
      <c r="H20" s="80" t="inlineStr">
        <is>
          <t>Primary</t>
        </is>
      </c>
      <c r="I20" s="82" t="n">
        <v>25</v>
      </c>
      <c r="J20" s="82" t="n">
        <v>4</v>
      </c>
      <c r="K20" s="79" t="inlineStr">
        <is>
          <t>Maund</t>
        </is>
      </c>
      <c r="L20" s="80" t="n">
        <v>149.28</v>
      </c>
      <c r="M20" s="83" t="n">
        <v>6</v>
      </c>
      <c r="N20" s="83" t="inlineStr">
        <is>
          <t>Bhola charter landing</t>
        </is>
      </c>
      <c r="O20" s="83" t="inlineStr">
        <is>
          <t>Faria</t>
        </is>
      </c>
      <c r="P20" s="79" t="n">
        <v>1950</v>
      </c>
      <c r="Q20" s="83" t="n">
        <v>3</v>
      </c>
      <c r="R20" s="83" t="n">
        <v>3</v>
      </c>
      <c r="S20" s="80" t="n">
        <v>500</v>
      </c>
      <c r="T20" s="84" t="n">
        <v>120</v>
      </c>
      <c r="U20" s="83" t="n">
        <v>470</v>
      </c>
      <c r="V20" s="83" t="n">
        <v>2.5</v>
      </c>
      <c r="W20" s="84" t="inlineStr">
        <is>
          <t>Percent_of_lot</t>
        </is>
      </c>
      <c r="X20" s="84" t="n">
        <v>7</v>
      </c>
      <c r="Y20" s="84" t="n">
        <v>79</v>
      </c>
      <c r="Z20" s="80" t="n">
        <v>5</v>
      </c>
      <c r="AA20" s="80" t="n">
        <v>16</v>
      </c>
      <c r="AB20" s="79" t="inlineStr">
        <is>
          <t>Regular</t>
        </is>
      </c>
      <c r="AC20" s="79" t="inlineStr">
        <is>
          <t>Some</t>
        </is>
      </c>
      <c r="AD20" s="79" t="inlineStr">
        <is>
          <t>Waterlogging during monsoon</t>
        </is>
      </c>
      <c r="AE20" s="80" t="inlineStr">
        <is>
          <t>Transport cost increase</t>
        </is>
      </c>
      <c r="AF20" s="79" t="inlineStr">
        <is>
          <t>Rising cost of ice and salt</t>
        </is>
      </c>
      <c r="AG20" s="85" t="n"/>
      <c r="AH20" s="85" t="n"/>
    </row>
    <row r="21" ht="19.5" customHeight="1" s="45">
      <c r="B21" s="79" t="inlineStr">
        <is>
          <t>M3-B-05</t>
        </is>
      </c>
      <c r="C21" s="80" t="inlineStr">
        <is>
          <t>M3</t>
        </is>
      </c>
      <c r="D21" s="81" t="n">
        <v>46086</v>
      </c>
      <c r="E21" s="80" t="inlineStr">
        <is>
          <t>Bepari</t>
        </is>
      </c>
      <c r="F21" s="80" t="inlineStr">
        <is>
          <t>Year_round</t>
        </is>
      </c>
      <c r="G21" s="82" t="n">
        <v>30</v>
      </c>
      <c r="H21" s="80" t="inlineStr">
        <is>
          <t>Higher_Secondary</t>
        </is>
      </c>
      <c r="I21" s="82" t="n">
        <v>14</v>
      </c>
      <c r="J21" s="82" t="n">
        <v>4</v>
      </c>
      <c r="K21" s="79" t="inlineStr">
        <is>
          <t>Maund</t>
        </is>
      </c>
      <c r="L21" s="80" t="n">
        <v>149.28</v>
      </c>
      <c r="M21" s="83" t="n">
        <v>3</v>
      </c>
      <c r="N21" s="83" t="inlineStr">
        <is>
          <t>Teknaf</t>
        </is>
      </c>
      <c r="O21" s="83" t="inlineStr">
        <is>
          <t>Fisherman</t>
        </is>
      </c>
      <c r="P21" s="79" t="n">
        <v>3500</v>
      </c>
      <c r="Q21" s="83" t="n">
        <v>1</v>
      </c>
      <c r="R21" s="83" t="n">
        <v>2</v>
      </c>
      <c r="S21" s="80" t="n">
        <v>200</v>
      </c>
      <c r="T21" s="84" t="n">
        <v>38</v>
      </c>
      <c r="U21" s="83" t="n">
        <v>140</v>
      </c>
      <c r="V21" s="83" t="n">
        <v>3.5</v>
      </c>
      <c r="W21" s="84" t="inlineStr">
        <is>
          <t>Percent_of_lot</t>
        </is>
      </c>
      <c r="X21" s="84" t="n">
        <v>4</v>
      </c>
      <c r="Y21" s="84" t="n">
        <v>54</v>
      </c>
      <c r="Z21" s="80" t="n">
        <v>23</v>
      </c>
      <c r="AA21" s="80" t="n">
        <v>23</v>
      </c>
      <c r="AB21" s="79" t="inlineStr">
        <is>
          <t>Never</t>
        </is>
      </c>
      <c r="AC21" s="79" t="inlineStr">
        <is>
          <t>None</t>
        </is>
      </c>
      <c r="AD21" s="79" t="inlineStr">
        <is>
          <t>Rising cost of ice and salt</t>
        </is>
      </c>
      <c r="AE21" s="80" t="inlineStr">
        <is>
          <t>Day-to-day price volatility</t>
        </is>
      </c>
      <c r="AF21" s="79" t="inlineStr">
        <is>
          <t>Low landings in lean season</t>
        </is>
      </c>
      <c r="AG21" s="85" t="n"/>
      <c r="AH21" s="85" t="n"/>
    </row>
    <row r="22" ht="19.5" customHeight="1" s="45">
      <c r="B22" s="79" t="inlineStr">
        <is>
          <t>M3-B-06</t>
        </is>
      </c>
      <c r="C22" s="80" t="inlineStr">
        <is>
          <t>M3</t>
        </is>
      </c>
      <c r="D22" s="81" t="n"/>
      <c r="E22" s="80" t="n"/>
      <c r="F22" s="80" t="n"/>
      <c r="G22" s="82" t="n"/>
      <c r="H22" s="80" t="n"/>
      <c r="I22" s="82" t="n"/>
      <c r="J22" s="82" t="n"/>
      <c r="K22" s="79" t="n"/>
      <c r="L22" s="80" t="n"/>
      <c r="M22" s="83" t="n"/>
      <c r="N22" s="83" t="n"/>
      <c r="O22" s="83" t="n"/>
      <c r="P22" s="79" t="n"/>
      <c r="Q22" s="83" t="n"/>
      <c r="R22" s="83" t="n"/>
      <c r="S22" s="80" t="n"/>
      <c r="T22" s="84" t="n"/>
      <c r="U22" s="83" t="n"/>
      <c r="V22" s="83" t="n"/>
      <c r="W22" s="84" t="n"/>
      <c r="X22" s="84" t="n"/>
      <c r="Y22" s="84" t="n"/>
      <c r="Z22" s="80" t="n"/>
      <c r="AA22" s="80" t="n"/>
      <c r="AB22" s="79" t="n"/>
      <c r="AC22" s="79" t="n"/>
      <c r="AD22" s="79" t="n"/>
      <c r="AE22" s="80" t="n"/>
      <c r="AF22" s="79" t="n"/>
      <c r="AG22" s="85" t="n"/>
      <c r="AH22" s="85" t="n"/>
    </row>
    <row r="23" ht="19.5" customHeight="1" s="45">
      <c r="B23" s="79" t="inlineStr">
        <is>
          <t>M4-B-01</t>
        </is>
      </c>
      <c r="C23" s="80" t="inlineStr">
        <is>
          <t>M4</t>
        </is>
      </c>
      <c r="D23" s="81" t="n">
        <v>46087</v>
      </c>
      <c r="E23" s="80" t="inlineStr">
        <is>
          <t>Bepari</t>
        </is>
      </c>
      <c r="F23" s="80" t="inlineStr">
        <is>
          <t>Year_round</t>
        </is>
      </c>
      <c r="G23" s="82" t="n">
        <v>54</v>
      </c>
      <c r="H23" s="80" t="inlineStr">
        <is>
          <t>Illiterate</t>
        </is>
      </c>
      <c r="I23" s="82" t="n">
        <v>33</v>
      </c>
      <c r="J23" s="82" t="n">
        <v>7</v>
      </c>
      <c r="K23" s="79" t="inlineStr">
        <is>
          <t>Maund</t>
        </is>
      </c>
      <c r="L23" s="80" t="n">
        <v>261.24</v>
      </c>
      <c r="M23" s="83" t="n">
        <v>4</v>
      </c>
      <c r="N23" s="83" t="inlineStr">
        <is>
          <t>Bhola charter landing</t>
        </is>
      </c>
      <c r="O23" s="83" t="inlineStr">
        <is>
          <t>Aratdar</t>
        </is>
      </c>
      <c r="P23" s="79" t="n">
        <v>800</v>
      </c>
      <c r="Q23" s="83" t="n">
        <v>1</v>
      </c>
      <c r="R23" s="83" t="n">
        <v>1</v>
      </c>
      <c r="S23" s="80" t="n">
        <v>500</v>
      </c>
      <c r="T23" s="84" t="n">
        <v>93</v>
      </c>
      <c r="U23" s="83" t="n">
        <v>260</v>
      </c>
      <c r="V23" s="83" t="n">
        <v>2</v>
      </c>
      <c r="W23" s="84" t="inlineStr">
        <is>
          <t>Percent_of_lot</t>
        </is>
      </c>
      <c r="X23" s="84" t="n">
        <v>7</v>
      </c>
      <c r="Y23" s="84" t="n">
        <v>51</v>
      </c>
      <c r="Z23" s="80" t="n">
        <v>16</v>
      </c>
      <c r="AA23" s="80" t="n">
        <v>33</v>
      </c>
      <c r="AB23" s="79" t="inlineStr">
        <is>
          <t>Occasional</t>
        </is>
      </c>
      <c r="AC23" s="79" t="inlineStr">
        <is>
          <t>Some</t>
        </is>
      </c>
      <c r="AD23" s="79" t="inlineStr">
        <is>
          <t>Irregular electricity and load-shedding</t>
        </is>
      </c>
      <c r="AE23" s="80" t="inlineStr">
        <is>
          <t>Day-to-day price volatility</t>
        </is>
      </c>
      <c r="AF23" s="79" t="inlineStr">
        <is>
          <t>High ice price</t>
        </is>
      </c>
      <c r="AG23" s="85" t="n"/>
      <c r="AH23" s="85" t="n"/>
    </row>
    <row r="24" ht="19.5" customHeight="1" s="45">
      <c r="B24" s="79" t="inlineStr">
        <is>
          <t>M4-B-02</t>
        </is>
      </c>
      <c r="C24" s="80" t="inlineStr">
        <is>
          <t>M4</t>
        </is>
      </c>
      <c r="D24" s="81" t="n">
        <v>46087</v>
      </c>
      <c r="E24" s="80" t="inlineStr">
        <is>
          <t>Faria</t>
        </is>
      </c>
      <c r="F24" s="80" t="inlineStr">
        <is>
          <t>Year_round</t>
        </is>
      </c>
      <c r="G24" s="82" t="n">
        <v>50</v>
      </c>
      <c r="H24" s="80" t="inlineStr">
        <is>
          <t>Primary</t>
        </is>
      </c>
      <c r="I24" s="82" t="n">
        <v>17</v>
      </c>
      <c r="J24" s="82" t="n">
        <v>3.2</v>
      </c>
      <c r="K24" s="79" t="inlineStr">
        <is>
          <t>Maund</t>
        </is>
      </c>
      <c r="L24" s="80" t="n">
        <v>119.42</v>
      </c>
      <c r="M24" s="83" t="n">
        <v>8</v>
      </c>
      <c r="N24" s="83" t="inlineStr">
        <is>
          <t>Bhola charter landing</t>
        </is>
      </c>
      <c r="O24" s="83" t="inlineStr">
        <is>
          <t>Aratdar</t>
        </is>
      </c>
      <c r="P24" s="79" t="n">
        <v>3050</v>
      </c>
      <c r="Q24" s="83" t="n">
        <v>1</v>
      </c>
      <c r="R24" s="83" t="n">
        <v>3</v>
      </c>
      <c r="S24" s="80" t="n">
        <v>350</v>
      </c>
      <c r="T24" s="84" t="n">
        <v>74</v>
      </c>
      <c r="U24" s="83" t="n">
        <v>190</v>
      </c>
      <c r="V24" s="83" t="n">
        <v>2</v>
      </c>
      <c r="W24" s="84" t="inlineStr">
        <is>
          <t>Percent_of_lot</t>
        </is>
      </c>
      <c r="X24" s="84" t="n">
        <v>3</v>
      </c>
      <c r="Y24" s="84" t="n">
        <v>62</v>
      </c>
      <c r="Z24" s="80" t="n">
        <v>29</v>
      </c>
      <c r="AA24" s="80" t="n">
        <v>9</v>
      </c>
      <c r="AB24" s="79" t="inlineStr">
        <is>
          <t>Occasional</t>
        </is>
      </c>
      <c r="AC24" s="79" t="inlineStr">
        <is>
          <t>None</t>
        </is>
      </c>
      <c r="AD24" s="79" t="inlineStr">
        <is>
          <t>Rising toll and lease burden</t>
        </is>
      </c>
      <c r="AE24" s="80" t="inlineStr">
        <is>
          <t>Delayed credit recovery</t>
        </is>
      </c>
      <c r="AF24" s="79" t="inlineStr">
        <is>
          <t>Day-to-day price volatility</t>
        </is>
      </c>
      <c r="AG24" s="85" t="n"/>
      <c r="AH24" s="85" t="n"/>
    </row>
    <row r="25" ht="19.5" customHeight="1" s="45">
      <c r="B25" s="79" t="inlineStr">
        <is>
          <t>M4-B-03</t>
        </is>
      </c>
      <c r="C25" s="80" t="inlineStr">
        <is>
          <t>M4</t>
        </is>
      </c>
      <c r="D25" s="81" t="n">
        <v>46087</v>
      </c>
      <c r="E25" s="80" t="inlineStr">
        <is>
          <t>Faria</t>
        </is>
      </c>
      <c r="F25" s="80" t="inlineStr">
        <is>
          <t>Seasonal</t>
        </is>
      </c>
      <c r="G25" s="82" t="n">
        <v>29</v>
      </c>
      <c r="H25" s="80" t="inlineStr">
        <is>
          <t>Primary</t>
        </is>
      </c>
      <c r="I25" s="82" t="n">
        <v>13</v>
      </c>
      <c r="J25" s="82" t="n">
        <v>3.6</v>
      </c>
      <c r="K25" s="79" t="inlineStr">
        <is>
          <t>Maund</t>
        </is>
      </c>
      <c r="L25" s="80" t="n">
        <v>134.35</v>
      </c>
      <c r="M25" s="83" t="n">
        <v>2</v>
      </c>
      <c r="N25" s="83" t="inlineStr">
        <is>
          <t>Bhola charter landing</t>
        </is>
      </c>
      <c r="O25" s="83" t="inlineStr">
        <is>
          <t>Aratdar</t>
        </is>
      </c>
      <c r="P25" s="79" t="n">
        <v>2600</v>
      </c>
      <c r="Q25" s="83" t="n">
        <v>1</v>
      </c>
      <c r="R25" s="83" t="n">
        <v>3</v>
      </c>
      <c r="S25" s="80" t="n">
        <v>450</v>
      </c>
      <c r="T25" s="84" t="n">
        <v>101</v>
      </c>
      <c r="U25" s="83" t="n">
        <v>400</v>
      </c>
      <c r="V25" s="83" t="n">
        <v>800</v>
      </c>
      <c r="W25" s="84" t="inlineStr">
        <is>
          <t>BDT_per_lot</t>
        </is>
      </c>
      <c r="X25" s="84" t="n">
        <v>6</v>
      </c>
      <c r="Y25" s="84" t="n">
        <v>70</v>
      </c>
      <c r="Z25" s="80" t="n">
        <v>10</v>
      </c>
      <c r="AA25" s="80" t="n">
        <v>20</v>
      </c>
      <c r="AB25" s="79" t="inlineStr">
        <is>
          <t>Occasional</t>
        </is>
      </c>
      <c r="AC25" s="79" t="inlineStr">
        <is>
          <t>Some</t>
        </is>
      </c>
      <c r="AD25" s="79" t="inlineStr">
        <is>
          <t>Rising cost of ice and salt</t>
        </is>
      </c>
      <c r="AE25" s="80" t="inlineStr">
        <is>
          <t>Waterlogging during monsoon</t>
        </is>
      </c>
      <c r="AF25" s="79" t="inlineStr">
        <is>
          <t>Rising toll and lease burden</t>
        </is>
      </c>
      <c r="AG25" s="85" t="n"/>
      <c r="AH25" s="85" t="n"/>
    </row>
    <row r="26" ht="19.5" customHeight="1" s="45">
      <c r="B26" s="79" t="inlineStr">
        <is>
          <t>M4-B-04</t>
        </is>
      </c>
      <c r="C26" s="80" t="inlineStr">
        <is>
          <t>M4</t>
        </is>
      </c>
      <c r="D26" s="81" t="n">
        <v>46087</v>
      </c>
      <c r="E26" s="80" t="inlineStr">
        <is>
          <t>Bepari</t>
        </is>
      </c>
      <c r="F26" s="80" t="inlineStr">
        <is>
          <t>Year_round</t>
        </is>
      </c>
      <c r="G26" s="82" t="n">
        <v>44</v>
      </c>
      <c r="H26" s="80" t="inlineStr">
        <is>
          <t>Higher_Secondary</t>
        </is>
      </c>
      <c r="I26" s="82" t="n">
        <v>18</v>
      </c>
      <c r="J26" s="82" t="n">
        <v>9</v>
      </c>
      <c r="K26" s="79" t="inlineStr">
        <is>
          <t>Maund</t>
        </is>
      </c>
      <c r="L26" s="80" t="n">
        <v>335.88</v>
      </c>
      <c r="M26" s="83" t="n">
        <v>3</v>
      </c>
      <c r="N26" s="83" t="inlineStr">
        <is>
          <t>Moheshkhali</t>
        </is>
      </c>
      <c r="O26" s="83" t="inlineStr">
        <is>
          <t>Fisherman</t>
        </is>
      </c>
      <c r="P26" s="79" t="n">
        <v>1650</v>
      </c>
      <c r="Q26" s="83" t="n">
        <v>2</v>
      </c>
      <c r="R26" s="83" t="n">
        <v>1</v>
      </c>
      <c r="S26" s="80" t="n">
        <v>500</v>
      </c>
      <c r="T26" s="84" t="n">
        <v>55</v>
      </c>
      <c r="U26" s="83" t="n">
        <v>150</v>
      </c>
      <c r="V26" s="83" t="n">
        <v>2</v>
      </c>
      <c r="W26" s="84" t="inlineStr">
        <is>
          <t>Percent_of_lot</t>
        </is>
      </c>
      <c r="X26" s="84" t="n">
        <v>6</v>
      </c>
      <c r="Y26" s="84" t="n">
        <v>54</v>
      </c>
      <c r="Z26" s="80" t="n">
        <v>30</v>
      </c>
      <c r="AA26" s="80" t="n">
        <v>16</v>
      </c>
      <c r="AB26" s="79" t="inlineStr">
        <is>
          <t>Occasional</t>
        </is>
      </c>
      <c r="AC26" s="79" t="inlineStr">
        <is>
          <t>Some</t>
        </is>
      </c>
      <c r="AD26" s="79" t="inlineStr">
        <is>
          <t>Day-to-day price volatility</t>
        </is>
      </c>
      <c r="AE26" s="80" t="inlineStr">
        <is>
          <t>Irregular electricity and load-shedding</t>
        </is>
      </c>
      <c r="AF26" s="79" t="inlineStr">
        <is>
          <t>Transport cost increase</t>
        </is>
      </c>
      <c r="AG26" s="85" t="n"/>
      <c r="AH26" s="85" t="n"/>
    </row>
    <row r="27" ht="19.5" customHeight="1" s="45">
      <c r="B27" s="79" t="inlineStr">
        <is>
          <t>M4-B-05</t>
        </is>
      </c>
      <c r="C27" s="80" t="inlineStr">
        <is>
          <t>M4</t>
        </is>
      </c>
      <c r="D27" s="81" t="n">
        <v>46087</v>
      </c>
      <c r="E27" s="80" t="inlineStr">
        <is>
          <t>Bepari</t>
        </is>
      </c>
      <c r="F27" s="80" t="inlineStr">
        <is>
          <t>Year_round</t>
        </is>
      </c>
      <c r="G27" s="82" t="n">
        <v>23</v>
      </c>
      <c r="H27" s="80" t="inlineStr">
        <is>
          <t>Primary</t>
        </is>
      </c>
      <c r="I27" s="82" t="n">
        <v>5</v>
      </c>
      <c r="J27" s="82" t="n">
        <v>8</v>
      </c>
      <c r="K27" s="79" t="inlineStr">
        <is>
          <t>Maund</t>
        </is>
      </c>
      <c r="L27" s="80" t="n">
        <v>298.56</v>
      </c>
      <c r="M27" s="83" t="n">
        <v>6</v>
      </c>
      <c r="N27" s="83" t="inlineStr">
        <is>
          <t>Kuakata</t>
        </is>
      </c>
      <c r="O27" s="83" t="inlineStr">
        <is>
          <t>Fisherman</t>
        </is>
      </c>
      <c r="P27" s="79" t="n">
        <v>1600</v>
      </c>
      <c r="Q27" s="83" t="n">
        <v>3</v>
      </c>
      <c r="R27" s="83" t="n">
        <v>3</v>
      </c>
      <c r="S27" s="80" t="n">
        <v>200</v>
      </c>
      <c r="T27" s="84" t="n">
        <v>115</v>
      </c>
      <c r="U27" s="83" t="n">
        <v>290</v>
      </c>
      <c r="V27" s="83" t="n">
        <v>3</v>
      </c>
      <c r="W27" s="84" t="inlineStr">
        <is>
          <t>Percent_of_lot</t>
        </is>
      </c>
      <c r="X27" s="84" t="n">
        <v>6</v>
      </c>
      <c r="Y27" s="84" t="n">
        <v>64</v>
      </c>
      <c r="Z27" s="80" t="n">
        <v>7</v>
      </c>
      <c r="AA27" s="80" t="n">
        <v>29</v>
      </c>
      <c r="AB27" s="79" t="inlineStr">
        <is>
          <t>Regular</t>
        </is>
      </c>
      <c r="AC27" s="79" t="inlineStr">
        <is>
          <t>Some</t>
        </is>
      </c>
      <c r="AD27" s="79" t="inlineStr">
        <is>
          <t>Irregular electricity and load-shedding</t>
        </is>
      </c>
      <c r="AE27" s="80" t="inlineStr">
        <is>
          <t>Waterlogging during monsoon</t>
        </is>
      </c>
      <c r="AF27" s="79" t="inlineStr">
        <is>
          <t>Low landings in lean season</t>
        </is>
      </c>
      <c r="AG27" s="85" t="n"/>
      <c r="AH27" s="85" t="n"/>
    </row>
    <row r="28" ht="19.5" customHeight="1" s="45">
      <c r="B28" s="79" t="inlineStr">
        <is>
          <t>M4-B-06</t>
        </is>
      </c>
      <c r="C28" s="80" t="inlineStr">
        <is>
          <t>M4</t>
        </is>
      </c>
      <c r="D28" s="81" t="n"/>
      <c r="E28" s="80" t="n"/>
      <c r="F28" s="80" t="n"/>
      <c r="G28" s="82" t="n"/>
      <c r="H28" s="80" t="n"/>
      <c r="I28" s="82" t="n"/>
      <c r="J28" s="82" t="n"/>
      <c r="K28" s="79" t="n"/>
      <c r="L28" s="80" t="n"/>
      <c r="M28" s="83" t="n"/>
      <c r="N28" s="83" t="n"/>
      <c r="O28" s="83" t="n"/>
      <c r="P28" s="79" t="n"/>
      <c r="Q28" s="83" t="n"/>
      <c r="R28" s="83" t="n"/>
      <c r="S28" s="80" t="n"/>
      <c r="T28" s="84" t="n"/>
      <c r="U28" s="83" t="n"/>
      <c r="V28" s="83" t="n"/>
      <c r="W28" s="84" t="n"/>
      <c r="X28" s="84" t="n"/>
      <c r="Y28" s="84" t="n"/>
      <c r="Z28" s="80" t="n"/>
      <c r="AA28" s="80" t="n"/>
      <c r="AB28" s="79" t="n"/>
      <c r="AC28" s="79" t="n"/>
      <c r="AD28" s="79" t="n"/>
      <c r="AE28" s="80" t="n"/>
      <c r="AF28" s="79" t="n"/>
      <c r="AG28" s="85" t="n"/>
      <c r="AH28" s="85" t="n"/>
    </row>
    <row r="29" ht="19.5" customHeight="1" s="45">
      <c r="B29" s="79" t="inlineStr">
        <is>
          <t>M5-B-01</t>
        </is>
      </c>
      <c r="C29" s="80" t="inlineStr">
        <is>
          <t>M5</t>
        </is>
      </c>
      <c r="D29" s="81" t="n">
        <v>46088</v>
      </c>
      <c r="E29" s="80" t="inlineStr">
        <is>
          <t>Faria</t>
        </is>
      </c>
      <c r="F29" s="80" t="inlineStr">
        <is>
          <t>Seasonal</t>
        </is>
      </c>
      <c r="G29" s="82" t="n">
        <v>53</v>
      </c>
      <c r="H29" s="80" t="inlineStr">
        <is>
          <t>Primary</t>
        </is>
      </c>
      <c r="I29" s="82" t="n">
        <v>10</v>
      </c>
      <c r="J29" s="82" t="n">
        <v>1.3</v>
      </c>
      <c r="K29" s="79" t="inlineStr">
        <is>
          <t>Maund</t>
        </is>
      </c>
      <c r="L29" s="80" t="n">
        <v>48.52</v>
      </c>
      <c r="M29" s="83" t="n">
        <v>4</v>
      </c>
      <c r="N29" s="83" t="inlineStr">
        <is>
          <t>Fishery Ghat landing</t>
        </is>
      </c>
      <c r="O29" s="83" t="inlineStr">
        <is>
          <t>Aratdar</t>
        </is>
      </c>
      <c r="P29" s="79" t="n">
        <v>3000</v>
      </c>
      <c r="Q29" s="83" t="n">
        <v>3</v>
      </c>
      <c r="R29" s="83" t="n">
        <v>3</v>
      </c>
      <c r="S29" s="80" t="n">
        <v>250</v>
      </c>
      <c r="T29" s="84" t="n">
        <v>31</v>
      </c>
      <c r="U29" s="83" t="n">
        <v>110</v>
      </c>
      <c r="V29" s="83" t="n">
        <v>3</v>
      </c>
      <c r="W29" s="84" t="inlineStr">
        <is>
          <t>Percent_of_lot</t>
        </is>
      </c>
      <c r="X29" s="84" t="n">
        <v>6</v>
      </c>
      <c r="Y29" s="84" t="n">
        <v>63</v>
      </c>
      <c r="Z29" s="80" t="n">
        <v>29</v>
      </c>
      <c r="AA29" s="80" t="n">
        <v>8</v>
      </c>
      <c r="AB29" s="79" t="inlineStr">
        <is>
          <t>Occasional</t>
        </is>
      </c>
      <c r="AC29" s="79" t="inlineStr">
        <is>
          <t>Some</t>
        </is>
      </c>
      <c r="AD29" s="79" t="inlineStr">
        <is>
          <t>High ice price</t>
        </is>
      </c>
      <c r="AE29" s="80" t="inlineStr">
        <is>
          <t>Competition from frozen imported fish</t>
        </is>
      </c>
      <c r="AF29" s="79" t="inlineStr">
        <is>
          <t>Day-to-day price volatility</t>
        </is>
      </c>
      <c r="AG29" s="85" t="n"/>
      <c r="AH29" s="85" t="n"/>
    </row>
    <row r="30" ht="19.5" customHeight="1" s="45">
      <c r="B30" s="79" t="inlineStr">
        <is>
          <t>M5-B-02</t>
        </is>
      </c>
      <c r="C30" s="80" t="inlineStr">
        <is>
          <t>M5</t>
        </is>
      </c>
      <c r="D30" s="81" t="n">
        <v>46088</v>
      </c>
      <c r="E30" s="80" t="inlineStr">
        <is>
          <t>Bepari</t>
        </is>
      </c>
      <c r="F30" s="80" t="inlineStr">
        <is>
          <t>Year_round</t>
        </is>
      </c>
      <c r="G30" s="82" t="n">
        <v>57</v>
      </c>
      <c r="H30" s="80" t="inlineStr">
        <is>
          <t>Secondary</t>
        </is>
      </c>
      <c r="I30" s="82" t="n">
        <v>35</v>
      </c>
      <c r="J30" s="82" t="n">
        <v>10</v>
      </c>
      <c r="K30" s="79" t="inlineStr">
        <is>
          <t>Maund</t>
        </is>
      </c>
      <c r="L30" s="80" t="n">
        <v>373.2</v>
      </c>
      <c r="M30" s="83" t="n">
        <v>3</v>
      </c>
      <c r="N30" s="83" t="inlineStr">
        <is>
          <t>Karnaphuli river ghat</t>
        </is>
      </c>
      <c r="O30" s="83" t="inlineStr">
        <is>
          <t>Aratdar</t>
        </is>
      </c>
      <c r="P30" s="79" t="n">
        <v>1750</v>
      </c>
      <c r="Q30" s="83" t="n">
        <v>3</v>
      </c>
      <c r="R30" s="83" t="n">
        <v>1</v>
      </c>
      <c r="S30" s="80" t="n">
        <v>150</v>
      </c>
      <c r="T30" s="84" t="n">
        <v>64</v>
      </c>
      <c r="U30" s="83" t="n">
        <v>210</v>
      </c>
      <c r="V30" s="83" t="n">
        <v>300</v>
      </c>
      <c r="W30" s="84" t="inlineStr">
        <is>
          <t>BDT_per_lot</t>
        </is>
      </c>
      <c r="X30" s="84" t="n">
        <v>5</v>
      </c>
      <c r="Y30" s="84" t="n">
        <v>56</v>
      </c>
      <c r="Z30" s="80" t="n">
        <v>25</v>
      </c>
      <c r="AA30" s="80" t="n">
        <v>19</v>
      </c>
      <c r="AB30" s="79" t="inlineStr">
        <is>
          <t>Occasional</t>
        </is>
      </c>
      <c r="AC30" s="79" t="inlineStr">
        <is>
          <t>Some</t>
        </is>
      </c>
      <c r="AD30" s="79" t="inlineStr">
        <is>
          <t>Supply syndicate control</t>
        </is>
      </c>
      <c r="AE30" s="80" t="inlineStr">
        <is>
          <t>Rising toll and lease burden</t>
        </is>
      </c>
      <c r="AF30" s="79" t="inlineStr">
        <is>
          <t>High ice price</t>
        </is>
      </c>
      <c r="AG30" s="85" t="n"/>
      <c r="AH30" s="85" t="n"/>
    </row>
    <row r="31" ht="19.5" customHeight="1" s="45">
      <c r="B31" s="79" t="inlineStr">
        <is>
          <t>M5-B-03</t>
        </is>
      </c>
      <c r="C31" s="80" t="inlineStr">
        <is>
          <t>M5</t>
        </is>
      </c>
      <c r="D31" s="81" t="n">
        <v>46088</v>
      </c>
      <c r="E31" s="80" t="inlineStr">
        <is>
          <t>Bepari</t>
        </is>
      </c>
      <c r="F31" s="80" t="inlineStr">
        <is>
          <t>Year_round</t>
        </is>
      </c>
      <c r="G31" s="82" t="n">
        <v>49</v>
      </c>
      <c r="H31" s="80" t="inlineStr">
        <is>
          <t>Primary</t>
        </is>
      </c>
      <c r="I31" s="82" t="n">
        <v>28</v>
      </c>
      <c r="J31" s="82" t="n">
        <v>8</v>
      </c>
      <c r="K31" s="79" t="inlineStr">
        <is>
          <t>Maund</t>
        </is>
      </c>
      <c r="L31" s="80" t="n">
        <v>298.56</v>
      </c>
      <c r="M31" s="83" t="n">
        <v>6</v>
      </c>
      <c r="N31" s="83" t="inlineStr">
        <is>
          <t>Teknaf</t>
        </is>
      </c>
      <c r="O31" s="83" t="inlineStr">
        <is>
          <t>Fisherman</t>
        </is>
      </c>
      <c r="P31" s="79" t="n">
        <v>2800</v>
      </c>
      <c r="Q31" s="83" t="n">
        <v>2</v>
      </c>
      <c r="R31" s="83" t="n">
        <v>2</v>
      </c>
      <c r="S31" s="80" t="n">
        <v>350</v>
      </c>
      <c r="T31" s="84" t="n">
        <v>108</v>
      </c>
      <c r="U31" s="83" t="n">
        <v>300</v>
      </c>
      <c r="V31" s="83" t="n">
        <v>500</v>
      </c>
      <c r="W31" s="84" t="inlineStr">
        <is>
          <t>BDT_per_lot</t>
        </is>
      </c>
      <c r="X31" s="84" t="n">
        <v>7</v>
      </c>
      <c r="Y31" s="84" t="n">
        <v>72</v>
      </c>
      <c r="Z31" s="80" t="n">
        <v>21</v>
      </c>
      <c r="AA31" s="80" t="n">
        <v>7</v>
      </c>
      <c r="AB31" s="79" t="inlineStr">
        <is>
          <t>Regular</t>
        </is>
      </c>
      <c r="AC31" s="79" t="inlineStr">
        <is>
          <t>Some</t>
        </is>
      </c>
      <c r="AD31" s="79" t="inlineStr">
        <is>
          <t>High ice price</t>
        </is>
      </c>
      <c r="AE31" s="80" t="inlineStr">
        <is>
          <t>Waterlogging during monsoon</t>
        </is>
      </c>
      <c r="AF31" s="79" t="inlineStr">
        <is>
          <t>Rising cost of ice and salt</t>
        </is>
      </c>
      <c r="AG31" s="85" t="n"/>
      <c r="AH31" s="85" t="n"/>
    </row>
    <row r="32" ht="19.5" customHeight="1" s="45">
      <c r="B32" s="79" t="inlineStr">
        <is>
          <t>M5-B-04</t>
        </is>
      </c>
      <c r="C32" s="80" t="inlineStr">
        <is>
          <t>M5</t>
        </is>
      </c>
      <c r="D32" s="81" t="n">
        <v>46088</v>
      </c>
      <c r="E32" s="80" t="inlineStr">
        <is>
          <t>Faria</t>
        </is>
      </c>
      <c r="F32" s="80" t="inlineStr">
        <is>
          <t>Seasonal</t>
        </is>
      </c>
      <c r="G32" s="82" t="n">
        <v>38</v>
      </c>
      <c r="H32" s="80" t="inlineStr">
        <is>
          <t>Primary</t>
        </is>
      </c>
      <c r="I32" s="82" t="n">
        <v>22</v>
      </c>
      <c r="J32" s="82" t="n">
        <v>1.9</v>
      </c>
      <c r="K32" s="79" t="inlineStr">
        <is>
          <t>Maund</t>
        </is>
      </c>
      <c r="L32" s="80" t="n">
        <v>70.91</v>
      </c>
      <c r="M32" s="83" t="n">
        <v>3</v>
      </c>
      <c r="N32" s="83" t="inlineStr">
        <is>
          <t>Moheshkhali</t>
        </is>
      </c>
      <c r="O32" s="83" t="inlineStr">
        <is>
          <t>Fisherman</t>
        </is>
      </c>
      <c r="P32" s="79" t="n">
        <v>2550</v>
      </c>
      <c r="Q32" s="83" t="n">
        <v>1</v>
      </c>
      <c r="R32" s="83" t="n">
        <v>1</v>
      </c>
      <c r="S32" s="80" t="n">
        <v>200</v>
      </c>
      <c r="T32" s="84" t="n">
        <v>31</v>
      </c>
      <c r="U32" s="83" t="n">
        <v>110</v>
      </c>
      <c r="V32" s="83" t="n">
        <v>1500</v>
      </c>
      <c r="W32" s="84" t="inlineStr">
        <is>
          <t>BDT_per_lot</t>
        </is>
      </c>
      <c r="X32" s="84" t="n">
        <v>3</v>
      </c>
      <c r="Y32" s="84" t="n">
        <v>54</v>
      </c>
      <c r="Z32" s="80" t="n">
        <v>28</v>
      </c>
      <c r="AA32" s="80" t="n">
        <v>18</v>
      </c>
      <c r="AB32" s="79" t="inlineStr">
        <is>
          <t>Occasional</t>
        </is>
      </c>
      <c r="AC32" s="79" t="inlineStr">
        <is>
          <t>Some</t>
        </is>
      </c>
      <c r="AD32" s="79" t="inlineStr">
        <is>
          <t>Rising toll and lease burden</t>
        </is>
      </c>
      <c r="AE32" s="80" t="inlineStr">
        <is>
          <t>Waterlogging during monsoon</t>
        </is>
      </c>
      <c r="AF32" s="79" t="inlineStr">
        <is>
          <t>Supply syndicate control</t>
        </is>
      </c>
      <c r="AG32" s="85" t="n"/>
      <c r="AH32" s="85" t="n"/>
    </row>
    <row r="33" ht="19.5" customHeight="1" s="45">
      <c r="B33" s="79" t="inlineStr">
        <is>
          <t>M5-B-05</t>
        </is>
      </c>
      <c r="C33" s="80" t="inlineStr">
        <is>
          <t>M5</t>
        </is>
      </c>
      <c r="D33" s="81" t="n">
        <v>46088</v>
      </c>
      <c r="E33" s="80" t="inlineStr">
        <is>
          <t>Bepari</t>
        </is>
      </c>
      <c r="F33" s="80" t="inlineStr">
        <is>
          <t>Year_round</t>
        </is>
      </c>
      <c r="G33" s="82" t="n">
        <v>23</v>
      </c>
      <c r="H33" s="80" t="inlineStr">
        <is>
          <t>Primary</t>
        </is>
      </c>
      <c r="I33" s="82" t="n">
        <v>7</v>
      </c>
      <c r="J33" s="82" t="n">
        <v>4</v>
      </c>
      <c r="K33" s="79" t="inlineStr">
        <is>
          <t>Maund</t>
        </is>
      </c>
      <c r="L33" s="80" t="n">
        <v>149.28</v>
      </c>
      <c r="M33" s="83" t="n">
        <v>5</v>
      </c>
      <c r="N33" s="83" t="inlineStr">
        <is>
          <t>Bhola charter landing</t>
        </is>
      </c>
      <c r="O33" s="83" t="inlineStr">
        <is>
          <t>Aratdar</t>
        </is>
      </c>
      <c r="P33" s="79" t="n">
        <v>2250</v>
      </c>
      <c r="Q33" s="83" t="n">
        <v>2</v>
      </c>
      <c r="R33" s="83" t="n">
        <v>2</v>
      </c>
      <c r="S33" s="80" t="n">
        <v>250</v>
      </c>
      <c r="T33" s="84" t="n">
        <v>91</v>
      </c>
      <c r="U33" s="83" t="n">
        <v>330</v>
      </c>
      <c r="V33" s="83" t="n">
        <v>4</v>
      </c>
      <c r="W33" s="84" t="inlineStr">
        <is>
          <t>Percent_of_lot</t>
        </is>
      </c>
      <c r="X33" s="84" t="n">
        <v>8</v>
      </c>
      <c r="Y33" s="84" t="n">
        <v>59</v>
      </c>
      <c r="Z33" s="80" t="n">
        <v>9</v>
      </c>
      <c r="AA33" s="80" t="n">
        <v>32</v>
      </c>
      <c r="AB33" s="79" t="inlineStr">
        <is>
          <t>Occasional</t>
        </is>
      </c>
      <c r="AC33" s="79" t="inlineStr">
        <is>
          <t>None</t>
        </is>
      </c>
      <c r="AD33" s="79" t="inlineStr">
        <is>
          <t>High ice price</t>
        </is>
      </c>
      <c r="AE33" s="80" t="inlineStr">
        <is>
          <t>Low landings in lean season</t>
        </is>
      </c>
      <c r="AF33" s="79" t="inlineStr">
        <is>
          <t>Transport cost increase</t>
        </is>
      </c>
      <c r="AG33" s="85" t="n"/>
      <c r="AH33" s="85" t="n"/>
    </row>
    <row r="34" ht="19.5" customHeight="1" s="45">
      <c r="B34" s="79" t="inlineStr">
        <is>
          <t>M5-B-06</t>
        </is>
      </c>
      <c r="C34" s="80" t="inlineStr">
        <is>
          <t>M5</t>
        </is>
      </c>
      <c r="D34" s="81" t="n"/>
      <c r="E34" s="80" t="n"/>
      <c r="F34" s="80" t="n"/>
      <c r="G34" s="82" t="n"/>
      <c r="H34" s="80" t="n"/>
      <c r="I34" s="82" t="n"/>
      <c r="J34" s="82" t="n"/>
      <c r="K34" s="79" t="n"/>
      <c r="L34" s="80" t="n"/>
      <c r="M34" s="83" t="n"/>
      <c r="N34" s="83" t="n"/>
      <c r="O34" s="83" t="n"/>
      <c r="P34" s="79" t="n"/>
      <c r="Q34" s="83" t="n"/>
      <c r="R34" s="83" t="n"/>
      <c r="S34" s="80" t="n"/>
      <c r="T34" s="84" t="n"/>
      <c r="U34" s="83" t="n"/>
      <c r="V34" s="83" t="n"/>
      <c r="W34" s="84" t="n"/>
      <c r="X34" s="84" t="n"/>
      <c r="Y34" s="84" t="n"/>
      <c r="Z34" s="80" t="n"/>
      <c r="AA34" s="80" t="n"/>
      <c r="AB34" s="79" t="n"/>
      <c r="AC34" s="79" t="n"/>
      <c r="AD34" s="79" t="n"/>
      <c r="AE34" s="80" t="n"/>
      <c r="AF34" s="79" t="n"/>
      <c r="AG34" s="85" t="n"/>
      <c r="AH34" s="85" t="n"/>
    </row>
    <row r="35" ht="19.5" customHeight="1" s="45">
      <c r="B35" s="79" t="inlineStr">
        <is>
          <t>M6-B-01</t>
        </is>
      </c>
      <c r="C35" s="80" t="inlineStr">
        <is>
          <t>M6</t>
        </is>
      </c>
      <c r="D35" s="81" t="n">
        <v>46084</v>
      </c>
      <c r="E35" s="80" t="inlineStr">
        <is>
          <t>Bepari</t>
        </is>
      </c>
      <c r="F35" s="80" t="inlineStr">
        <is>
          <t>Year_round</t>
        </is>
      </c>
      <c r="G35" s="82" t="n">
        <v>32</v>
      </c>
      <c r="H35" s="80" t="inlineStr">
        <is>
          <t>Illiterate</t>
        </is>
      </c>
      <c r="I35" s="82" t="n">
        <v>16</v>
      </c>
      <c r="J35" s="82" t="n">
        <v>9</v>
      </c>
      <c r="K35" s="79" t="inlineStr">
        <is>
          <t>Maund</t>
        </is>
      </c>
      <c r="L35" s="80" t="n">
        <v>335.88</v>
      </c>
      <c r="M35" s="83" t="n">
        <v>8</v>
      </c>
      <c r="N35" s="83" t="inlineStr">
        <is>
          <t>Fishery Ghat landing</t>
        </is>
      </c>
      <c r="O35" s="83" t="inlineStr">
        <is>
          <t>Faria</t>
        </is>
      </c>
      <c r="P35" s="79" t="n">
        <v>700</v>
      </c>
      <c r="Q35" s="83" t="n">
        <v>3</v>
      </c>
      <c r="R35" s="83" t="n">
        <v>1</v>
      </c>
      <c r="S35" s="80" t="n">
        <v>400</v>
      </c>
      <c r="T35" s="84" t="n">
        <v>33</v>
      </c>
      <c r="U35" s="83" t="n">
        <v>100</v>
      </c>
      <c r="V35" s="83" t="n">
        <v>2</v>
      </c>
      <c r="W35" s="84" t="inlineStr">
        <is>
          <t>Percent_of_lot</t>
        </is>
      </c>
      <c r="X35" s="84" t="n">
        <v>5</v>
      </c>
      <c r="Y35" s="84" t="n">
        <v>70</v>
      </c>
      <c r="Z35" s="80" t="n">
        <v>5</v>
      </c>
      <c r="AA35" s="80" t="n">
        <v>25</v>
      </c>
      <c r="AB35" s="79" t="inlineStr">
        <is>
          <t>Occasional</t>
        </is>
      </c>
      <c r="AC35" s="79" t="inlineStr">
        <is>
          <t>Some</t>
        </is>
      </c>
      <c r="AD35" s="79" t="inlineStr">
        <is>
          <t>Rising toll and lease burden</t>
        </is>
      </c>
      <c r="AE35" s="80" t="inlineStr">
        <is>
          <t>Supply syndicate control</t>
        </is>
      </c>
      <c r="AF35" s="79" t="inlineStr">
        <is>
          <t>Transport cost increase</t>
        </is>
      </c>
      <c r="AG35" s="85" t="n"/>
      <c r="AH35" s="85" t="n"/>
    </row>
    <row r="36" ht="19.5" customHeight="1" s="45">
      <c r="B36" s="79" t="inlineStr">
        <is>
          <t>M6-B-02</t>
        </is>
      </c>
      <c r="C36" s="80" t="inlineStr">
        <is>
          <t>M6</t>
        </is>
      </c>
      <c r="D36" s="81" t="n">
        <v>46084</v>
      </c>
      <c r="E36" s="80" t="inlineStr">
        <is>
          <t>Bepari</t>
        </is>
      </c>
      <c r="F36" s="80" t="inlineStr">
        <is>
          <t>Seasonal</t>
        </is>
      </c>
      <c r="G36" s="82" t="n">
        <v>47</v>
      </c>
      <c r="H36" s="80" t="inlineStr">
        <is>
          <t>Secondary</t>
        </is>
      </c>
      <c r="I36" s="82" t="n">
        <v>13</v>
      </c>
      <c r="J36" s="82" t="n">
        <v>12</v>
      </c>
      <c r="K36" s="79" t="inlineStr">
        <is>
          <t>Maund</t>
        </is>
      </c>
      <c r="L36" s="80" t="n">
        <v>447.84</v>
      </c>
      <c r="M36" s="83" t="n">
        <v>3</v>
      </c>
      <c r="N36" s="83" t="inlineStr">
        <is>
          <t>Fishery Ghat landing</t>
        </is>
      </c>
      <c r="O36" s="83" t="inlineStr">
        <is>
          <t>Fisherman</t>
        </is>
      </c>
      <c r="P36" s="79" t="n">
        <v>1400</v>
      </c>
      <c r="Q36" s="83" t="n">
        <v>2</v>
      </c>
      <c r="R36" s="83" t="n">
        <v>2</v>
      </c>
      <c r="S36" s="80" t="n">
        <v>450</v>
      </c>
      <c r="T36" s="84" t="n">
        <v>67</v>
      </c>
      <c r="U36" s="83" t="n">
        <v>210</v>
      </c>
      <c r="V36" s="83" t="n">
        <v>3</v>
      </c>
      <c r="W36" s="84" t="inlineStr">
        <is>
          <t>Percent_of_lot</t>
        </is>
      </c>
      <c r="X36" s="84" t="n">
        <v>3</v>
      </c>
      <c r="Y36" s="84" t="n">
        <v>80</v>
      </c>
      <c r="Z36" s="80" t="n">
        <v>12</v>
      </c>
      <c r="AA36" s="80" t="n">
        <v>8</v>
      </c>
      <c r="AB36" s="79" t="inlineStr">
        <is>
          <t>Regular</t>
        </is>
      </c>
      <c r="AC36" s="79" t="inlineStr">
        <is>
          <t>Almost_all</t>
        </is>
      </c>
      <c r="AD36" s="79" t="inlineStr">
        <is>
          <t>Irregular electricity and load-shedding</t>
        </is>
      </c>
      <c r="AE36" s="80" t="inlineStr">
        <is>
          <t>Delayed credit recovery</t>
        </is>
      </c>
      <c r="AF36" s="79" t="inlineStr">
        <is>
          <t>Supply syndicate control</t>
        </is>
      </c>
      <c r="AG36" s="85" t="n"/>
      <c r="AH36" s="85" t="n"/>
    </row>
    <row r="37" ht="19.5" customHeight="1" s="45">
      <c r="B37" s="79" t="inlineStr">
        <is>
          <t>M6-B-03</t>
        </is>
      </c>
      <c r="C37" s="80" t="inlineStr">
        <is>
          <t>M6</t>
        </is>
      </c>
      <c r="D37" s="81" t="n">
        <v>46084</v>
      </c>
      <c r="E37" s="80" t="inlineStr">
        <is>
          <t>Faria</t>
        </is>
      </c>
      <c r="F37" s="80" t="inlineStr">
        <is>
          <t>Seasonal</t>
        </is>
      </c>
      <c r="G37" s="82" t="n">
        <v>41</v>
      </c>
      <c r="H37" s="80" t="inlineStr">
        <is>
          <t>Secondary</t>
        </is>
      </c>
      <c r="I37" s="82" t="n">
        <v>14</v>
      </c>
      <c r="J37" s="82" t="n">
        <v>1.3</v>
      </c>
      <c r="K37" s="79" t="inlineStr">
        <is>
          <t>Maund</t>
        </is>
      </c>
      <c r="L37" s="80" t="n">
        <v>48.52</v>
      </c>
      <c r="M37" s="83" t="n">
        <v>3</v>
      </c>
      <c r="N37" s="83" t="inlineStr">
        <is>
          <t>Karnaphuli river ghat</t>
        </is>
      </c>
      <c r="O37" s="83" t="inlineStr">
        <is>
          <t>Fisherman</t>
        </is>
      </c>
      <c r="P37" s="79" t="n">
        <v>2550</v>
      </c>
      <c r="Q37" s="83" t="n">
        <v>1</v>
      </c>
      <c r="R37" s="83" t="n">
        <v>2</v>
      </c>
      <c r="S37" s="80" t="n">
        <v>350</v>
      </c>
      <c r="T37" s="84" t="n">
        <v>79</v>
      </c>
      <c r="U37" s="83" t="n">
        <v>210</v>
      </c>
      <c r="V37" s="83" t="n">
        <v>500</v>
      </c>
      <c r="W37" s="84" t="inlineStr">
        <is>
          <t>BDT_per_lot</t>
        </is>
      </c>
      <c r="X37" s="84" t="n">
        <v>8</v>
      </c>
      <c r="Y37" s="84" t="n">
        <v>62</v>
      </c>
      <c r="Z37" s="80" t="n">
        <v>25</v>
      </c>
      <c r="AA37" s="80" t="n">
        <v>13</v>
      </c>
      <c r="AB37" s="79" t="inlineStr">
        <is>
          <t>Never</t>
        </is>
      </c>
      <c r="AC37" s="79" t="inlineStr">
        <is>
          <t>Some</t>
        </is>
      </c>
      <c r="AD37" s="79" t="inlineStr">
        <is>
          <t>Day-to-day price volatility</t>
        </is>
      </c>
      <c r="AE37" s="80" t="inlineStr">
        <is>
          <t>Irregular electricity and load-shedding</t>
        </is>
      </c>
      <c r="AF37" s="79" t="inlineStr">
        <is>
          <t>Supply syndicate control</t>
        </is>
      </c>
      <c r="AG37" s="85" t="n"/>
      <c r="AH37" s="85" t="n"/>
    </row>
    <row r="38" ht="19.5" customHeight="1" s="45">
      <c r="B38" s="79" t="inlineStr">
        <is>
          <t>M6-B-04</t>
        </is>
      </c>
      <c r="C38" s="80" t="inlineStr">
        <is>
          <t>M6</t>
        </is>
      </c>
      <c r="D38" s="81" t="n">
        <v>46084</v>
      </c>
      <c r="E38" s="80" t="inlineStr">
        <is>
          <t>Faria</t>
        </is>
      </c>
      <c r="F38" s="80" t="inlineStr">
        <is>
          <t>Year_round</t>
        </is>
      </c>
      <c r="G38" s="82" t="n">
        <v>53</v>
      </c>
      <c r="H38" s="80" t="inlineStr">
        <is>
          <t>Secondary</t>
        </is>
      </c>
      <c r="I38" s="82" t="n">
        <v>17</v>
      </c>
      <c r="J38" s="82" t="n">
        <v>1.8</v>
      </c>
      <c r="K38" s="79" t="inlineStr">
        <is>
          <t>Maund</t>
        </is>
      </c>
      <c r="L38" s="80" t="n">
        <v>67.18000000000001</v>
      </c>
      <c r="M38" s="83" t="n">
        <v>5</v>
      </c>
      <c r="N38" s="83" t="inlineStr">
        <is>
          <t>Karnaphuli river ghat</t>
        </is>
      </c>
      <c r="O38" s="83" t="inlineStr">
        <is>
          <t>Aratdar</t>
        </is>
      </c>
      <c r="P38" s="79" t="n">
        <v>2050</v>
      </c>
      <c r="Q38" s="83" t="n">
        <v>3</v>
      </c>
      <c r="R38" s="83" t="n">
        <v>3</v>
      </c>
      <c r="S38" s="80" t="n">
        <v>300</v>
      </c>
      <c r="T38" s="84" t="n">
        <v>95</v>
      </c>
      <c r="U38" s="83" t="n">
        <v>310</v>
      </c>
      <c r="V38" s="83" t="n">
        <v>300</v>
      </c>
      <c r="W38" s="84" t="inlineStr">
        <is>
          <t>BDT_per_lot</t>
        </is>
      </c>
      <c r="X38" s="84" t="n">
        <v>2</v>
      </c>
      <c r="Y38" s="84" t="n">
        <v>66</v>
      </c>
      <c r="Z38" s="80" t="n">
        <v>6</v>
      </c>
      <c r="AA38" s="80" t="n">
        <v>28</v>
      </c>
      <c r="AB38" s="79" t="inlineStr">
        <is>
          <t>Never</t>
        </is>
      </c>
      <c r="AC38" s="79" t="inlineStr">
        <is>
          <t>Some</t>
        </is>
      </c>
      <c r="AD38" s="79" t="inlineStr">
        <is>
          <t>High ice price</t>
        </is>
      </c>
      <c r="AE38" s="80" t="inlineStr">
        <is>
          <t>Transport cost increase</t>
        </is>
      </c>
      <c r="AF38" s="79" t="inlineStr">
        <is>
          <t>Unsold fish spoilage loss</t>
        </is>
      </c>
      <c r="AG38" s="85" t="n"/>
      <c r="AH38" s="85" t="n"/>
    </row>
    <row r="39" ht="19.5" customHeight="1" s="45">
      <c r="B39" s="79" t="inlineStr">
        <is>
          <t>M6-B-05</t>
        </is>
      </c>
      <c r="C39" s="80" t="inlineStr">
        <is>
          <t>M6</t>
        </is>
      </c>
      <c r="D39" s="81" t="n">
        <v>46084</v>
      </c>
      <c r="E39" s="80" t="inlineStr">
        <is>
          <t>Faria</t>
        </is>
      </c>
      <c r="F39" s="80" t="inlineStr">
        <is>
          <t>Year_round</t>
        </is>
      </c>
      <c r="G39" s="82" t="n">
        <v>56</v>
      </c>
      <c r="H39" s="80" t="inlineStr">
        <is>
          <t>Secondary</t>
        </is>
      </c>
      <c r="I39" s="82" t="n">
        <v>11</v>
      </c>
      <c r="J39" s="82" t="n">
        <v>4</v>
      </c>
      <c r="K39" s="79" t="inlineStr">
        <is>
          <t>Maund</t>
        </is>
      </c>
      <c r="L39" s="80" t="n">
        <v>149.28</v>
      </c>
      <c r="M39" s="83" t="n">
        <v>7</v>
      </c>
      <c r="N39" s="83" t="inlineStr">
        <is>
          <t>Karnaphuli river ghat</t>
        </is>
      </c>
      <c r="O39" s="83" t="inlineStr">
        <is>
          <t>Fisherman</t>
        </is>
      </c>
      <c r="P39" s="79" t="n">
        <v>750</v>
      </c>
      <c r="Q39" s="83" t="n">
        <v>1</v>
      </c>
      <c r="R39" s="83" t="n">
        <v>3</v>
      </c>
      <c r="S39" s="80" t="n">
        <v>250</v>
      </c>
      <c r="T39" s="84" t="n">
        <v>96</v>
      </c>
      <c r="U39" s="83" t="n">
        <v>330</v>
      </c>
      <c r="V39" s="83" t="n">
        <v>3.5</v>
      </c>
      <c r="W39" s="84" t="inlineStr">
        <is>
          <t>Percent_of_lot</t>
        </is>
      </c>
      <c r="X39" s="84" t="n">
        <v>4</v>
      </c>
      <c r="Y39" s="84" t="n">
        <v>69</v>
      </c>
      <c r="Z39" s="80" t="n">
        <v>16</v>
      </c>
      <c r="AA39" s="80" t="n">
        <v>15</v>
      </c>
      <c r="AB39" s="79" t="inlineStr">
        <is>
          <t>Occasional</t>
        </is>
      </c>
      <c r="AC39" s="79" t="inlineStr">
        <is>
          <t>Some</t>
        </is>
      </c>
      <c r="AD39" s="79" t="inlineStr">
        <is>
          <t>Rising cost of ice and salt</t>
        </is>
      </c>
      <c r="AE39" s="80" t="inlineStr">
        <is>
          <t>Waterlogging during monsoon</t>
        </is>
      </c>
      <c r="AF39" s="79" t="inlineStr">
        <is>
          <t>Unsold fish spoilage loss</t>
        </is>
      </c>
      <c r="AG39" s="85" t="n"/>
      <c r="AH39" s="85" t="n"/>
    </row>
    <row r="40" ht="19.5" customHeight="1" s="45">
      <c r="B40" s="79" t="inlineStr">
        <is>
          <t>M6-B-06</t>
        </is>
      </c>
      <c r="C40" s="80" t="inlineStr">
        <is>
          <t>M6</t>
        </is>
      </c>
      <c r="D40" s="81" t="n"/>
      <c r="E40" s="80" t="n"/>
      <c r="F40" s="80" t="n"/>
      <c r="G40" s="82" t="n"/>
      <c r="H40" s="80" t="n"/>
      <c r="I40" s="82" t="n"/>
      <c r="J40" s="82" t="n"/>
      <c r="K40" s="79" t="n"/>
      <c r="L40" s="80" t="n"/>
      <c r="M40" s="83" t="n"/>
      <c r="N40" s="83" t="n"/>
      <c r="O40" s="83" t="n"/>
      <c r="P40" s="79" t="n"/>
      <c r="Q40" s="83" t="n"/>
      <c r="R40" s="83" t="n"/>
      <c r="S40" s="80" t="n"/>
      <c r="T40" s="84" t="n"/>
      <c r="U40" s="83" t="n"/>
      <c r="V40" s="83" t="n"/>
      <c r="W40" s="84" t="n"/>
      <c r="X40" s="84" t="n"/>
      <c r="Y40" s="84" t="n"/>
      <c r="Z40" s="80" t="n"/>
      <c r="AA40" s="80" t="n"/>
      <c r="AB40" s="79" t="n"/>
      <c r="AC40" s="79" t="n"/>
      <c r="AD40" s="79" t="n"/>
      <c r="AE40" s="80" t="n"/>
      <c r="AF40" s="79" t="n"/>
      <c r="AG40" s="85" t="n"/>
      <c r="AH40" s="85" t="n"/>
    </row>
  </sheetData>
  <autoFilter ref="B4:AF40"/>
  <mergeCells count="1">
    <mergeCell ref="B2:AF2"/>
  </mergeCells>
  <dataValidations count="13">
    <dataValidation sqref="C5:C40" showDropDown="0" showInputMessage="0" showErrorMessage="1" allowBlank="1" errorTitle="Invalid entry" error="তালিকা থেকে নির্বাচন করুন / Choose from the list" type="list" errorStyle="stop" operator="between">
      <formula1>"M1,M2,M3,M4,M5,M6"</formula1>
      <formula2>0</formula2>
    </dataValidation>
    <dataValidation sqref="E5:E40" showDropDown="0" showInputMessage="0" showErrorMessage="1" allowBlank="1" errorTitle="Invalid entry" error="তালিকা থেকে নির্বাচন করুন / Choose from the list" type="list" errorStyle="stop" operator="between">
      <formula1>"Faria,Bepari"</formula1>
      <formula2>0</formula2>
    </dataValidation>
    <dataValidation sqref="F5:F40" showDropDown="0" showInputMessage="0" showErrorMessage="1" allowBlank="1" errorTitle="Invalid entry" error="তালিকা থেকে নির্বাচন করুন / Choose from the list" type="list" errorStyle="stop" operator="between">
      <formula1>"Year_round,Seasonal"</formula1>
      <formula2>0</formula2>
    </dataValidation>
    <dataValidation sqref="G5:G40" showDropDown="0" showInputMessage="0" showErrorMessage="1" allowBlank="1" type="whole" errorStyle="stop" operator="greaterThanOrEqual">
      <formula1>15</formula1>
      <formula2>0</formula2>
    </dataValidation>
    <dataValidation sqref="H5:H40" showDropDown="0" showInputMessage="0" showErrorMessage="1" allowBlank="1" errorTitle="Invalid entry" error="তালিকা থেকে নির্বাচন করুন / Choose from the list" type="list" errorStyle="stop" operator="between">
      <formula1>"Illiterate,Primary,Secondary,Higher_Secondary"</formula1>
      <formula2>0</formula2>
    </dataValidation>
    <dataValidation sqref="M5:M40 Q5:Q40" showDropDown="0" showInputMessage="0" showErrorMessage="1" allowBlank="1" type="whole" errorStyle="stop" operator="greaterThanOrEqual">
      <formula1>1</formula1>
      <formula2>0</formula2>
    </dataValidation>
    <dataValidation sqref="K5:K40" showDropDown="0" showInputMessage="0" showErrorMessage="1" allowBlank="1" errorTitle="Invalid entry" error="তালিকা থেকে নির্বাচন করুন / Choose from the list" type="list" errorStyle="stop" operator="between">
      <formula1>"Maund,Kg"</formula1>
      <formula2>0</formula2>
    </dataValidation>
    <dataValidation sqref="J5:J40 P5:P40 S5:V40" showDropDown="0" showInputMessage="0" showErrorMessage="1" allowBlank="1" type="decimal" errorStyle="stop" operator="greaterThanOrEqual">
      <formula1>0</formula1>
      <formula2>0</formula2>
    </dataValidation>
    <dataValidation sqref="O5:O40" showDropDown="0" showInputMessage="0" showErrorMessage="1" allowBlank="1" errorTitle="Invalid entry" error="তালিকা থেকে নির্বাচন করুন / Choose from the list" type="list" errorStyle="stop" operator="between">
      <formula1>"Fisherman,Faria,Aratdar,Other"</formula1>
      <formula2>0</formula2>
    </dataValidation>
    <dataValidation sqref="R5:R40 X5:AA40" showDropDown="0" showInputMessage="0" showErrorMessage="1" allowBlank="1" type="whole" errorStyle="stop" operator="greaterThanOrEqual">
      <formula1>0</formula1>
      <formula2>0</formula2>
    </dataValidation>
    <dataValidation sqref="W5:W40" showDropDown="0" showInputMessage="0" showErrorMessage="1" allowBlank="1" errorTitle="Invalid entry" error="তালিকা থেকে নির্বাচন করুন / Choose from the list" type="list" errorStyle="stop" operator="between">
      <formula1>"Percent_of_lot,BDT_per_lot"</formula1>
      <formula2>0</formula2>
    </dataValidation>
    <dataValidation sqref="AB5:AB40" showDropDown="0" showInputMessage="0" showErrorMessage="1" allowBlank="1" errorTitle="Invalid entry" error="তালিকা থেকে নির্বাচন করুন / Choose from the list" type="list" errorStyle="stop" operator="between">
      <formula1>"Regular,Occasional,Never"</formula1>
      <formula2>0</formula2>
    </dataValidation>
    <dataValidation sqref="AC5:AC40" showDropDown="0" showInputMessage="0" showErrorMessage="1" allowBlank="1" errorTitle="Invalid entry" error="তালিকা থেকে নির্বাচন করুন / Choose from the list" type="list" errorStyle="stop" operator="between">
      <formula1>"Almost_all,Some,None"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0">
    <tabColor rgb="FF1B7D46"/>
    <outlinePr summaryBelow="1" summaryRight="1"/>
    <pageSetUpPr fitToPage="0"/>
  </sheetPr>
  <dimension ref="B2:AA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baseColWidth="8" defaultColWidth="8.6328125" defaultRowHeight="15" zeroHeight="0" outlineLevelRow="0"/>
  <cols>
    <col width="3" customWidth="1" style="44" min="1" max="1"/>
    <col width="14" customWidth="1" style="44" min="2" max="2"/>
    <col width="8" customWidth="1" style="44" min="3" max="3"/>
    <col width="14" customWidth="1" style="44" min="4" max="4"/>
    <col width="8" customWidth="1" style="44" min="5" max="5"/>
    <col width="12" customWidth="1" style="44" min="6" max="7"/>
    <col width="14" customWidth="1" style="44" min="8" max="10"/>
    <col width="10" customWidth="1" style="44" min="11" max="11"/>
    <col width="16" customWidth="1" style="44" min="12" max="12"/>
    <col width="14" customWidth="1" style="44" min="13" max="16"/>
    <col width="20" customWidth="1" style="44" min="17" max="17"/>
    <col width="12" customWidth="1" style="44" min="18" max="20"/>
    <col width="16" customWidth="1" style="44" min="21" max="22"/>
    <col width="22" customWidth="1" style="44" min="23" max="25"/>
    <col width="12" customWidth="1" style="44" min="26" max="26"/>
    <col width="22" customWidth="1" style="44" min="27" max="27"/>
  </cols>
  <sheetData>
    <row r="2" ht="31.5" customHeight="1" s="45">
      <c r="B2" s="46" t="inlineStr">
        <is>
          <t>Form R - Khuchra (Retail) Vendor Questionnaire (one respondent per row)</t>
        </is>
      </c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7" t="n"/>
      <c r="M2" s="47" t="n"/>
      <c r="N2" s="47" t="n"/>
      <c r="O2" s="47" t="n"/>
      <c r="P2" s="47" t="n"/>
      <c r="Q2" s="47" t="n"/>
      <c r="R2" s="47" t="n"/>
      <c r="S2" s="47" t="n"/>
      <c r="T2" s="47" t="n"/>
      <c r="U2" s="47" t="n"/>
      <c r="V2" s="47" t="n"/>
      <c r="W2" s="47" t="n"/>
      <c r="X2" s="47" t="n"/>
      <c r="Y2" s="47" t="n"/>
      <c r="Z2" s="47" t="n"/>
      <c r="AA2" s="48" t="n"/>
    </row>
    <row r="3" ht="7.5" customHeight="1" s="45">
      <c r="B3" s="50" t="n"/>
      <c r="C3" s="50" t="n"/>
      <c r="D3" s="50" t="n"/>
      <c r="E3" s="50" t="n"/>
      <c r="F3" s="50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  <c r="AA3" s="50" t="n"/>
    </row>
    <row r="4" ht="30" customHeight="1" s="45">
      <c r="B4" s="78" t="inlineStr">
        <is>
          <t>Respondent_ID</t>
        </is>
      </c>
      <c r="C4" s="78" t="inlineStr">
        <is>
          <t>Market</t>
        </is>
      </c>
      <c r="D4" s="78" t="inlineStr">
        <is>
          <t>Interview_Date</t>
        </is>
      </c>
      <c r="E4" s="78" t="inlineStr">
        <is>
          <t>Age_years</t>
        </is>
      </c>
      <c r="F4" s="78" t="inlineStr">
        <is>
          <t>Education</t>
        </is>
      </c>
      <c r="G4" s="78" t="inlineStr">
        <is>
          <t>Years_in_business</t>
        </is>
      </c>
      <c r="H4" s="78" t="inlineStr">
        <is>
          <t>Daily_capacity_raw</t>
        </is>
      </c>
      <c r="I4" s="78" t="inlineStr">
        <is>
          <t>Daily_capacity_unit</t>
        </is>
      </c>
      <c r="J4" s="78" t="inlineStr">
        <is>
          <t>Daily_capacity_kg</t>
        </is>
      </c>
      <c r="K4" s="78" t="inlineStr">
        <is>
          <t>Family_members</t>
        </is>
      </c>
      <c r="L4" s="78" t="inlineStr">
        <is>
          <t>Shop_Van_Rent_BDT_per_day</t>
        </is>
      </c>
      <c r="M4" s="78" t="inlineStr">
        <is>
          <t>Ice_cost_BDT_per_day</t>
        </is>
      </c>
      <c r="N4" s="78" t="inlineStr">
        <is>
          <t>Wash_Water_Other_cost_BDT_per_day</t>
        </is>
      </c>
      <c r="O4" s="78" t="inlineStr">
        <is>
          <t>Spoilage_pct</t>
        </is>
      </c>
      <c r="P4" s="78" t="inlineStr">
        <is>
          <t>Buys_from</t>
        </is>
      </c>
      <c r="Q4" s="78" t="inlineStr">
        <is>
          <t>Sells_to</t>
        </is>
      </c>
      <c r="R4" s="78" t="inlineStr">
        <is>
          <t>Payment_cash_pct</t>
        </is>
      </c>
      <c r="S4" s="78" t="inlineStr">
        <is>
          <t>Payment_MFS_pct</t>
        </is>
      </c>
      <c r="T4" s="78" t="inlineStr">
        <is>
          <t>Payment_credit_pct</t>
        </is>
      </c>
      <c r="U4" s="78" t="inlineStr">
        <is>
          <t>MFS_transaction_frequency</t>
        </is>
      </c>
      <c r="V4" s="78" t="inlineStr">
        <is>
          <t>Sells_on_credit</t>
        </is>
      </c>
      <c r="W4" s="78" t="inlineStr">
        <is>
          <t>Problem_1</t>
        </is>
      </c>
      <c r="X4" s="78" t="inlineStr">
        <is>
          <t>Problem_2</t>
        </is>
      </c>
      <c r="Y4" s="78" t="inlineStr">
        <is>
          <t>Problem_3</t>
        </is>
      </c>
      <c r="Z4" s="78" t="inlineStr">
        <is>
          <t>Pair_ID</t>
        </is>
      </c>
      <c r="AA4" s="78" t="inlineStr">
        <is>
          <t>Notes</t>
        </is>
      </c>
    </row>
    <row r="5" ht="19.5" customHeight="1" s="45">
      <c r="B5" s="79" t="inlineStr">
        <is>
          <t>M1-R-01</t>
        </is>
      </c>
      <c r="C5" s="80" t="inlineStr">
        <is>
          <t>M1</t>
        </is>
      </c>
      <c r="D5" s="81" t="n">
        <v>46084</v>
      </c>
      <c r="E5" s="82" t="n">
        <v>55</v>
      </c>
      <c r="F5" s="80" t="inlineStr">
        <is>
          <t>Primary</t>
        </is>
      </c>
      <c r="G5" s="82" t="n">
        <v>6</v>
      </c>
      <c r="H5" s="82" t="n">
        <v>58</v>
      </c>
      <c r="I5" s="83" t="inlineStr">
        <is>
          <t>Kg</t>
        </is>
      </c>
      <c r="J5" s="83" t="n">
        <v>58</v>
      </c>
      <c r="K5" s="83" t="n">
        <v>5</v>
      </c>
      <c r="L5" s="84" t="n">
        <v>255</v>
      </c>
      <c r="M5" s="83" t="n">
        <v>185</v>
      </c>
      <c r="N5" s="80" t="n">
        <v>60</v>
      </c>
      <c r="O5" s="83" t="n">
        <v>3</v>
      </c>
      <c r="P5" s="80" t="inlineStr">
        <is>
          <t>Aratdar</t>
        </is>
      </c>
      <c r="Q5" s="80" t="inlineStr">
        <is>
          <t>Hawker</t>
        </is>
      </c>
      <c r="R5" s="84" t="n">
        <v>47</v>
      </c>
      <c r="S5" s="84" t="n">
        <v>41</v>
      </c>
      <c r="T5" s="84" t="n">
        <v>12</v>
      </c>
      <c r="U5" s="80" t="inlineStr">
        <is>
          <t>Occasional</t>
        </is>
      </c>
      <c r="V5" s="80" t="inlineStr">
        <is>
          <t>Some</t>
        </is>
      </c>
      <c r="W5" s="79" t="inlineStr">
        <is>
          <t>Competition from frozen imported fish</t>
        </is>
      </c>
      <c r="X5" s="79" t="inlineStr">
        <is>
          <t>Day-to-day price volatility</t>
        </is>
      </c>
      <c r="Y5" s="79" t="inlineStr">
        <is>
          <t>Rising toll and lease burden</t>
        </is>
      </c>
      <c r="Z5" s="80" t="n"/>
      <c r="AA5" s="79" t="n"/>
    </row>
    <row r="6" ht="19.5" customHeight="1" s="45">
      <c r="B6" s="79" t="inlineStr">
        <is>
          <t>M1-R-02</t>
        </is>
      </c>
      <c r="C6" s="80" t="inlineStr">
        <is>
          <t>M1</t>
        </is>
      </c>
      <c r="D6" s="81" t="n">
        <v>46084</v>
      </c>
      <c r="E6" s="82" t="n">
        <v>31</v>
      </c>
      <c r="F6" s="80" t="inlineStr">
        <is>
          <t>Illiterate</t>
        </is>
      </c>
      <c r="G6" s="82" t="n">
        <v>15</v>
      </c>
      <c r="H6" s="82" t="n">
        <v>144</v>
      </c>
      <c r="I6" s="83" t="inlineStr">
        <is>
          <t>Kg</t>
        </is>
      </c>
      <c r="J6" s="83" t="n">
        <v>144</v>
      </c>
      <c r="K6" s="83" t="n">
        <v>2</v>
      </c>
      <c r="L6" s="84" t="n">
        <v>190</v>
      </c>
      <c r="M6" s="83" t="n">
        <v>150</v>
      </c>
      <c r="N6" s="80" t="n">
        <v>35</v>
      </c>
      <c r="O6" s="83" t="n">
        <v>4</v>
      </c>
      <c r="P6" s="80" t="inlineStr">
        <is>
          <t>Aratdar</t>
        </is>
      </c>
      <c r="Q6" s="80" t="inlineStr">
        <is>
          <t>Hawker</t>
        </is>
      </c>
      <c r="R6" s="84" t="n">
        <v>51</v>
      </c>
      <c r="S6" s="84" t="n">
        <v>15</v>
      </c>
      <c r="T6" s="84" t="n">
        <v>34</v>
      </c>
      <c r="U6" s="80" t="inlineStr">
        <is>
          <t>Occasional</t>
        </is>
      </c>
      <c r="V6" s="80" t="inlineStr">
        <is>
          <t>Some</t>
        </is>
      </c>
      <c r="W6" s="79" t="inlineStr">
        <is>
          <t>Transport cost increase</t>
        </is>
      </c>
      <c r="X6" s="79" t="inlineStr">
        <is>
          <t>Low landings in lean season</t>
        </is>
      </c>
      <c r="Y6" s="79" t="inlineStr">
        <is>
          <t>Supply syndicate control</t>
        </is>
      </c>
      <c r="Z6" s="80" t="inlineStr">
        <is>
          <t>PAIR-M1-02</t>
        </is>
      </c>
      <c r="AA6" s="79" t="n"/>
    </row>
    <row r="7" ht="19.5" customHeight="1" s="45">
      <c r="B7" s="79" t="inlineStr">
        <is>
          <t>M1-R-03</t>
        </is>
      </c>
      <c r="C7" s="80" t="inlineStr">
        <is>
          <t>M1</t>
        </is>
      </c>
      <c r="D7" s="81" t="n">
        <v>46084</v>
      </c>
      <c r="E7" s="82" t="n">
        <v>33</v>
      </c>
      <c r="F7" s="80" t="inlineStr">
        <is>
          <t>Higher_Secondary</t>
        </is>
      </c>
      <c r="G7" s="82" t="n">
        <v>5</v>
      </c>
      <c r="H7" s="82" t="n">
        <v>43</v>
      </c>
      <c r="I7" s="83" t="inlineStr">
        <is>
          <t>Kg</t>
        </is>
      </c>
      <c r="J7" s="83" t="n">
        <v>43</v>
      </c>
      <c r="K7" s="83" t="n">
        <v>3</v>
      </c>
      <c r="L7" s="84" t="n">
        <v>245</v>
      </c>
      <c r="M7" s="83" t="n">
        <v>195</v>
      </c>
      <c r="N7" s="80" t="n">
        <v>105</v>
      </c>
      <c r="O7" s="83" t="n">
        <v>5</v>
      </c>
      <c r="P7" s="80" t="inlineStr">
        <is>
          <t>Aratdar</t>
        </is>
      </c>
      <c r="Q7" s="80" t="inlineStr">
        <is>
          <t>Household</t>
        </is>
      </c>
      <c r="R7" s="84" t="n">
        <v>69</v>
      </c>
      <c r="S7" s="84" t="n">
        <v>19</v>
      </c>
      <c r="T7" s="84" t="n">
        <v>12</v>
      </c>
      <c r="U7" s="80" t="inlineStr">
        <is>
          <t>Occasional</t>
        </is>
      </c>
      <c r="V7" s="80" t="inlineStr">
        <is>
          <t>Some</t>
        </is>
      </c>
      <c r="W7" s="79" t="inlineStr">
        <is>
          <t>Unsold fish spoilage loss</t>
        </is>
      </c>
      <c r="X7" s="79" t="inlineStr">
        <is>
          <t>Low landings in lean season</t>
        </is>
      </c>
      <c r="Y7" s="79" t="inlineStr">
        <is>
          <t>Delayed credit recovery</t>
        </is>
      </c>
      <c r="Z7" s="80" t="n"/>
      <c r="AA7" s="79" t="n"/>
    </row>
    <row r="8" ht="19.5" customHeight="1" s="45">
      <c r="B8" s="79" t="inlineStr">
        <is>
          <t>M1-R-04</t>
        </is>
      </c>
      <c r="C8" s="80" t="inlineStr">
        <is>
          <t>M1</t>
        </is>
      </c>
      <c r="D8" s="81" t="n">
        <v>46084</v>
      </c>
      <c r="E8" s="82" t="n">
        <v>33</v>
      </c>
      <c r="F8" s="80" t="inlineStr">
        <is>
          <t>Secondary</t>
        </is>
      </c>
      <c r="G8" s="82" t="n">
        <v>6</v>
      </c>
      <c r="H8" s="82" t="n">
        <v>119</v>
      </c>
      <c r="I8" s="83" t="inlineStr">
        <is>
          <t>Kg</t>
        </is>
      </c>
      <c r="J8" s="83" t="n">
        <v>119</v>
      </c>
      <c r="K8" s="83" t="n">
        <v>7</v>
      </c>
      <c r="L8" s="84" t="n">
        <v>320</v>
      </c>
      <c r="M8" s="83" t="n">
        <v>105</v>
      </c>
      <c r="N8" s="80" t="n">
        <v>125</v>
      </c>
      <c r="O8" s="83" t="n">
        <v>8</v>
      </c>
      <c r="P8" s="80" t="inlineStr">
        <is>
          <t>Aratdar</t>
        </is>
      </c>
      <c r="Q8" s="80" t="inlineStr">
        <is>
          <t>Hotel</t>
        </is>
      </c>
      <c r="R8" s="84" t="n">
        <v>41</v>
      </c>
      <c r="S8" s="84" t="n">
        <v>40</v>
      </c>
      <c r="T8" s="84" t="n">
        <v>19</v>
      </c>
      <c r="U8" s="80" t="inlineStr">
        <is>
          <t>Occasional</t>
        </is>
      </c>
      <c r="V8" s="80" t="inlineStr">
        <is>
          <t>Almost_all</t>
        </is>
      </c>
      <c r="W8" s="79" t="inlineStr">
        <is>
          <t>Low landings in lean season</t>
        </is>
      </c>
      <c r="X8" s="79" t="inlineStr">
        <is>
          <t>Supply syndicate control</t>
        </is>
      </c>
      <c r="Y8" s="79" t="inlineStr">
        <is>
          <t>Rising toll and lease burden</t>
        </is>
      </c>
      <c r="Z8" s="80" t="n"/>
      <c r="AA8" s="79" t="n"/>
    </row>
    <row r="9" ht="19.5" customHeight="1" s="45">
      <c r="B9" s="79" t="inlineStr">
        <is>
          <t>M1-R-05</t>
        </is>
      </c>
      <c r="C9" s="80" t="inlineStr">
        <is>
          <t>M1</t>
        </is>
      </c>
      <c r="D9" s="81" t="n">
        <v>46084</v>
      </c>
      <c r="E9" s="82" t="n">
        <v>43</v>
      </c>
      <c r="F9" s="80" t="inlineStr">
        <is>
          <t>Primary</t>
        </is>
      </c>
      <c r="G9" s="82" t="n">
        <v>3</v>
      </c>
      <c r="H9" s="82" t="n">
        <v>2.5</v>
      </c>
      <c r="I9" s="83" t="inlineStr">
        <is>
          <t>Maund</t>
        </is>
      </c>
      <c r="J9" s="83" t="n">
        <v>93.3</v>
      </c>
      <c r="K9" s="83" t="n">
        <v>7</v>
      </c>
      <c r="L9" s="84" t="n">
        <v>210</v>
      </c>
      <c r="M9" s="83" t="n">
        <v>170</v>
      </c>
      <c r="N9" s="80" t="n">
        <v>115</v>
      </c>
      <c r="O9" s="83" t="n">
        <v>8</v>
      </c>
      <c r="P9" s="80" t="inlineStr">
        <is>
          <t>Aratdar</t>
        </is>
      </c>
      <c r="Q9" s="80" t="inlineStr">
        <is>
          <t>Household</t>
        </is>
      </c>
      <c r="R9" s="84" t="n">
        <v>52</v>
      </c>
      <c r="S9" s="84" t="n">
        <v>28</v>
      </c>
      <c r="T9" s="84" t="n">
        <v>20</v>
      </c>
      <c r="U9" s="80" t="inlineStr">
        <is>
          <t>Occasional</t>
        </is>
      </c>
      <c r="V9" s="80" t="inlineStr">
        <is>
          <t>No</t>
        </is>
      </c>
      <c r="W9" s="79" t="inlineStr">
        <is>
          <t>Transport cost increase</t>
        </is>
      </c>
      <c r="X9" s="79" t="inlineStr">
        <is>
          <t>High ice price</t>
        </is>
      </c>
      <c r="Y9" s="79" t="inlineStr">
        <is>
          <t>Day-to-day price volatility</t>
        </is>
      </c>
      <c r="Z9" s="80" t="inlineStr">
        <is>
          <t>PAIR-M1-01</t>
        </is>
      </c>
      <c r="AA9" s="79" t="n"/>
    </row>
    <row r="10" ht="19.5" customHeight="1" s="45">
      <c r="B10" s="79" t="inlineStr">
        <is>
          <t>M1-R-06</t>
        </is>
      </c>
      <c r="C10" s="80" t="inlineStr">
        <is>
          <t>M1</t>
        </is>
      </c>
      <c r="D10" s="81" t="n"/>
      <c r="E10" s="82" t="n"/>
      <c r="F10" s="80" t="n"/>
      <c r="G10" s="82" t="n"/>
      <c r="H10" s="82" t="n"/>
      <c r="I10" s="83" t="n"/>
      <c r="J10" s="83" t="n"/>
      <c r="K10" s="83" t="n"/>
      <c r="L10" s="84" t="n"/>
      <c r="M10" s="83" t="n"/>
      <c r="N10" s="80" t="n"/>
      <c r="O10" s="83" t="n"/>
      <c r="P10" s="80" t="n"/>
      <c r="Q10" s="80" t="n"/>
      <c r="R10" s="84" t="n"/>
      <c r="S10" s="84" t="n"/>
      <c r="T10" s="84" t="n"/>
      <c r="U10" s="80" t="n"/>
      <c r="V10" s="80" t="n"/>
      <c r="W10" s="79" t="n"/>
      <c r="X10" s="79" t="n"/>
      <c r="Y10" s="79" t="n"/>
      <c r="Z10" s="80" t="n"/>
      <c r="AA10" s="79" t="n"/>
    </row>
    <row r="11" ht="19.5" customHeight="1" s="45">
      <c r="B11" s="79" t="inlineStr">
        <is>
          <t>M2-R-01</t>
        </is>
      </c>
      <c r="C11" s="80" t="inlineStr">
        <is>
          <t>M2</t>
        </is>
      </c>
      <c r="D11" s="81" t="n">
        <v>46085</v>
      </c>
      <c r="E11" s="82" t="n">
        <v>30</v>
      </c>
      <c r="F11" s="80" t="inlineStr">
        <is>
          <t>Illiterate</t>
        </is>
      </c>
      <c r="G11" s="82" t="n">
        <v>4</v>
      </c>
      <c r="H11" s="82" t="n">
        <v>61</v>
      </c>
      <c r="I11" s="83" t="inlineStr">
        <is>
          <t>Kg</t>
        </is>
      </c>
      <c r="J11" s="83" t="n">
        <v>61</v>
      </c>
      <c r="K11" s="83" t="n">
        <v>8</v>
      </c>
      <c r="L11" s="84" t="n">
        <v>270</v>
      </c>
      <c r="M11" s="83" t="n">
        <v>230</v>
      </c>
      <c r="N11" s="80" t="n">
        <v>140</v>
      </c>
      <c r="O11" s="83" t="n">
        <v>5</v>
      </c>
      <c r="P11" s="80" t="inlineStr">
        <is>
          <t>Faria</t>
        </is>
      </c>
      <c r="Q11" s="80" t="inlineStr">
        <is>
          <t>Household</t>
        </is>
      </c>
      <c r="R11" s="84" t="n">
        <v>66</v>
      </c>
      <c r="S11" s="84" t="n">
        <v>27</v>
      </c>
      <c r="T11" s="84" t="n">
        <v>7</v>
      </c>
      <c r="U11" s="80" t="inlineStr">
        <is>
          <t>Occasional</t>
        </is>
      </c>
      <c r="V11" s="80" t="inlineStr">
        <is>
          <t>Some</t>
        </is>
      </c>
      <c r="W11" s="79" t="inlineStr">
        <is>
          <t>Waterlogging during monsoon</t>
        </is>
      </c>
      <c r="X11" s="79" t="inlineStr">
        <is>
          <t>Delayed credit recovery</t>
        </is>
      </c>
      <c r="Y11" s="79" t="inlineStr">
        <is>
          <t>Transport cost increase</t>
        </is>
      </c>
      <c r="Z11" s="80" t="inlineStr">
        <is>
          <t>PAIR-M2-03</t>
        </is>
      </c>
      <c r="AA11" s="79" t="n"/>
    </row>
    <row r="12" ht="19.5" customHeight="1" s="45">
      <c r="B12" s="79" t="inlineStr">
        <is>
          <t>M2-R-02</t>
        </is>
      </c>
      <c r="C12" s="80" t="inlineStr">
        <is>
          <t>M2</t>
        </is>
      </c>
      <c r="D12" s="81" t="n">
        <v>46085</v>
      </c>
      <c r="E12" s="82" t="n">
        <v>40</v>
      </c>
      <c r="F12" s="80" t="inlineStr">
        <is>
          <t>Primary</t>
        </is>
      </c>
      <c r="G12" s="82" t="n">
        <v>22</v>
      </c>
      <c r="H12" s="82" t="n">
        <v>2.8</v>
      </c>
      <c r="I12" s="83" t="inlineStr">
        <is>
          <t>Maund</t>
        </is>
      </c>
      <c r="J12" s="83" t="n">
        <v>104.5</v>
      </c>
      <c r="K12" s="83" t="n">
        <v>2</v>
      </c>
      <c r="L12" s="84" t="n">
        <v>90</v>
      </c>
      <c r="M12" s="83" t="n">
        <v>205</v>
      </c>
      <c r="N12" s="80" t="n">
        <v>45</v>
      </c>
      <c r="O12" s="83" t="n">
        <v>3</v>
      </c>
      <c r="P12" s="80" t="inlineStr">
        <is>
          <t>Aratdar</t>
        </is>
      </c>
      <c r="Q12" s="80" t="inlineStr">
        <is>
          <t>Household</t>
        </is>
      </c>
      <c r="R12" s="84" t="n">
        <v>48</v>
      </c>
      <c r="S12" s="84" t="n">
        <v>36</v>
      </c>
      <c r="T12" s="84" t="n">
        <v>16</v>
      </c>
      <c r="U12" s="80" t="inlineStr">
        <is>
          <t>Regular</t>
        </is>
      </c>
      <c r="V12" s="80" t="inlineStr">
        <is>
          <t>Some</t>
        </is>
      </c>
      <c r="W12" s="79" t="inlineStr">
        <is>
          <t>Rising toll and lease burden</t>
        </is>
      </c>
      <c r="X12" s="79" t="inlineStr">
        <is>
          <t>Supply syndicate control</t>
        </is>
      </c>
      <c r="Y12" s="79" t="inlineStr">
        <is>
          <t>Delayed credit recovery</t>
        </is>
      </c>
      <c r="Z12" s="80" t="n"/>
      <c r="AA12" s="79" t="n"/>
    </row>
    <row r="13" ht="19.5" customHeight="1" s="45">
      <c r="B13" s="79" t="inlineStr">
        <is>
          <t>M2-R-03</t>
        </is>
      </c>
      <c r="C13" s="80" t="inlineStr">
        <is>
          <t>M2</t>
        </is>
      </c>
      <c r="D13" s="81" t="n">
        <v>46085</v>
      </c>
      <c r="E13" s="82" t="n">
        <v>39</v>
      </c>
      <c r="F13" s="80" t="inlineStr">
        <is>
          <t>Primary</t>
        </is>
      </c>
      <c r="G13" s="82" t="n">
        <v>3</v>
      </c>
      <c r="H13" s="82" t="n">
        <v>2.7</v>
      </c>
      <c r="I13" s="83" t="inlineStr">
        <is>
          <t>Maund</t>
        </is>
      </c>
      <c r="J13" s="83" t="n">
        <v>100.76</v>
      </c>
      <c r="K13" s="83" t="n">
        <v>3</v>
      </c>
      <c r="L13" s="84" t="n">
        <v>330</v>
      </c>
      <c r="M13" s="83" t="n">
        <v>200</v>
      </c>
      <c r="N13" s="80" t="n">
        <v>70</v>
      </c>
      <c r="O13" s="83" t="n">
        <v>3</v>
      </c>
      <c r="P13" s="80" t="inlineStr">
        <is>
          <t>Aratdar</t>
        </is>
      </c>
      <c r="Q13" s="80" t="inlineStr">
        <is>
          <t>Institutional</t>
        </is>
      </c>
      <c r="R13" s="84" t="n">
        <v>49</v>
      </c>
      <c r="S13" s="84" t="n">
        <v>20</v>
      </c>
      <c r="T13" s="84" t="n">
        <v>31</v>
      </c>
      <c r="U13" s="80" t="inlineStr">
        <is>
          <t>Occasional</t>
        </is>
      </c>
      <c r="V13" s="80" t="inlineStr">
        <is>
          <t>Some</t>
        </is>
      </c>
      <c r="W13" s="79" t="inlineStr">
        <is>
          <t>Low landings in lean season</t>
        </is>
      </c>
      <c r="X13" s="79" t="inlineStr">
        <is>
          <t>Day-to-day price volatility</t>
        </is>
      </c>
      <c r="Y13" s="79" t="inlineStr">
        <is>
          <t>Waterlogging during monsoon</t>
        </is>
      </c>
      <c r="Z13" s="80" t="inlineStr">
        <is>
          <t>PAIR-M2-01</t>
        </is>
      </c>
      <c r="AA13" s="79" t="n"/>
    </row>
    <row r="14" ht="19.5" customHeight="1" s="45">
      <c r="B14" s="79" t="inlineStr">
        <is>
          <t>M2-R-04</t>
        </is>
      </c>
      <c r="C14" s="80" t="inlineStr">
        <is>
          <t>M2</t>
        </is>
      </c>
      <c r="D14" s="81" t="n">
        <v>46085</v>
      </c>
      <c r="E14" s="82" t="n">
        <v>55</v>
      </c>
      <c r="F14" s="80" t="inlineStr">
        <is>
          <t>Primary</t>
        </is>
      </c>
      <c r="G14" s="82" t="n">
        <v>17</v>
      </c>
      <c r="H14" s="82" t="n">
        <v>2.8</v>
      </c>
      <c r="I14" s="83" t="inlineStr">
        <is>
          <t>Maund</t>
        </is>
      </c>
      <c r="J14" s="83" t="n">
        <v>104.5</v>
      </c>
      <c r="K14" s="83" t="n">
        <v>7</v>
      </c>
      <c r="L14" s="84" t="n">
        <v>265</v>
      </c>
      <c r="M14" s="83" t="n">
        <v>220</v>
      </c>
      <c r="N14" s="80" t="n">
        <v>30</v>
      </c>
      <c r="O14" s="83" t="n">
        <v>8</v>
      </c>
      <c r="P14" s="80" t="inlineStr">
        <is>
          <t>Fisherman</t>
        </is>
      </c>
      <c r="Q14" s="80" t="inlineStr">
        <is>
          <t>Hawker</t>
        </is>
      </c>
      <c r="R14" s="84" t="n">
        <v>55</v>
      </c>
      <c r="S14" s="84" t="n">
        <v>25</v>
      </c>
      <c r="T14" s="84" t="n">
        <v>20</v>
      </c>
      <c r="U14" s="80" t="inlineStr">
        <is>
          <t>Regular</t>
        </is>
      </c>
      <c r="V14" s="80" t="inlineStr">
        <is>
          <t>No</t>
        </is>
      </c>
      <c r="W14" s="79" t="inlineStr">
        <is>
          <t>Competition from frozen imported fish</t>
        </is>
      </c>
      <c r="X14" s="79" t="inlineStr">
        <is>
          <t>Day-to-day price volatility</t>
        </is>
      </c>
      <c r="Y14" s="79" t="inlineStr">
        <is>
          <t>Low landings in lean season</t>
        </is>
      </c>
      <c r="Z14" s="80" t="n"/>
      <c r="AA14" s="79" t="n"/>
    </row>
    <row r="15" ht="19.5" customHeight="1" s="45">
      <c r="B15" s="79" t="inlineStr">
        <is>
          <t>M2-R-05</t>
        </is>
      </c>
      <c r="C15" s="80" t="inlineStr">
        <is>
          <t>M2</t>
        </is>
      </c>
      <c r="D15" s="81" t="n">
        <v>46085</v>
      </c>
      <c r="E15" s="82" t="n">
        <v>27</v>
      </c>
      <c r="F15" s="80" t="inlineStr">
        <is>
          <t>Secondary</t>
        </is>
      </c>
      <c r="G15" s="82" t="n">
        <v>6</v>
      </c>
      <c r="H15" s="82" t="n">
        <v>2.7</v>
      </c>
      <c r="I15" s="83" t="inlineStr">
        <is>
          <t>Maund</t>
        </is>
      </c>
      <c r="J15" s="83" t="n">
        <v>100.76</v>
      </c>
      <c r="K15" s="83" t="n">
        <v>6</v>
      </c>
      <c r="L15" s="84" t="n">
        <v>300</v>
      </c>
      <c r="M15" s="83" t="n">
        <v>175</v>
      </c>
      <c r="N15" s="80" t="n">
        <v>85</v>
      </c>
      <c r="O15" s="83" t="n">
        <v>6</v>
      </c>
      <c r="P15" s="80" t="inlineStr">
        <is>
          <t>Fisherman</t>
        </is>
      </c>
      <c r="Q15" s="80" t="inlineStr">
        <is>
          <t>Household</t>
        </is>
      </c>
      <c r="R15" s="84" t="n">
        <v>69</v>
      </c>
      <c r="S15" s="84" t="n">
        <v>15</v>
      </c>
      <c r="T15" s="84" t="n">
        <v>16</v>
      </c>
      <c r="U15" s="80" t="inlineStr">
        <is>
          <t>Regular</t>
        </is>
      </c>
      <c r="V15" s="80" t="inlineStr">
        <is>
          <t>No</t>
        </is>
      </c>
      <c r="W15" s="79" t="inlineStr">
        <is>
          <t>Rising cost of ice and salt</t>
        </is>
      </c>
      <c r="X15" s="79" t="inlineStr">
        <is>
          <t>Unsold fish spoilage loss</t>
        </is>
      </c>
      <c r="Y15" s="79" t="inlineStr">
        <is>
          <t>Delayed credit recovery</t>
        </is>
      </c>
      <c r="Z15" s="80" t="inlineStr">
        <is>
          <t>PAIR-M2-02</t>
        </is>
      </c>
      <c r="AA15" s="79" t="n"/>
    </row>
    <row r="16" ht="19.5" customHeight="1" s="45">
      <c r="B16" s="79" t="inlineStr">
        <is>
          <t>M2-R-06</t>
        </is>
      </c>
      <c r="C16" s="80" t="inlineStr">
        <is>
          <t>M2</t>
        </is>
      </c>
      <c r="D16" s="81" t="n"/>
      <c r="E16" s="82" t="n"/>
      <c r="F16" s="80" t="n"/>
      <c r="G16" s="82" t="n"/>
      <c r="H16" s="82" t="n"/>
      <c r="I16" s="83" t="n"/>
      <c r="J16" s="83" t="n"/>
      <c r="K16" s="83" t="n"/>
      <c r="L16" s="84" t="n"/>
      <c r="M16" s="83" t="n"/>
      <c r="N16" s="80" t="n"/>
      <c r="O16" s="83" t="n"/>
      <c r="P16" s="80" t="n"/>
      <c r="Q16" s="80" t="n"/>
      <c r="R16" s="84" t="n"/>
      <c r="S16" s="84" t="n"/>
      <c r="T16" s="84" t="n"/>
      <c r="U16" s="80" t="n"/>
      <c r="V16" s="80" t="n"/>
      <c r="W16" s="79" t="n"/>
      <c r="X16" s="79" t="n"/>
      <c r="Y16" s="79" t="n"/>
      <c r="Z16" s="80" t="n"/>
      <c r="AA16" s="79" t="n"/>
    </row>
    <row r="17" ht="19.5" customHeight="1" s="45">
      <c r="B17" s="79" t="inlineStr">
        <is>
          <t>M3-R-01</t>
        </is>
      </c>
      <c r="C17" s="80" t="inlineStr">
        <is>
          <t>M3</t>
        </is>
      </c>
      <c r="D17" s="81" t="n">
        <v>46086</v>
      </c>
      <c r="E17" s="82" t="n">
        <v>51</v>
      </c>
      <c r="F17" s="80" t="inlineStr">
        <is>
          <t>Secondary</t>
        </is>
      </c>
      <c r="G17" s="82" t="n">
        <v>25</v>
      </c>
      <c r="H17" s="82" t="n">
        <v>150</v>
      </c>
      <c r="I17" s="83" t="inlineStr">
        <is>
          <t>Kg</t>
        </is>
      </c>
      <c r="J17" s="83" t="n">
        <v>150</v>
      </c>
      <c r="K17" s="83" t="n">
        <v>8</v>
      </c>
      <c r="L17" s="84" t="n">
        <v>115</v>
      </c>
      <c r="M17" s="83" t="n">
        <v>195</v>
      </c>
      <c r="N17" s="80" t="n">
        <v>60</v>
      </c>
      <c r="O17" s="83" t="n">
        <v>6</v>
      </c>
      <c r="P17" s="80" t="inlineStr">
        <is>
          <t>Fisherman</t>
        </is>
      </c>
      <c r="Q17" s="80" t="inlineStr">
        <is>
          <t>Hotel</t>
        </is>
      </c>
      <c r="R17" s="84" t="n">
        <v>52</v>
      </c>
      <c r="S17" s="84" t="n">
        <v>36</v>
      </c>
      <c r="T17" s="84" t="n">
        <v>12</v>
      </c>
      <c r="U17" s="80" t="inlineStr">
        <is>
          <t>Regular</t>
        </is>
      </c>
      <c r="V17" s="80" t="inlineStr">
        <is>
          <t>No</t>
        </is>
      </c>
      <c r="W17" s="79" t="inlineStr">
        <is>
          <t>Waterlogging during monsoon</t>
        </is>
      </c>
      <c r="X17" s="79" t="inlineStr">
        <is>
          <t>Competition from frozen imported fish</t>
        </is>
      </c>
      <c r="Y17" s="79" t="inlineStr">
        <is>
          <t>Unsold fish spoilage loss</t>
        </is>
      </c>
      <c r="Z17" s="80" t="n"/>
      <c r="AA17" s="79" t="n"/>
    </row>
    <row r="18" ht="19.5" customHeight="1" s="45">
      <c r="B18" s="79" t="inlineStr">
        <is>
          <t>M3-R-02</t>
        </is>
      </c>
      <c r="C18" s="80" t="inlineStr">
        <is>
          <t>M3</t>
        </is>
      </c>
      <c r="D18" s="81" t="n">
        <v>46086</v>
      </c>
      <c r="E18" s="82" t="n">
        <v>26</v>
      </c>
      <c r="F18" s="80" t="inlineStr">
        <is>
          <t>Primary</t>
        </is>
      </c>
      <c r="G18" s="82" t="n">
        <v>4</v>
      </c>
      <c r="H18" s="82" t="n">
        <v>2</v>
      </c>
      <c r="I18" s="83" t="inlineStr">
        <is>
          <t>Maund</t>
        </is>
      </c>
      <c r="J18" s="83" t="n">
        <v>74.64</v>
      </c>
      <c r="K18" s="83" t="n">
        <v>8</v>
      </c>
      <c r="L18" s="84" t="n">
        <v>155</v>
      </c>
      <c r="M18" s="83" t="n">
        <v>240</v>
      </c>
      <c r="N18" s="80" t="n">
        <v>30</v>
      </c>
      <c r="O18" s="83" t="n">
        <v>4</v>
      </c>
      <c r="P18" s="80" t="inlineStr">
        <is>
          <t>Aratdar</t>
        </is>
      </c>
      <c r="Q18" s="80" t="inlineStr">
        <is>
          <t>Household</t>
        </is>
      </c>
      <c r="R18" s="84" t="n">
        <v>56</v>
      </c>
      <c r="S18" s="84" t="n">
        <v>29</v>
      </c>
      <c r="T18" s="84" t="n">
        <v>15</v>
      </c>
      <c r="U18" s="80" t="inlineStr">
        <is>
          <t>Occasional</t>
        </is>
      </c>
      <c r="V18" s="80" t="inlineStr">
        <is>
          <t>Some</t>
        </is>
      </c>
      <c r="W18" s="79" t="inlineStr">
        <is>
          <t>Waterlogging during monsoon</t>
        </is>
      </c>
      <c r="X18" s="79" t="inlineStr">
        <is>
          <t>Rising toll and lease burden</t>
        </is>
      </c>
      <c r="Y18" s="79" t="inlineStr">
        <is>
          <t>Unsold fish spoilage loss</t>
        </is>
      </c>
      <c r="Z18" s="80" t="n"/>
      <c r="AA18" s="79" t="n"/>
    </row>
    <row r="19" ht="19.5" customHeight="1" s="45">
      <c r="B19" s="79" t="inlineStr">
        <is>
          <t>M3-R-03</t>
        </is>
      </c>
      <c r="C19" s="80" t="inlineStr">
        <is>
          <t>M3</t>
        </is>
      </c>
      <c r="D19" s="81" t="n">
        <v>46086</v>
      </c>
      <c r="E19" s="82" t="n">
        <v>53</v>
      </c>
      <c r="F19" s="80" t="inlineStr">
        <is>
          <t>Secondary</t>
        </is>
      </c>
      <c r="G19" s="82" t="n">
        <v>9</v>
      </c>
      <c r="H19" s="82" t="n">
        <v>143</v>
      </c>
      <c r="I19" s="83" t="inlineStr">
        <is>
          <t>Kg</t>
        </is>
      </c>
      <c r="J19" s="83" t="n">
        <v>143</v>
      </c>
      <c r="K19" s="83" t="n">
        <v>3</v>
      </c>
      <c r="L19" s="84" t="n">
        <v>235</v>
      </c>
      <c r="M19" s="83" t="n">
        <v>210</v>
      </c>
      <c r="N19" s="80" t="n">
        <v>100</v>
      </c>
      <c r="O19" s="83" t="n">
        <v>6</v>
      </c>
      <c r="P19" s="80" t="inlineStr">
        <is>
          <t>Aratdar</t>
        </is>
      </c>
      <c r="Q19" s="80" t="inlineStr">
        <is>
          <t>Hotel</t>
        </is>
      </c>
      <c r="R19" s="84" t="n">
        <v>56</v>
      </c>
      <c r="S19" s="84" t="n">
        <v>38</v>
      </c>
      <c r="T19" s="84" t="n">
        <v>6</v>
      </c>
      <c r="U19" s="80" t="inlineStr">
        <is>
          <t>Regular</t>
        </is>
      </c>
      <c r="V19" s="80" t="inlineStr">
        <is>
          <t>Some</t>
        </is>
      </c>
      <c r="W19" s="79" t="inlineStr">
        <is>
          <t>Waterlogging during monsoon</t>
        </is>
      </c>
      <c r="X19" s="79" t="inlineStr">
        <is>
          <t>Delayed credit recovery</t>
        </is>
      </c>
      <c r="Y19" s="79" t="inlineStr">
        <is>
          <t>High ice price</t>
        </is>
      </c>
      <c r="Z19" s="80" t="inlineStr">
        <is>
          <t>PAIR-M3-01</t>
        </is>
      </c>
      <c r="AA19" s="79" t="n"/>
    </row>
    <row r="20" ht="19.5" customHeight="1" s="45">
      <c r="B20" s="79" t="inlineStr">
        <is>
          <t>M3-R-04</t>
        </is>
      </c>
      <c r="C20" s="80" t="inlineStr">
        <is>
          <t>M3</t>
        </is>
      </c>
      <c r="D20" s="81" t="n">
        <v>46086</v>
      </c>
      <c r="E20" s="82" t="n">
        <v>40</v>
      </c>
      <c r="F20" s="80" t="inlineStr">
        <is>
          <t>Secondary</t>
        </is>
      </c>
      <c r="G20" s="82" t="n">
        <v>2</v>
      </c>
      <c r="H20" s="82" t="n">
        <v>135</v>
      </c>
      <c r="I20" s="83" t="inlineStr">
        <is>
          <t>Kg</t>
        </is>
      </c>
      <c r="J20" s="83" t="n">
        <v>135</v>
      </c>
      <c r="K20" s="83" t="n">
        <v>4</v>
      </c>
      <c r="L20" s="84" t="n">
        <v>200</v>
      </c>
      <c r="M20" s="83" t="n">
        <v>185</v>
      </c>
      <c r="N20" s="80" t="n">
        <v>105</v>
      </c>
      <c r="O20" s="83" t="n">
        <v>5</v>
      </c>
      <c r="P20" s="80" t="inlineStr">
        <is>
          <t>Aratdar</t>
        </is>
      </c>
      <c r="Q20" s="80" t="inlineStr">
        <is>
          <t>Institutional</t>
        </is>
      </c>
      <c r="R20" s="84" t="n">
        <v>54</v>
      </c>
      <c r="S20" s="84" t="n">
        <v>30</v>
      </c>
      <c r="T20" s="84" t="n">
        <v>16</v>
      </c>
      <c r="U20" s="80" t="inlineStr">
        <is>
          <t>Regular</t>
        </is>
      </c>
      <c r="V20" s="80" t="inlineStr">
        <is>
          <t>Some</t>
        </is>
      </c>
      <c r="W20" s="79" t="inlineStr">
        <is>
          <t>Day-to-day price volatility</t>
        </is>
      </c>
      <c r="X20" s="79" t="inlineStr">
        <is>
          <t>Rising cost of ice and salt</t>
        </is>
      </c>
      <c r="Y20" s="79" t="inlineStr">
        <is>
          <t>Low landings in lean season</t>
        </is>
      </c>
      <c r="Z20" s="80" t="inlineStr">
        <is>
          <t>PAIR-M3-02</t>
        </is>
      </c>
      <c r="AA20" s="79" t="n"/>
    </row>
    <row r="21" ht="19.5" customHeight="1" s="45">
      <c r="B21" s="79" t="inlineStr">
        <is>
          <t>M3-R-05</t>
        </is>
      </c>
      <c r="C21" s="80" t="inlineStr">
        <is>
          <t>M3</t>
        </is>
      </c>
      <c r="D21" s="81" t="n">
        <v>46086</v>
      </c>
      <c r="E21" s="82" t="n">
        <v>21</v>
      </c>
      <c r="F21" s="80" t="inlineStr">
        <is>
          <t>Higher_Secondary</t>
        </is>
      </c>
      <c r="G21" s="82" t="n">
        <v>5</v>
      </c>
      <c r="H21" s="82" t="n">
        <v>137</v>
      </c>
      <c r="I21" s="83" t="inlineStr">
        <is>
          <t>Kg</t>
        </is>
      </c>
      <c r="J21" s="83" t="n">
        <v>137</v>
      </c>
      <c r="K21" s="83" t="n">
        <v>6</v>
      </c>
      <c r="L21" s="84" t="n">
        <v>290</v>
      </c>
      <c r="M21" s="83" t="n">
        <v>90</v>
      </c>
      <c r="N21" s="80" t="n">
        <v>30</v>
      </c>
      <c r="O21" s="83" t="n">
        <v>7</v>
      </c>
      <c r="P21" s="80" t="inlineStr">
        <is>
          <t>Aratdar</t>
        </is>
      </c>
      <c r="Q21" s="80" t="inlineStr">
        <is>
          <t>Household</t>
        </is>
      </c>
      <c r="R21" s="84" t="n">
        <v>41</v>
      </c>
      <c r="S21" s="84" t="n">
        <v>31</v>
      </c>
      <c r="T21" s="84" t="n">
        <v>28</v>
      </c>
      <c r="U21" s="80" t="inlineStr">
        <is>
          <t>Occasional</t>
        </is>
      </c>
      <c r="V21" s="80" t="inlineStr">
        <is>
          <t>Some</t>
        </is>
      </c>
      <c r="W21" s="79" t="inlineStr">
        <is>
          <t>High ice price</t>
        </is>
      </c>
      <c r="X21" s="79" t="inlineStr">
        <is>
          <t>Waterlogging during monsoon</t>
        </is>
      </c>
      <c r="Y21" s="79" t="inlineStr">
        <is>
          <t>Day-to-day price volatility</t>
        </is>
      </c>
      <c r="Z21" s="80" t="n"/>
      <c r="AA21" s="79" t="n"/>
    </row>
    <row r="22" ht="19.5" customHeight="1" s="45">
      <c r="B22" s="79" t="inlineStr">
        <is>
          <t>M3-R-06</t>
        </is>
      </c>
      <c r="C22" s="80" t="inlineStr">
        <is>
          <t>M3</t>
        </is>
      </c>
      <c r="D22" s="81" t="n"/>
      <c r="E22" s="82" t="n"/>
      <c r="F22" s="80" t="n"/>
      <c r="G22" s="82" t="n"/>
      <c r="H22" s="82" t="n"/>
      <c r="I22" s="83" t="n"/>
      <c r="J22" s="83" t="n"/>
      <c r="K22" s="83" t="n"/>
      <c r="L22" s="84" t="n"/>
      <c r="M22" s="83" t="n"/>
      <c r="N22" s="80" t="n"/>
      <c r="O22" s="83" t="n"/>
      <c r="P22" s="80" t="n"/>
      <c r="Q22" s="80" t="n"/>
      <c r="R22" s="84" t="n"/>
      <c r="S22" s="84" t="n"/>
      <c r="T22" s="84" t="n"/>
      <c r="U22" s="80" t="n"/>
      <c r="V22" s="80" t="n"/>
      <c r="W22" s="79" t="n"/>
      <c r="X22" s="79" t="n"/>
      <c r="Y22" s="79" t="n"/>
      <c r="Z22" s="80" t="n"/>
      <c r="AA22" s="79" t="n"/>
    </row>
    <row r="23" ht="19.5" customHeight="1" s="45">
      <c r="B23" s="79" t="inlineStr">
        <is>
          <t>M4-R-01</t>
        </is>
      </c>
      <c r="C23" s="80" t="inlineStr">
        <is>
          <t>M4</t>
        </is>
      </c>
      <c r="D23" s="81" t="n">
        <v>46087</v>
      </c>
      <c r="E23" s="82" t="n">
        <v>27</v>
      </c>
      <c r="F23" s="80" t="inlineStr">
        <is>
          <t>Primary</t>
        </is>
      </c>
      <c r="G23" s="82" t="n">
        <v>11</v>
      </c>
      <c r="H23" s="82" t="n">
        <v>1.8</v>
      </c>
      <c r="I23" s="83" t="inlineStr">
        <is>
          <t>Maund</t>
        </is>
      </c>
      <c r="J23" s="83" t="n">
        <v>67.18000000000001</v>
      </c>
      <c r="K23" s="83" t="n">
        <v>7</v>
      </c>
      <c r="L23" s="84" t="n">
        <v>285</v>
      </c>
      <c r="M23" s="83" t="n">
        <v>240</v>
      </c>
      <c r="N23" s="80" t="n">
        <v>80</v>
      </c>
      <c r="O23" s="83" t="n">
        <v>5</v>
      </c>
      <c r="P23" s="80" t="inlineStr">
        <is>
          <t>Aratdar</t>
        </is>
      </c>
      <c r="Q23" s="80" t="inlineStr">
        <is>
          <t>Household</t>
        </is>
      </c>
      <c r="R23" s="84" t="n">
        <v>62</v>
      </c>
      <c r="S23" s="84" t="n">
        <v>27</v>
      </c>
      <c r="T23" s="84" t="n">
        <v>11</v>
      </c>
      <c r="U23" s="80" t="inlineStr">
        <is>
          <t>Regular</t>
        </is>
      </c>
      <c r="V23" s="80" t="inlineStr">
        <is>
          <t>Some</t>
        </is>
      </c>
      <c r="W23" s="79" t="inlineStr">
        <is>
          <t>Competition from frozen imported fish</t>
        </is>
      </c>
      <c r="X23" s="79" t="inlineStr">
        <is>
          <t>Day-to-day price volatility</t>
        </is>
      </c>
      <c r="Y23" s="79" t="inlineStr">
        <is>
          <t>Irregular electricity and load-shedding</t>
        </is>
      </c>
      <c r="Z23" s="80" t="inlineStr">
        <is>
          <t>PAIR-M4-01</t>
        </is>
      </c>
      <c r="AA23" s="79" t="n"/>
    </row>
    <row r="24" ht="19.5" customHeight="1" s="45">
      <c r="B24" s="79" t="inlineStr">
        <is>
          <t>M4-R-02</t>
        </is>
      </c>
      <c r="C24" s="80" t="inlineStr">
        <is>
          <t>M4</t>
        </is>
      </c>
      <c r="D24" s="81" t="n">
        <v>46087</v>
      </c>
      <c r="E24" s="82" t="n">
        <v>34</v>
      </c>
      <c r="F24" s="80" t="inlineStr">
        <is>
          <t>Secondary</t>
        </is>
      </c>
      <c r="G24" s="82" t="n">
        <v>18</v>
      </c>
      <c r="H24" s="82" t="n">
        <v>60</v>
      </c>
      <c r="I24" s="83" t="inlineStr">
        <is>
          <t>Kg</t>
        </is>
      </c>
      <c r="J24" s="83" t="n">
        <v>60</v>
      </c>
      <c r="K24" s="83" t="n">
        <v>8</v>
      </c>
      <c r="L24" s="84" t="n">
        <v>140</v>
      </c>
      <c r="M24" s="83" t="n">
        <v>130</v>
      </c>
      <c r="N24" s="80" t="n">
        <v>90</v>
      </c>
      <c r="O24" s="83" t="n">
        <v>6</v>
      </c>
      <c r="P24" s="80" t="inlineStr">
        <is>
          <t>Aratdar</t>
        </is>
      </c>
      <c r="Q24" s="80" t="inlineStr">
        <is>
          <t>Institutional</t>
        </is>
      </c>
      <c r="R24" s="84" t="n">
        <v>57</v>
      </c>
      <c r="S24" s="84" t="n">
        <v>17</v>
      </c>
      <c r="T24" s="84" t="n">
        <v>26</v>
      </c>
      <c r="U24" s="80" t="inlineStr">
        <is>
          <t>Regular</t>
        </is>
      </c>
      <c r="V24" s="80" t="inlineStr">
        <is>
          <t>Some</t>
        </is>
      </c>
      <c r="W24" s="79" t="inlineStr">
        <is>
          <t>Delayed credit recovery</t>
        </is>
      </c>
      <c r="X24" s="79" t="inlineStr">
        <is>
          <t>Day-to-day price volatility</t>
        </is>
      </c>
      <c r="Y24" s="79" t="inlineStr">
        <is>
          <t>Supply syndicate control</t>
        </is>
      </c>
      <c r="Z24" s="80" t="inlineStr">
        <is>
          <t>PAIR-M4-03</t>
        </is>
      </c>
      <c r="AA24" s="79" t="n"/>
    </row>
    <row r="25" ht="19.5" customHeight="1" s="45">
      <c r="B25" s="79" t="inlineStr">
        <is>
          <t>M4-R-03</t>
        </is>
      </c>
      <c r="C25" s="80" t="inlineStr">
        <is>
          <t>M4</t>
        </is>
      </c>
      <c r="D25" s="81" t="n">
        <v>46087</v>
      </c>
      <c r="E25" s="82" t="n">
        <v>53</v>
      </c>
      <c r="F25" s="80" t="inlineStr">
        <is>
          <t>Primary</t>
        </is>
      </c>
      <c r="G25" s="82" t="n">
        <v>27</v>
      </c>
      <c r="H25" s="82" t="n">
        <v>139</v>
      </c>
      <c r="I25" s="83" t="inlineStr">
        <is>
          <t>Kg</t>
        </is>
      </c>
      <c r="J25" s="83" t="n">
        <v>139</v>
      </c>
      <c r="K25" s="83" t="n">
        <v>6</v>
      </c>
      <c r="L25" s="84" t="n">
        <v>145</v>
      </c>
      <c r="M25" s="83" t="n">
        <v>140</v>
      </c>
      <c r="N25" s="80" t="n">
        <v>115</v>
      </c>
      <c r="O25" s="83" t="n">
        <v>8</v>
      </c>
      <c r="P25" s="80" t="inlineStr">
        <is>
          <t>Aratdar</t>
        </is>
      </c>
      <c r="Q25" s="80" t="inlineStr">
        <is>
          <t>Household</t>
        </is>
      </c>
      <c r="R25" s="84" t="n">
        <v>44</v>
      </c>
      <c r="S25" s="84" t="n">
        <v>40</v>
      </c>
      <c r="T25" s="84" t="n">
        <v>16</v>
      </c>
      <c r="U25" s="80" t="inlineStr">
        <is>
          <t>Regular</t>
        </is>
      </c>
      <c r="V25" s="80" t="inlineStr">
        <is>
          <t>Almost_all</t>
        </is>
      </c>
      <c r="W25" s="79" t="inlineStr">
        <is>
          <t>Day-to-day price volatility</t>
        </is>
      </c>
      <c r="X25" s="79" t="inlineStr">
        <is>
          <t>Low landings in lean season</t>
        </is>
      </c>
      <c r="Y25" s="79" t="inlineStr">
        <is>
          <t>Transport cost increase</t>
        </is>
      </c>
      <c r="Z25" s="80" t="n"/>
      <c r="AA25" s="79" t="n"/>
    </row>
    <row r="26" ht="19.5" customHeight="1" s="45">
      <c r="B26" s="79" t="inlineStr">
        <is>
          <t>M4-R-04</t>
        </is>
      </c>
      <c r="C26" s="80" t="inlineStr">
        <is>
          <t>M4</t>
        </is>
      </c>
      <c r="D26" s="81" t="n">
        <v>46087</v>
      </c>
      <c r="E26" s="82" t="n">
        <v>25</v>
      </c>
      <c r="F26" s="80" t="inlineStr">
        <is>
          <t>Secondary</t>
        </is>
      </c>
      <c r="G26" s="82" t="n">
        <v>5</v>
      </c>
      <c r="H26" s="82" t="n">
        <v>47</v>
      </c>
      <c r="I26" s="83" t="inlineStr">
        <is>
          <t>Kg</t>
        </is>
      </c>
      <c r="J26" s="83" t="n">
        <v>47</v>
      </c>
      <c r="K26" s="83" t="n">
        <v>8</v>
      </c>
      <c r="L26" s="84" t="n">
        <v>225</v>
      </c>
      <c r="M26" s="83" t="n">
        <v>215</v>
      </c>
      <c r="N26" s="80" t="n">
        <v>115</v>
      </c>
      <c r="O26" s="83" t="n">
        <v>4</v>
      </c>
      <c r="P26" s="80" t="inlineStr">
        <is>
          <t>Aratdar</t>
        </is>
      </c>
      <c r="Q26" s="80" t="inlineStr">
        <is>
          <t>Household</t>
        </is>
      </c>
      <c r="R26" s="84" t="n">
        <v>44</v>
      </c>
      <c r="S26" s="84" t="n">
        <v>15</v>
      </c>
      <c r="T26" s="84" t="n">
        <v>41</v>
      </c>
      <c r="U26" s="80" t="inlineStr">
        <is>
          <t>Regular</t>
        </is>
      </c>
      <c r="V26" s="80" t="inlineStr">
        <is>
          <t>Some</t>
        </is>
      </c>
      <c r="W26" s="79" t="inlineStr">
        <is>
          <t>Competition from frozen imported fish</t>
        </is>
      </c>
      <c r="X26" s="79" t="inlineStr">
        <is>
          <t>Rising cost of ice and salt</t>
        </is>
      </c>
      <c r="Y26" s="79" t="inlineStr">
        <is>
          <t>Supply syndicate control</t>
        </is>
      </c>
      <c r="Z26" s="80" t="n"/>
      <c r="AA26" s="79" t="n"/>
    </row>
    <row r="27" ht="19.5" customHeight="1" s="45">
      <c r="B27" s="79" t="inlineStr">
        <is>
          <t>M4-R-05</t>
        </is>
      </c>
      <c r="C27" s="80" t="inlineStr">
        <is>
          <t>M4</t>
        </is>
      </c>
      <c r="D27" s="81" t="n">
        <v>46087</v>
      </c>
      <c r="E27" s="82" t="n">
        <v>40</v>
      </c>
      <c r="F27" s="80" t="inlineStr">
        <is>
          <t>Primary</t>
        </is>
      </c>
      <c r="G27" s="82" t="n">
        <v>13</v>
      </c>
      <c r="H27" s="82" t="n">
        <v>136</v>
      </c>
      <c r="I27" s="83" t="inlineStr">
        <is>
          <t>Kg</t>
        </is>
      </c>
      <c r="J27" s="83" t="n">
        <v>136</v>
      </c>
      <c r="K27" s="83" t="n">
        <v>8</v>
      </c>
      <c r="L27" s="84" t="n">
        <v>265</v>
      </c>
      <c r="M27" s="83" t="n">
        <v>120</v>
      </c>
      <c r="N27" s="80" t="n">
        <v>45</v>
      </c>
      <c r="O27" s="83" t="n">
        <v>3</v>
      </c>
      <c r="P27" s="80" t="inlineStr">
        <is>
          <t>Aratdar</t>
        </is>
      </c>
      <c r="Q27" s="80" t="inlineStr">
        <is>
          <t>Household</t>
        </is>
      </c>
      <c r="R27" s="84" t="n">
        <v>68</v>
      </c>
      <c r="S27" s="84" t="n">
        <v>19</v>
      </c>
      <c r="T27" s="84" t="n">
        <v>13</v>
      </c>
      <c r="U27" s="80" t="inlineStr">
        <is>
          <t>Never</t>
        </is>
      </c>
      <c r="V27" s="80" t="inlineStr">
        <is>
          <t>Some</t>
        </is>
      </c>
      <c r="W27" s="79" t="inlineStr">
        <is>
          <t>Unsold fish spoilage loss</t>
        </is>
      </c>
      <c r="X27" s="79" t="inlineStr">
        <is>
          <t>Transport cost increase</t>
        </is>
      </c>
      <c r="Y27" s="79" t="inlineStr">
        <is>
          <t>Delayed credit recovery</t>
        </is>
      </c>
      <c r="Z27" s="80" t="inlineStr">
        <is>
          <t>PAIR-M4-02</t>
        </is>
      </c>
      <c r="AA27" s="79" t="n"/>
    </row>
    <row r="28" ht="19.5" customHeight="1" s="45">
      <c r="B28" s="79" t="inlineStr">
        <is>
          <t>M4-R-06</t>
        </is>
      </c>
      <c r="C28" s="80" t="inlineStr">
        <is>
          <t>M4</t>
        </is>
      </c>
      <c r="D28" s="81" t="n"/>
      <c r="E28" s="82" t="n"/>
      <c r="F28" s="80" t="n"/>
      <c r="G28" s="82" t="n"/>
      <c r="H28" s="82" t="n"/>
      <c r="I28" s="83" t="n"/>
      <c r="J28" s="83" t="n"/>
      <c r="K28" s="83" t="n"/>
      <c r="L28" s="84" t="n"/>
      <c r="M28" s="83" t="n"/>
      <c r="N28" s="80" t="n"/>
      <c r="O28" s="83" t="n"/>
      <c r="P28" s="80" t="n"/>
      <c r="Q28" s="80" t="n"/>
      <c r="R28" s="84" t="n"/>
      <c r="S28" s="84" t="n"/>
      <c r="T28" s="84" t="n"/>
      <c r="U28" s="80" t="n"/>
      <c r="V28" s="80" t="n"/>
      <c r="W28" s="79" t="n"/>
      <c r="X28" s="79" t="n"/>
      <c r="Y28" s="79" t="n"/>
      <c r="Z28" s="80" t="n"/>
      <c r="AA28" s="79" t="n"/>
    </row>
    <row r="29" ht="19.5" customHeight="1" s="45">
      <c r="B29" s="79" t="inlineStr">
        <is>
          <t>M5-R-01</t>
        </is>
      </c>
      <c r="C29" s="80" t="inlineStr">
        <is>
          <t>M5</t>
        </is>
      </c>
      <c r="D29" s="81" t="n">
        <v>46088</v>
      </c>
      <c r="E29" s="82" t="n">
        <v>34</v>
      </c>
      <c r="F29" s="80" t="inlineStr">
        <is>
          <t>Illiterate</t>
        </is>
      </c>
      <c r="G29" s="82" t="n">
        <v>9</v>
      </c>
      <c r="H29" s="82" t="n">
        <v>106</v>
      </c>
      <c r="I29" s="83" t="inlineStr">
        <is>
          <t>Kg</t>
        </is>
      </c>
      <c r="J29" s="83" t="n">
        <v>106</v>
      </c>
      <c r="K29" s="83" t="n">
        <v>4</v>
      </c>
      <c r="L29" s="84" t="n">
        <v>120</v>
      </c>
      <c r="M29" s="83" t="n">
        <v>100</v>
      </c>
      <c r="N29" s="80" t="n">
        <v>145</v>
      </c>
      <c r="O29" s="83" t="n">
        <v>6</v>
      </c>
      <c r="P29" s="80" t="inlineStr">
        <is>
          <t>Aratdar</t>
        </is>
      </c>
      <c r="Q29" s="80" t="inlineStr">
        <is>
          <t>Other</t>
        </is>
      </c>
      <c r="R29" s="84" t="n">
        <v>54</v>
      </c>
      <c r="S29" s="84" t="n">
        <v>21</v>
      </c>
      <c r="T29" s="84" t="n">
        <v>25</v>
      </c>
      <c r="U29" s="80" t="inlineStr">
        <is>
          <t>Regular</t>
        </is>
      </c>
      <c r="V29" s="80" t="inlineStr">
        <is>
          <t>Some</t>
        </is>
      </c>
      <c r="W29" s="79" t="inlineStr">
        <is>
          <t>Transport cost increase</t>
        </is>
      </c>
      <c r="X29" s="79" t="inlineStr">
        <is>
          <t>High ice price</t>
        </is>
      </c>
      <c r="Y29" s="79" t="inlineStr">
        <is>
          <t>Rising cost of ice and salt</t>
        </is>
      </c>
      <c r="Z29" s="80" t="inlineStr">
        <is>
          <t>PAIR-M5-03</t>
        </is>
      </c>
      <c r="AA29" s="79" t="n"/>
    </row>
    <row r="30" ht="19.5" customHeight="1" s="45">
      <c r="B30" s="79" t="inlineStr">
        <is>
          <t>M5-R-02</t>
        </is>
      </c>
      <c r="C30" s="80" t="inlineStr">
        <is>
          <t>M5</t>
        </is>
      </c>
      <c r="D30" s="81" t="n">
        <v>46088</v>
      </c>
      <c r="E30" s="82" t="n">
        <v>27</v>
      </c>
      <c r="F30" s="80" t="inlineStr">
        <is>
          <t>Secondary</t>
        </is>
      </c>
      <c r="G30" s="82" t="n">
        <v>11</v>
      </c>
      <c r="H30" s="82" t="n">
        <v>56</v>
      </c>
      <c r="I30" s="83" t="inlineStr">
        <is>
          <t>Kg</t>
        </is>
      </c>
      <c r="J30" s="83" t="n">
        <v>56</v>
      </c>
      <c r="K30" s="83" t="n">
        <v>3</v>
      </c>
      <c r="L30" s="84" t="n">
        <v>300</v>
      </c>
      <c r="M30" s="83" t="n">
        <v>100</v>
      </c>
      <c r="N30" s="80" t="n">
        <v>40</v>
      </c>
      <c r="O30" s="83" t="n">
        <v>7</v>
      </c>
      <c r="P30" s="80" t="inlineStr">
        <is>
          <t>Other</t>
        </is>
      </c>
      <c r="Q30" s="80" t="inlineStr">
        <is>
          <t>Household</t>
        </is>
      </c>
      <c r="R30" s="84" t="n">
        <v>44</v>
      </c>
      <c r="S30" s="84" t="n">
        <v>43</v>
      </c>
      <c r="T30" s="84" t="n">
        <v>13</v>
      </c>
      <c r="U30" s="80" t="inlineStr">
        <is>
          <t>Regular</t>
        </is>
      </c>
      <c r="V30" s="80" t="inlineStr">
        <is>
          <t>Some</t>
        </is>
      </c>
      <c r="W30" s="79" t="inlineStr">
        <is>
          <t>Rising cost of ice and salt</t>
        </is>
      </c>
      <c r="X30" s="79" t="inlineStr">
        <is>
          <t>Irregular electricity and load-shedding</t>
        </is>
      </c>
      <c r="Y30" s="79" t="inlineStr">
        <is>
          <t>Low landings in lean season</t>
        </is>
      </c>
      <c r="Z30" s="80" t="inlineStr">
        <is>
          <t>PAIR-M5-02</t>
        </is>
      </c>
      <c r="AA30" s="79" t="n"/>
    </row>
    <row r="31" ht="19.5" customHeight="1" s="45">
      <c r="B31" s="79" t="inlineStr">
        <is>
          <t>M5-R-03</t>
        </is>
      </c>
      <c r="C31" s="80" t="inlineStr">
        <is>
          <t>M5</t>
        </is>
      </c>
      <c r="D31" s="81" t="n">
        <v>46088</v>
      </c>
      <c r="E31" s="82" t="n">
        <v>50</v>
      </c>
      <c r="F31" s="80" t="inlineStr">
        <is>
          <t>Secondary</t>
        </is>
      </c>
      <c r="G31" s="82" t="n">
        <v>20</v>
      </c>
      <c r="H31" s="82" t="n">
        <v>64</v>
      </c>
      <c r="I31" s="83" t="inlineStr">
        <is>
          <t>Kg</t>
        </is>
      </c>
      <c r="J31" s="83" t="n">
        <v>64</v>
      </c>
      <c r="K31" s="83" t="n">
        <v>3</v>
      </c>
      <c r="L31" s="84" t="n">
        <v>315</v>
      </c>
      <c r="M31" s="83" t="n">
        <v>160</v>
      </c>
      <c r="N31" s="80" t="n">
        <v>45</v>
      </c>
      <c r="O31" s="83" t="n">
        <v>4</v>
      </c>
      <c r="P31" s="80" t="inlineStr">
        <is>
          <t>Aratdar</t>
        </is>
      </c>
      <c r="Q31" s="80" t="inlineStr">
        <is>
          <t>Hotel</t>
        </is>
      </c>
      <c r="R31" s="84" t="n">
        <v>48</v>
      </c>
      <c r="S31" s="84" t="n">
        <v>32</v>
      </c>
      <c r="T31" s="84" t="n">
        <v>20</v>
      </c>
      <c r="U31" s="80" t="inlineStr">
        <is>
          <t>Occasional</t>
        </is>
      </c>
      <c r="V31" s="80" t="inlineStr">
        <is>
          <t>Some</t>
        </is>
      </c>
      <c r="W31" s="79" t="inlineStr">
        <is>
          <t>Unsold fish spoilage loss</t>
        </is>
      </c>
      <c r="X31" s="79" t="inlineStr">
        <is>
          <t>Low landings in lean season</t>
        </is>
      </c>
      <c r="Y31" s="79" t="inlineStr">
        <is>
          <t>High ice price</t>
        </is>
      </c>
      <c r="Z31" s="80" t="n"/>
      <c r="AA31" s="79" t="n"/>
    </row>
    <row r="32" ht="19.5" customHeight="1" s="45">
      <c r="B32" s="79" t="inlineStr">
        <is>
          <t>M5-R-04</t>
        </is>
      </c>
      <c r="C32" s="80" t="inlineStr">
        <is>
          <t>M5</t>
        </is>
      </c>
      <c r="D32" s="81" t="n">
        <v>46088</v>
      </c>
      <c r="E32" s="82" t="n">
        <v>43</v>
      </c>
      <c r="F32" s="80" t="inlineStr">
        <is>
          <t>Illiterate</t>
        </is>
      </c>
      <c r="G32" s="82" t="n">
        <v>14</v>
      </c>
      <c r="H32" s="82" t="n">
        <v>64</v>
      </c>
      <c r="I32" s="83" t="inlineStr">
        <is>
          <t>Kg</t>
        </is>
      </c>
      <c r="J32" s="83" t="n">
        <v>64</v>
      </c>
      <c r="K32" s="83" t="n">
        <v>4</v>
      </c>
      <c r="L32" s="84" t="n">
        <v>350</v>
      </c>
      <c r="M32" s="83" t="n">
        <v>105</v>
      </c>
      <c r="N32" s="80" t="n">
        <v>115</v>
      </c>
      <c r="O32" s="83" t="n">
        <v>8</v>
      </c>
      <c r="P32" s="80" t="inlineStr">
        <is>
          <t>Aratdar</t>
        </is>
      </c>
      <c r="Q32" s="80" t="inlineStr">
        <is>
          <t>Hawker</t>
        </is>
      </c>
      <c r="R32" s="84" t="n">
        <v>63</v>
      </c>
      <c r="S32" s="84" t="n">
        <v>16</v>
      </c>
      <c r="T32" s="84" t="n">
        <v>21</v>
      </c>
      <c r="U32" s="80" t="inlineStr">
        <is>
          <t>Never</t>
        </is>
      </c>
      <c r="V32" s="80" t="inlineStr">
        <is>
          <t>Almost_all</t>
        </is>
      </c>
      <c r="W32" s="79" t="inlineStr">
        <is>
          <t>Rising cost of ice and salt</t>
        </is>
      </c>
      <c r="X32" s="79" t="inlineStr">
        <is>
          <t>Irregular electricity and load-shedding</t>
        </is>
      </c>
      <c r="Y32" s="79" t="inlineStr">
        <is>
          <t>Transport cost increase</t>
        </is>
      </c>
      <c r="Z32" s="80" t="inlineStr">
        <is>
          <t>PAIR-M5-01</t>
        </is>
      </c>
      <c r="AA32" s="79" t="n"/>
    </row>
    <row r="33" ht="19.5" customHeight="1" s="45">
      <c r="B33" s="79" t="inlineStr">
        <is>
          <t>M5-R-05</t>
        </is>
      </c>
      <c r="C33" s="80" t="inlineStr">
        <is>
          <t>M5</t>
        </is>
      </c>
      <c r="D33" s="81" t="n">
        <v>46088</v>
      </c>
      <c r="E33" s="82" t="n">
        <v>35</v>
      </c>
      <c r="F33" s="80" t="inlineStr">
        <is>
          <t>Primary</t>
        </is>
      </c>
      <c r="G33" s="82" t="n">
        <v>8</v>
      </c>
      <c r="H33" s="82" t="n">
        <v>115</v>
      </c>
      <c r="I33" s="83" t="inlineStr">
        <is>
          <t>Kg</t>
        </is>
      </c>
      <c r="J33" s="83" t="n">
        <v>115</v>
      </c>
      <c r="K33" s="83" t="n">
        <v>6</v>
      </c>
      <c r="L33" s="84" t="n">
        <v>110</v>
      </c>
      <c r="M33" s="83" t="n">
        <v>165</v>
      </c>
      <c r="N33" s="80" t="n">
        <v>135</v>
      </c>
      <c r="O33" s="83" t="n">
        <v>8</v>
      </c>
      <c r="P33" s="80" t="inlineStr">
        <is>
          <t>Aratdar</t>
        </is>
      </c>
      <c r="Q33" s="80" t="inlineStr">
        <is>
          <t>Household</t>
        </is>
      </c>
      <c r="R33" s="84" t="n">
        <v>63</v>
      </c>
      <c r="S33" s="84" t="n">
        <v>30</v>
      </c>
      <c r="T33" s="84" t="n">
        <v>7</v>
      </c>
      <c r="U33" s="80" t="inlineStr">
        <is>
          <t>Occasional</t>
        </is>
      </c>
      <c r="V33" s="80" t="inlineStr">
        <is>
          <t>Some</t>
        </is>
      </c>
      <c r="W33" s="79" t="inlineStr">
        <is>
          <t>Rising toll and lease burden</t>
        </is>
      </c>
      <c r="X33" s="79" t="inlineStr">
        <is>
          <t>Day-to-day price volatility</t>
        </is>
      </c>
      <c r="Y33" s="79" t="inlineStr">
        <is>
          <t>Unsold fish spoilage loss</t>
        </is>
      </c>
      <c r="Z33" s="80" t="n"/>
      <c r="AA33" s="79" t="n"/>
    </row>
    <row r="34" ht="19.5" customHeight="1" s="45">
      <c r="B34" s="79" t="inlineStr">
        <is>
          <t>M5-R-06</t>
        </is>
      </c>
      <c r="C34" s="80" t="inlineStr">
        <is>
          <t>M5</t>
        </is>
      </c>
      <c r="D34" s="81" t="n"/>
      <c r="E34" s="82" t="n"/>
      <c r="F34" s="80" t="n"/>
      <c r="G34" s="82" t="n"/>
      <c r="H34" s="82" t="n"/>
      <c r="I34" s="83" t="n"/>
      <c r="J34" s="83" t="n"/>
      <c r="K34" s="83" t="n"/>
      <c r="L34" s="84" t="n"/>
      <c r="M34" s="83" t="n"/>
      <c r="N34" s="80" t="n"/>
      <c r="O34" s="83" t="n"/>
      <c r="P34" s="80" t="n"/>
      <c r="Q34" s="80" t="n"/>
      <c r="R34" s="84" t="n"/>
      <c r="S34" s="84" t="n"/>
      <c r="T34" s="84" t="n"/>
      <c r="U34" s="80" t="n"/>
      <c r="V34" s="80" t="n"/>
      <c r="W34" s="79" t="n"/>
      <c r="X34" s="79" t="n"/>
      <c r="Y34" s="79" t="n"/>
      <c r="Z34" s="80" t="n"/>
      <c r="AA34" s="79" t="n"/>
    </row>
    <row r="35" ht="19.5" customHeight="1" s="45">
      <c r="B35" s="79" t="inlineStr">
        <is>
          <t>M6-R-01</t>
        </is>
      </c>
      <c r="C35" s="80" t="inlineStr">
        <is>
          <t>M6</t>
        </is>
      </c>
      <c r="D35" s="81" t="n">
        <v>46084</v>
      </c>
      <c r="E35" s="82" t="n">
        <v>47</v>
      </c>
      <c r="F35" s="80" t="inlineStr">
        <is>
          <t>Higher_Secondary</t>
        </is>
      </c>
      <c r="G35" s="82" t="n">
        <v>28</v>
      </c>
      <c r="H35" s="82" t="n">
        <v>56</v>
      </c>
      <c r="I35" s="83" t="inlineStr">
        <is>
          <t>Kg</t>
        </is>
      </c>
      <c r="J35" s="83" t="n">
        <v>56</v>
      </c>
      <c r="K35" s="83" t="n">
        <v>8</v>
      </c>
      <c r="L35" s="84" t="n">
        <v>80</v>
      </c>
      <c r="M35" s="83" t="n">
        <v>100</v>
      </c>
      <c r="N35" s="80" t="n">
        <v>125</v>
      </c>
      <c r="O35" s="83" t="n">
        <v>3</v>
      </c>
      <c r="P35" s="80" t="inlineStr">
        <is>
          <t>Aratdar</t>
        </is>
      </c>
      <c r="Q35" s="80" t="inlineStr">
        <is>
          <t>Household</t>
        </is>
      </c>
      <c r="R35" s="84" t="n">
        <v>48</v>
      </c>
      <c r="S35" s="84" t="n">
        <v>22</v>
      </c>
      <c r="T35" s="84" t="n">
        <v>30</v>
      </c>
      <c r="U35" s="80" t="inlineStr">
        <is>
          <t>Occasional</t>
        </is>
      </c>
      <c r="V35" s="80" t="inlineStr">
        <is>
          <t>Some</t>
        </is>
      </c>
      <c r="W35" s="79" t="inlineStr">
        <is>
          <t>Transport cost increase</t>
        </is>
      </c>
      <c r="X35" s="79" t="inlineStr">
        <is>
          <t>Day-to-day price volatility</t>
        </is>
      </c>
      <c r="Y35" s="79" t="inlineStr">
        <is>
          <t>Rising cost of ice and salt</t>
        </is>
      </c>
      <c r="Z35" s="80" t="inlineStr">
        <is>
          <t>PAIR-M6-01</t>
        </is>
      </c>
      <c r="AA35" s="79" t="n"/>
    </row>
    <row r="36" ht="19.5" customHeight="1" s="45">
      <c r="B36" s="79" t="inlineStr">
        <is>
          <t>M6-R-02</t>
        </is>
      </c>
      <c r="C36" s="80" t="inlineStr">
        <is>
          <t>M6</t>
        </is>
      </c>
      <c r="D36" s="81" t="n">
        <v>46084</v>
      </c>
      <c r="E36" s="82" t="n">
        <v>32</v>
      </c>
      <c r="F36" s="80" t="inlineStr">
        <is>
          <t>Primary</t>
        </is>
      </c>
      <c r="G36" s="82" t="n">
        <v>12</v>
      </c>
      <c r="H36" s="82" t="n">
        <v>2.8</v>
      </c>
      <c r="I36" s="83" t="inlineStr">
        <is>
          <t>Maund</t>
        </is>
      </c>
      <c r="J36" s="83" t="n">
        <v>104.5</v>
      </c>
      <c r="K36" s="83" t="n">
        <v>6</v>
      </c>
      <c r="L36" s="84" t="n">
        <v>85</v>
      </c>
      <c r="M36" s="83" t="n">
        <v>185</v>
      </c>
      <c r="N36" s="80" t="n">
        <v>80</v>
      </c>
      <c r="O36" s="83" t="n">
        <v>7</v>
      </c>
      <c r="P36" s="80" t="inlineStr">
        <is>
          <t>Fisherman</t>
        </is>
      </c>
      <c r="Q36" s="80" t="inlineStr">
        <is>
          <t>Household</t>
        </is>
      </c>
      <c r="R36" s="84" t="n">
        <v>67</v>
      </c>
      <c r="S36" s="84" t="n">
        <v>28</v>
      </c>
      <c r="T36" s="84" t="n">
        <v>5</v>
      </c>
      <c r="U36" s="80" t="inlineStr">
        <is>
          <t>Regular</t>
        </is>
      </c>
      <c r="V36" s="80" t="inlineStr">
        <is>
          <t>No</t>
        </is>
      </c>
      <c r="W36" s="79" t="inlineStr">
        <is>
          <t>Transport cost increase</t>
        </is>
      </c>
      <c r="X36" s="79" t="inlineStr">
        <is>
          <t>High ice price</t>
        </is>
      </c>
      <c r="Y36" s="79" t="inlineStr">
        <is>
          <t>Unsold fish spoilage loss</t>
        </is>
      </c>
      <c r="Z36" s="80" t="n"/>
      <c r="AA36" s="79" t="n"/>
    </row>
    <row r="37" ht="19.5" customHeight="1" s="45">
      <c r="B37" s="79" t="inlineStr">
        <is>
          <t>M6-R-03</t>
        </is>
      </c>
      <c r="C37" s="80" t="inlineStr">
        <is>
          <t>M6</t>
        </is>
      </c>
      <c r="D37" s="81" t="n">
        <v>46084</v>
      </c>
      <c r="E37" s="82" t="n">
        <v>38</v>
      </c>
      <c r="F37" s="80" t="inlineStr">
        <is>
          <t>Secondary</t>
        </is>
      </c>
      <c r="G37" s="82" t="n">
        <v>12</v>
      </c>
      <c r="H37" s="82" t="n">
        <v>116</v>
      </c>
      <c r="I37" s="83" t="inlineStr">
        <is>
          <t>Kg</t>
        </is>
      </c>
      <c r="J37" s="83" t="n">
        <v>116</v>
      </c>
      <c r="K37" s="83" t="n">
        <v>4</v>
      </c>
      <c r="L37" s="84" t="n">
        <v>70</v>
      </c>
      <c r="M37" s="83" t="n">
        <v>135</v>
      </c>
      <c r="N37" s="80" t="n">
        <v>60</v>
      </c>
      <c r="O37" s="83" t="n">
        <v>5</v>
      </c>
      <c r="P37" s="80" t="inlineStr">
        <is>
          <t>Aratdar</t>
        </is>
      </c>
      <c r="Q37" s="80" t="inlineStr">
        <is>
          <t>Other</t>
        </is>
      </c>
      <c r="R37" s="84" t="n">
        <v>62</v>
      </c>
      <c r="S37" s="84" t="n">
        <v>15</v>
      </c>
      <c r="T37" s="84" t="n">
        <v>23</v>
      </c>
      <c r="U37" s="80" t="inlineStr">
        <is>
          <t>Regular</t>
        </is>
      </c>
      <c r="V37" s="80" t="inlineStr">
        <is>
          <t>Some</t>
        </is>
      </c>
      <c r="W37" s="79" t="inlineStr">
        <is>
          <t>Irregular electricity and load-shedding</t>
        </is>
      </c>
      <c r="X37" s="79" t="inlineStr">
        <is>
          <t>Transport cost increase</t>
        </is>
      </c>
      <c r="Y37" s="79" t="inlineStr">
        <is>
          <t>Delayed credit recovery</t>
        </is>
      </c>
      <c r="Z37" s="80" t="n"/>
      <c r="AA37" s="79" t="n"/>
    </row>
    <row r="38" ht="19.5" customHeight="1" s="45">
      <c r="B38" s="79" t="inlineStr">
        <is>
          <t>M6-R-04</t>
        </is>
      </c>
      <c r="C38" s="80" t="inlineStr">
        <is>
          <t>M6</t>
        </is>
      </c>
      <c r="D38" s="81" t="n">
        <v>46084</v>
      </c>
      <c r="E38" s="82" t="n">
        <v>47</v>
      </c>
      <c r="F38" s="80" t="inlineStr">
        <is>
          <t>Illiterate</t>
        </is>
      </c>
      <c r="G38" s="82" t="n">
        <v>16</v>
      </c>
      <c r="H38" s="82" t="n">
        <v>44</v>
      </c>
      <c r="I38" s="83" t="inlineStr">
        <is>
          <t>Kg</t>
        </is>
      </c>
      <c r="J38" s="83" t="n">
        <v>44</v>
      </c>
      <c r="K38" s="83" t="n">
        <v>2</v>
      </c>
      <c r="L38" s="84" t="n">
        <v>180</v>
      </c>
      <c r="M38" s="83" t="n">
        <v>250</v>
      </c>
      <c r="N38" s="80" t="n">
        <v>30</v>
      </c>
      <c r="O38" s="83" t="n">
        <v>3</v>
      </c>
      <c r="P38" s="80" t="inlineStr">
        <is>
          <t>Faria</t>
        </is>
      </c>
      <c r="Q38" s="80" t="inlineStr">
        <is>
          <t>Household</t>
        </is>
      </c>
      <c r="R38" s="84" t="n">
        <v>64</v>
      </c>
      <c r="S38" s="84" t="n">
        <v>30</v>
      </c>
      <c r="T38" s="84" t="n">
        <v>6</v>
      </c>
      <c r="U38" s="80" t="inlineStr">
        <is>
          <t>Never</t>
        </is>
      </c>
      <c r="V38" s="80" t="inlineStr">
        <is>
          <t>Some</t>
        </is>
      </c>
      <c r="W38" s="79" t="inlineStr">
        <is>
          <t>High ice price</t>
        </is>
      </c>
      <c r="X38" s="79" t="inlineStr">
        <is>
          <t>Supply syndicate control</t>
        </is>
      </c>
      <c r="Y38" s="79" t="inlineStr">
        <is>
          <t>Rising toll and lease burden</t>
        </is>
      </c>
      <c r="Z38" s="80" t="inlineStr">
        <is>
          <t>PAIR-M6-02</t>
        </is>
      </c>
      <c r="AA38" s="79" t="n"/>
    </row>
    <row r="39" ht="19.5" customHeight="1" s="45">
      <c r="B39" s="79" t="inlineStr">
        <is>
          <t>M6-R-05</t>
        </is>
      </c>
      <c r="C39" s="80" t="inlineStr">
        <is>
          <t>M6</t>
        </is>
      </c>
      <c r="D39" s="81" t="n">
        <v>46084</v>
      </c>
      <c r="E39" s="82" t="n">
        <v>50</v>
      </c>
      <c r="F39" s="80" t="inlineStr">
        <is>
          <t>Secondary</t>
        </is>
      </c>
      <c r="G39" s="82" t="n">
        <v>7</v>
      </c>
      <c r="H39" s="82" t="n">
        <v>135</v>
      </c>
      <c r="I39" s="83" t="inlineStr">
        <is>
          <t>Kg</t>
        </is>
      </c>
      <c r="J39" s="83" t="n">
        <v>135</v>
      </c>
      <c r="K39" s="83" t="n">
        <v>7</v>
      </c>
      <c r="L39" s="84" t="n">
        <v>295</v>
      </c>
      <c r="M39" s="83" t="n">
        <v>245</v>
      </c>
      <c r="N39" s="80" t="n">
        <v>70</v>
      </c>
      <c r="O39" s="83" t="n">
        <v>8</v>
      </c>
      <c r="P39" s="80" t="inlineStr">
        <is>
          <t>Fisherman</t>
        </is>
      </c>
      <c r="Q39" s="80" t="inlineStr">
        <is>
          <t>Hotel</t>
        </is>
      </c>
      <c r="R39" s="84" t="n">
        <v>59</v>
      </c>
      <c r="S39" s="84" t="n">
        <v>36</v>
      </c>
      <c r="T39" s="84" t="n">
        <v>5</v>
      </c>
      <c r="U39" s="80" t="inlineStr">
        <is>
          <t>Occasional</t>
        </is>
      </c>
      <c r="V39" s="80" t="inlineStr">
        <is>
          <t>Almost_all</t>
        </is>
      </c>
      <c r="W39" s="79" t="inlineStr">
        <is>
          <t>Transport cost increase</t>
        </is>
      </c>
      <c r="X39" s="79" t="inlineStr">
        <is>
          <t>Day-to-day price volatility</t>
        </is>
      </c>
      <c r="Y39" s="79" t="inlineStr">
        <is>
          <t>Rising cost of ice and salt</t>
        </is>
      </c>
      <c r="Z39" s="80" t="n"/>
      <c r="AA39" s="79" t="n"/>
    </row>
    <row r="40" ht="19.5" customHeight="1" s="45">
      <c r="B40" s="79" t="inlineStr">
        <is>
          <t>M6-R-06</t>
        </is>
      </c>
      <c r="C40" s="80" t="inlineStr">
        <is>
          <t>M6</t>
        </is>
      </c>
      <c r="D40" s="81" t="n"/>
      <c r="E40" s="82" t="n"/>
      <c r="F40" s="80" t="n"/>
      <c r="G40" s="82" t="n"/>
      <c r="H40" s="82" t="n"/>
      <c r="I40" s="83" t="n"/>
      <c r="J40" s="83" t="n"/>
      <c r="K40" s="83" t="n"/>
      <c r="L40" s="84" t="n"/>
      <c r="M40" s="83" t="n"/>
      <c r="N40" s="80" t="n"/>
      <c r="O40" s="83" t="n"/>
      <c r="P40" s="80" t="n"/>
      <c r="Q40" s="80" t="n"/>
      <c r="R40" s="84" t="n"/>
      <c r="S40" s="84" t="n"/>
      <c r="T40" s="84" t="n"/>
      <c r="U40" s="80" t="n"/>
      <c r="V40" s="80" t="n"/>
      <c r="W40" s="79" t="n"/>
      <c r="X40" s="79" t="n"/>
      <c r="Y40" s="79" t="n"/>
      <c r="Z40" s="80" t="n"/>
      <c r="AA40" s="79" t="n"/>
    </row>
  </sheetData>
  <autoFilter ref="B4:AA40"/>
  <mergeCells count="1">
    <mergeCell ref="B2:AA2"/>
  </mergeCells>
  <dataValidations count="11">
    <dataValidation sqref="E5:E40" showDropDown="0" showInputMessage="0" showErrorMessage="1" allowBlank="1" type="whole" errorStyle="stop" operator="greaterThanOrEqual">
      <formula1>15</formula1>
      <formula2>0</formula2>
    </dataValidation>
    <dataValidation sqref="K5:K40" showDropDown="0" showInputMessage="0" showErrorMessage="1" allowBlank="1" type="whole" errorStyle="stop" operator="greaterThanOrEqual">
      <formula1>1</formula1>
      <formula2>0</formula2>
    </dataValidation>
    <dataValidation sqref="H5:H40 L5:N40" showDropDown="0" showInputMessage="0" showErrorMessage="1" allowBlank="1" type="decimal" errorStyle="stop" operator="greaterThanOrEqual">
      <formula1>0</formula1>
      <formula2>0</formula2>
    </dataValidation>
    <dataValidation sqref="O5:O40 R5:T40" showDropDown="0" showInputMessage="0" showErrorMessage="1" allowBlank="1" type="whole" errorStyle="stop" operator="greaterThanOrEqual">
      <formula1>0</formula1>
      <formula2>0</formula2>
    </dataValidation>
    <dataValidation sqref="C5:C40" showDropDown="0" showInputMessage="0" showErrorMessage="1" allowBlank="1" errorTitle="Invalid entry" error="তালিকা থেকে নির্বাচন করুন / Choose from the list" type="list" errorStyle="stop" operator="between">
      <formula1>"M1,M2,M3,M4,M5,M6"</formula1>
      <formula2>0</formula2>
    </dataValidation>
    <dataValidation sqref="F5:F40" showDropDown="0" showInputMessage="0" showErrorMessage="1" allowBlank="1" errorTitle="Invalid entry" error="তালিকা থেকে নির্বাচন করুন / Choose from the list" type="list" errorStyle="stop" operator="between">
      <formula1>"Illiterate,Primary,Secondary,Higher_Secondary"</formula1>
      <formula2>0</formula2>
    </dataValidation>
    <dataValidation sqref="I5:I40" showDropDown="0" showInputMessage="0" showErrorMessage="1" allowBlank="1" errorTitle="Invalid entry" error="তালিকা থেকে নির্বাচন করুন / Choose from the list" type="list" errorStyle="stop" operator="between">
      <formula1>"Maund,Kg"</formula1>
      <formula2>0</formula2>
    </dataValidation>
    <dataValidation sqref="P5:P40" showDropDown="0" showInputMessage="0" showErrorMessage="1" allowBlank="1" errorTitle="Invalid entry" error="তালিকা থেকে নির্বাচন করুন / Choose from the list" type="list" errorStyle="stop" operator="between">
      <formula1>"Fisherman,Faria,Aratdar,Other"</formula1>
      <formula2>0</formula2>
    </dataValidation>
    <dataValidation sqref="Q5:Q40" showDropDown="0" showInputMessage="0" showErrorMessage="1" allowBlank="1" errorTitle="Invalid entry" error="তালিকা থেকে নির্বাচন করুন / Choose from the list" type="list" errorStyle="stop" operator="between">
      <formula1>"Household,Hawker,Hotel,Institutional,Other"</formula1>
      <formula2>0</formula2>
    </dataValidation>
    <dataValidation sqref="U5:U40" showDropDown="0" showInputMessage="0" showErrorMessage="1" allowBlank="1" errorTitle="Invalid entry" error="তালিকা থেকে নির্বাচন করুন / Choose from the list" type="list" errorStyle="stop" operator="between">
      <formula1>"Regular,Occasional,Never"</formula1>
      <formula2>0</formula2>
    </dataValidation>
    <dataValidation sqref="V5:V40" showDropDown="0" showInputMessage="0" showErrorMessage="1" allowBlank="1" errorTitle="Invalid entry" error="তালিকা থেকে নির্বাচন করুন / Choose from the list" type="list" errorStyle="stop" operator="between">
      <formula1>"Almost_all,Some,No"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filterMode="0">
    <tabColor rgb="FF1B7D46"/>
    <outlinePr summaryBelow="1" summaryRight="1"/>
    <pageSetUpPr fitToPage="0"/>
  </sheetPr>
  <dimension ref="B2:L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328125" defaultRowHeight="15" zeroHeight="0" outlineLevelRow="0"/>
  <cols>
    <col width="3" customWidth="1" style="44" min="1" max="1"/>
    <col width="12" customWidth="1" style="44" min="2" max="2"/>
    <col width="8" customWidth="1" style="44" min="3" max="3"/>
    <col width="13" customWidth="1" style="44" min="4" max="4"/>
    <col width="12" customWidth="1" style="44" min="5" max="6"/>
    <col width="13" customWidth="1" style="44" min="7" max="7"/>
    <col width="14" customWidth="1" style="44" min="8" max="8"/>
    <col width="15" customWidth="1" style="44" min="9" max="9"/>
    <col width="22" customWidth="1" style="44" min="10" max="10"/>
    <col width="11" customWidth="1" style="44" min="11" max="11"/>
    <col width="24" customWidth="1" style="44" min="12" max="12"/>
  </cols>
  <sheetData>
    <row r="2" ht="31.5" customHeight="1" s="45">
      <c r="B2" s="46" t="inlineStr">
        <is>
          <t>Form C - Fish Buyer Exit Slip (one respondent per row)</t>
        </is>
      </c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8" t="n"/>
    </row>
    <row r="3" ht="7.5" customHeight="1" s="45">
      <c r="B3" s="50" t="n"/>
      <c r="C3" s="50" t="n"/>
      <c r="D3" s="50" t="n"/>
      <c r="E3" s="50" t="n"/>
      <c r="F3" s="50" t="n"/>
      <c r="G3" s="50" t="n"/>
      <c r="H3" s="50" t="n"/>
      <c r="I3" s="50" t="n"/>
      <c r="J3" s="50" t="n"/>
      <c r="K3" s="50" t="n"/>
      <c r="L3" s="50" t="n"/>
    </row>
    <row r="4" ht="27.75" customHeight="1" s="45">
      <c r="B4" s="57" t="inlineStr">
        <is>
          <t>Respondent_ID</t>
        </is>
      </c>
      <c r="C4" s="57" t="inlineStr">
        <is>
          <t>Market</t>
        </is>
      </c>
      <c r="D4" s="57" t="inlineStr">
        <is>
          <t>Interview_Date</t>
        </is>
      </c>
      <c r="E4" s="57" t="inlineStr">
        <is>
          <t>Interview_time</t>
        </is>
      </c>
      <c r="F4" s="57" t="inlineStr">
        <is>
          <t>Consent_given</t>
        </is>
      </c>
      <c r="G4" s="57" t="inlineStr">
        <is>
          <t>Visit_frequency</t>
        </is>
      </c>
      <c r="H4" s="57" t="inlineStr">
        <is>
          <t>Visit_interval_days</t>
        </is>
      </c>
      <c r="I4" s="57" t="inlineStr">
        <is>
          <t>Payment_method</t>
        </is>
      </c>
      <c r="J4" s="57" t="inlineStr">
        <is>
          <t>Main_reason_choosing_arat</t>
        </is>
      </c>
      <c r="K4" s="57" t="inlineStr">
        <is>
          <t>Pair_ID</t>
        </is>
      </c>
      <c r="L4" s="57" t="inlineStr">
        <is>
          <t>Notes</t>
        </is>
      </c>
    </row>
    <row r="5" ht="19.5" customHeight="1" s="45">
      <c r="B5" s="73" t="inlineStr">
        <is>
          <t>M1-C-01</t>
        </is>
      </c>
      <c r="C5" s="74" t="inlineStr">
        <is>
          <t>M1</t>
        </is>
      </c>
      <c r="D5" s="65" t="n">
        <v>46084</v>
      </c>
      <c r="E5" s="67" t="inlineStr">
        <is>
          <t>09:45</t>
        </is>
      </c>
      <c r="F5" s="67" t="inlineStr">
        <is>
          <t>Yes</t>
        </is>
      </c>
      <c r="G5" s="67" t="inlineStr">
        <is>
          <t>Daily</t>
        </is>
      </c>
      <c r="H5" s="69" t="n">
        <v>1</v>
      </c>
      <c r="I5" s="67" t="inlineStr">
        <is>
          <t>Cash</t>
        </is>
      </c>
      <c r="J5" s="67" t="inlineStr">
        <is>
          <t>Purity</t>
        </is>
      </c>
      <c r="K5" s="67" t="n"/>
      <c r="L5" s="68" t="n"/>
    </row>
    <row r="6" ht="19.5" customHeight="1" s="45">
      <c r="B6" s="73" t="inlineStr">
        <is>
          <t>M1-C-02</t>
        </is>
      </c>
      <c r="C6" s="74" t="inlineStr">
        <is>
          <t>M1</t>
        </is>
      </c>
      <c r="D6" s="65" t="n">
        <v>46084</v>
      </c>
      <c r="E6" s="67" t="inlineStr">
        <is>
          <t>12:05</t>
        </is>
      </c>
      <c r="F6" s="67" t="inlineStr">
        <is>
          <t>Yes</t>
        </is>
      </c>
      <c r="G6" s="67" t="inlineStr">
        <is>
          <t>Weekly</t>
        </is>
      </c>
      <c r="H6" s="69" t="n">
        <v>7</v>
      </c>
      <c r="I6" s="67" t="inlineStr">
        <is>
          <t>Nagad_app</t>
        </is>
      </c>
      <c r="J6" s="67" t="inlineStr">
        <is>
          <t>Purity</t>
        </is>
      </c>
      <c r="K6" s="67" t="n"/>
      <c r="L6" s="68" t="n"/>
    </row>
    <row r="7" ht="19.5" customHeight="1" s="45">
      <c r="B7" s="73" t="inlineStr">
        <is>
          <t>M1-C-03</t>
        </is>
      </c>
      <c r="C7" s="74" t="inlineStr">
        <is>
          <t>M1</t>
        </is>
      </c>
      <c r="D7" s="65" t="n">
        <v>46084</v>
      </c>
      <c r="E7" s="67" t="inlineStr">
        <is>
          <t>09:55</t>
        </is>
      </c>
      <c r="F7" s="67" t="inlineStr">
        <is>
          <t>Yes</t>
        </is>
      </c>
      <c r="G7" s="67" t="inlineStr">
        <is>
          <t>Weekly</t>
        </is>
      </c>
      <c r="H7" s="69" t="n">
        <v>5</v>
      </c>
      <c r="I7" s="67" t="inlineStr">
        <is>
          <t>Credit</t>
        </is>
      </c>
      <c r="J7" s="67" t="inlineStr">
        <is>
          <t>Purity</t>
        </is>
      </c>
      <c r="K7" s="67" t="n"/>
      <c r="L7" s="68" t="n"/>
    </row>
    <row r="8" ht="19.5" customHeight="1" s="45">
      <c r="B8" s="73" t="inlineStr">
        <is>
          <t>M1-C-04</t>
        </is>
      </c>
      <c r="C8" s="74" t="inlineStr">
        <is>
          <t>M1</t>
        </is>
      </c>
      <c r="D8" s="65" t="n">
        <v>46084</v>
      </c>
      <c r="E8" s="67" t="inlineStr">
        <is>
          <t>09:30</t>
        </is>
      </c>
      <c r="F8" s="67" t="inlineStr">
        <is>
          <t>Yes</t>
        </is>
      </c>
      <c r="G8" s="67" t="inlineStr">
        <is>
          <t>Weekly</t>
        </is>
      </c>
      <c r="H8" s="69" t="n">
        <v>5</v>
      </c>
      <c r="I8" s="67" t="inlineStr">
        <is>
          <t>Cash</t>
        </is>
      </c>
      <c r="J8" s="67" t="inlineStr">
        <is>
          <t>Price</t>
        </is>
      </c>
      <c r="K8" s="67" t="n"/>
      <c r="L8" s="68" t="n"/>
    </row>
    <row r="9" ht="19.5" customHeight="1" s="45">
      <c r="B9" s="73" t="inlineStr">
        <is>
          <t>M1-C-05</t>
        </is>
      </c>
      <c r="C9" s="74" t="inlineStr">
        <is>
          <t>M1</t>
        </is>
      </c>
      <c r="D9" s="65" t="n">
        <v>46084</v>
      </c>
      <c r="E9" s="67" t="inlineStr">
        <is>
          <t>12:05</t>
        </is>
      </c>
      <c r="F9" s="67" t="inlineStr">
        <is>
          <t>Yes</t>
        </is>
      </c>
      <c r="G9" s="67" t="inlineStr">
        <is>
          <t>Weekly</t>
        </is>
      </c>
      <c r="H9" s="69" t="n">
        <v>7</v>
      </c>
      <c r="I9" s="67" t="inlineStr">
        <is>
          <t>bKash</t>
        </is>
      </c>
      <c r="J9" s="67" t="inlineStr">
        <is>
          <t>Price</t>
        </is>
      </c>
      <c r="K9" s="67" t="n"/>
      <c r="L9" s="68" t="n"/>
    </row>
    <row r="10" ht="19.5" customHeight="1" s="45">
      <c r="B10" s="73" t="inlineStr">
        <is>
          <t>M1-C-06</t>
        </is>
      </c>
      <c r="C10" s="74" t="inlineStr">
        <is>
          <t>M1</t>
        </is>
      </c>
      <c r="D10" s="65" t="n"/>
      <c r="E10" s="67" t="n"/>
      <c r="F10" s="67" t="n"/>
      <c r="G10" s="67" t="n"/>
      <c r="H10" s="69" t="n"/>
      <c r="I10" s="67" t="n"/>
      <c r="J10" s="67" t="n"/>
      <c r="K10" s="67" t="n"/>
      <c r="L10" s="68" t="n"/>
    </row>
    <row r="11" ht="19.5" customHeight="1" s="45">
      <c r="B11" s="73" t="inlineStr">
        <is>
          <t>M2-C-01</t>
        </is>
      </c>
      <c r="C11" s="74" t="inlineStr">
        <is>
          <t>M2</t>
        </is>
      </c>
      <c r="D11" s="65" t="n">
        <v>46085</v>
      </c>
      <c r="E11" s="67" t="inlineStr">
        <is>
          <t>12:25</t>
        </is>
      </c>
      <c r="F11" s="67" t="inlineStr">
        <is>
          <t>Yes</t>
        </is>
      </c>
      <c r="G11" s="67" t="inlineStr">
        <is>
          <t>Daily</t>
        </is>
      </c>
      <c r="H11" s="69" t="n">
        <v>2</v>
      </c>
      <c r="I11" s="67" t="inlineStr">
        <is>
          <t>Cash</t>
        </is>
      </c>
      <c r="J11" s="67" t="inlineStr">
        <is>
          <t>Purity</t>
        </is>
      </c>
      <c r="K11" s="67" t="n"/>
      <c r="L11" s="68" t="n"/>
    </row>
    <row r="12" ht="19.5" customHeight="1" s="45">
      <c r="B12" s="73" t="inlineStr">
        <is>
          <t>M2-C-02</t>
        </is>
      </c>
      <c r="C12" s="74" t="inlineStr">
        <is>
          <t>M2</t>
        </is>
      </c>
      <c r="D12" s="65" t="n">
        <v>46085</v>
      </c>
      <c r="E12" s="67" t="inlineStr">
        <is>
          <t>11:50</t>
        </is>
      </c>
      <c r="F12" s="67" t="inlineStr">
        <is>
          <t>Yes</t>
        </is>
      </c>
      <c r="G12" s="67" t="inlineStr">
        <is>
          <t>Weekly</t>
        </is>
      </c>
      <c r="H12" s="69" t="n">
        <v>7</v>
      </c>
      <c r="I12" s="67" t="inlineStr">
        <is>
          <t>Cash</t>
        </is>
      </c>
      <c r="J12" s="67" t="inlineStr">
        <is>
          <t>Proximity</t>
        </is>
      </c>
      <c r="K12" s="67" t="n"/>
      <c r="L12" s="68" t="n"/>
    </row>
    <row r="13" ht="19.5" customHeight="1" s="45">
      <c r="B13" s="73" t="inlineStr">
        <is>
          <t>M2-C-03</t>
        </is>
      </c>
      <c r="C13" s="74" t="inlineStr">
        <is>
          <t>M2</t>
        </is>
      </c>
      <c r="D13" s="65" t="n">
        <v>46085</v>
      </c>
      <c r="E13" s="67" t="inlineStr">
        <is>
          <t>09:15</t>
        </is>
      </c>
      <c r="F13" s="67" t="inlineStr">
        <is>
          <t>Yes</t>
        </is>
      </c>
      <c r="G13" s="67" t="inlineStr">
        <is>
          <t>Daily</t>
        </is>
      </c>
      <c r="H13" s="69" t="n">
        <v>2</v>
      </c>
      <c r="I13" s="67" t="inlineStr">
        <is>
          <t>bKash</t>
        </is>
      </c>
      <c r="J13" s="67" t="inlineStr">
        <is>
          <t>Familiar_shop</t>
        </is>
      </c>
      <c r="K13" s="67" t="n"/>
      <c r="L13" s="68" t="n"/>
    </row>
    <row r="14" ht="19.5" customHeight="1" s="45">
      <c r="B14" s="73" t="inlineStr">
        <is>
          <t>M2-C-04</t>
        </is>
      </c>
      <c r="C14" s="74" t="inlineStr">
        <is>
          <t>M2</t>
        </is>
      </c>
      <c r="D14" s="65" t="n">
        <v>46085</v>
      </c>
      <c r="E14" s="67" t="inlineStr">
        <is>
          <t>09:25</t>
        </is>
      </c>
      <c r="F14" s="67" t="inlineStr">
        <is>
          <t>Yes</t>
        </is>
      </c>
      <c r="G14" s="67" t="inlineStr">
        <is>
          <t>Weekly</t>
        </is>
      </c>
      <c r="H14" s="69" t="n">
        <v>7</v>
      </c>
      <c r="I14" s="67" t="inlineStr">
        <is>
          <t>Nagad_app</t>
        </is>
      </c>
      <c r="J14" s="67" t="inlineStr">
        <is>
          <t>Purity</t>
        </is>
      </c>
      <c r="K14" s="67" t="n"/>
      <c r="L14" s="68" t="n"/>
    </row>
    <row r="15" ht="19.5" customHeight="1" s="45">
      <c r="B15" s="73" t="inlineStr">
        <is>
          <t>M2-C-05</t>
        </is>
      </c>
      <c r="C15" s="74" t="inlineStr">
        <is>
          <t>M2</t>
        </is>
      </c>
      <c r="D15" s="65" t="n">
        <v>46085</v>
      </c>
      <c r="E15" s="67" t="inlineStr">
        <is>
          <t>08:45</t>
        </is>
      </c>
      <c r="F15" s="67" t="inlineStr">
        <is>
          <t>Yes</t>
        </is>
      </c>
      <c r="G15" s="67" t="inlineStr">
        <is>
          <t>Daily</t>
        </is>
      </c>
      <c r="H15" s="69" t="n">
        <v>2</v>
      </c>
      <c r="I15" s="67" t="inlineStr">
        <is>
          <t>Cash</t>
        </is>
      </c>
      <c r="J15" s="67" t="inlineStr">
        <is>
          <t>Price</t>
        </is>
      </c>
      <c r="K15" s="67" t="n"/>
      <c r="L15" s="68" t="n"/>
    </row>
    <row r="16" ht="19.5" customHeight="1" s="45">
      <c r="B16" s="73" t="inlineStr">
        <is>
          <t>M2-C-06</t>
        </is>
      </c>
      <c r="C16" s="74" t="inlineStr">
        <is>
          <t>M2</t>
        </is>
      </c>
      <c r="D16" s="65" t="n"/>
      <c r="E16" s="67" t="n"/>
      <c r="F16" s="67" t="n"/>
      <c r="G16" s="67" t="n"/>
      <c r="H16" s="69" t="n"/>
      <c r="I16" s="67" t="n"/>
      <c r="J16" s="67" t="n"/>
      <c r="K16" s="67" t="n"/>
      <c r="L16" s="68" t="n"/>
    </row>
    <row r="17" ht="19.5" customHeight="1" s="45">
      <c r="B17" s="73" t="inlineStr">
        <is>
          <t>M3-C-01</t>
        </is>
      </c>
      <c r="C17" s="74" t="inlineStr">
        <is>
          <t>M3</t>
        </is>
      </c>
      <c r="D17" s="65" t="n">
        <v>46086</v>
      </c>
      <c r="E17" s="67" t="inlineStr">
        <is>
          <t>09:15</t>
        </is>
      </c>
      <c r="F17" s="67" t="inlineStr">
        <is>
          <t>Yes</t>
        </is>
      </c>
      <c r="G17" s="67" t="inlineStr">
        <is>
          <t>Daily</t>
        </is>
      </c>
      <c r="H17" s="69" t="n">
        <v>2</v>
      </c>
      <c r="I17" s="67" t="inlineStr">
        <is>
          <t>Cash</t>
        </is>
      </c>
      <c r="J17" s="67" t="inlineStr">
        <is>
          <t>Purity</t>
        </is>
      </c>
      <c r="K17" s="67" t="n"/>
      <c r="L17" s="68" t="n"/>
    </row>
    <row r="18" ht="19.5" customHeight="1" s="45">
      <c r="B18" s="73" t="inlineStr">
        <is>
          <t>M3-C-02</t>
        </is>
      </c>
      <c r="C18" s="74" t="inlineStr">
        <is>
          <t>M3</t>
        </is>
      </c>
      <c r="D18" s="65" t="n">
        <v>46086</v>
      </c>
      <c r="E18" s="67" t="inlineStr">
        <is>
          <t>09:15</t>
        </is>
      </c>
      <c r="F18" s="67" t="inlineStr">
        <is>
          <t>Yes</t>
        </is>
      </c>
      <c r="G18" s="67" t="inlineStr">
        <is>
          <t>Weekly</t>
        </is>
      </c>
      <c r="H18" s="69" t="n">
        <v>4</v>
      </c>
      <c r="I18" s="67" t="inlineStr">
        <is>
          <t>Cash</t>
        </is>
      </c>
      <c r="J18" s="67" t="inlineStr">
        <is>
          <t>Familiar_shop</t>
        </is>
      </c>
      <c r="K18" s="67" t="n"/>
      <c r="L18" s="68" t="n"/>
    </row>
    <row r="19" ht="19.5" customHeight="1" s="45">
      <c r="B19" s="73" t="inlineStr">
        <is>
          <t>M3-C-03</t>
        </is>
      </c>
      <c r="C19" s="74" t="inlineStr">
        <is>
          <t>M3</t>
        </is>
      </c>
      <c r="D19" s="65" t="n">
        <v>46086</v>
      </c>
      <c r="E19" s="67" t="inlineStr">
        <is>
          <t>12:25</t>
        </is>
      </c>
      <c r="F19" s="67" t="inlineStr">
        <is>
          <t>Yes</t>
        </is>
      </c>
      <c r="G19" s="67" t="inlineStr">
        <is>
          <t>Weekly</t>
        </is>
      </c>
      <c r="H19" s="69" t="n">
        <v>5</v>
      </c>
      <c r="I19" s="67" t="inlineStr">
        <is>
          <t>Cash</t>
        </is>
      </c>
      <c r="J19" s="67" t="inlineStr">
        <is>
          <t>Familiar_shop</t>
        </is>
      </c>
      <c r="K19" s="67" t="n"/>
      <c r="L19" s="68" t="n"/>
    </row>
    <row r="20" ht="19.5" customHeight="1" s="45">
      <c r="B20" s="73" t="inlineStr">
        <is>
          <t>M3-C-04</t>
        </is>
      </c>
      <c r="C20" s="74" t="inlineStr">
        <is>
          <t>M3</t>
        </is>
      </c>
      <c r="D20" s="65" t="n">
        <v>46086</v>
      </c>
      <c r="E20" s="67" t="inlineStr">
        <is>
          <t>09:45</t>
        </is>
      </c>
      <c r="F20" s="67" t="inlineStr">
        <is>
          <t>Yes</t>
        </is>
      </c>
      <c r="G20" s="67" t="inlineStr">
        <is>
          <t>Weekly</t>
        </is>
      </c>
      <c r="H20" s="69" t="n">
        <v>6</v>
      </c>
      <c r="I20" s="67" t="inlineStr">
        <is>
          <t>Credit</t>
        </is>
      </c>
      <c r="J20" s="67" t="inlineStr">
        <is>
          <t>Familiar_shop</t>
        </is>
      </c>
      <c r="K20" s="67" t="n"/>
      <c r="L20" s="68" t="n"/>
    </row>
    <row r="21" ht="19.5" customHeight="1" s="45">
      <c r="B21" s="73" t="inlineStr">
        <is>
          <t>M3-C-05</t>
        </is>
      </c>
      <c r="C21" s="74" t="inlineStr">
        <is>
          <t>M3</t>
        </is>
      </c>
      <c r="D21" s="65" t="n">
        <v>46086</v>
      </c>
      <c r="E21" s="67" t="inlineStr">
        <is>
          <t>09:30</t>
        </is>
      </c>
      <c r="F21" s="67" t="inlineStr">
        <is>
          <t>Yes</t>
        </is>
      </c>
      <c r="G21" s="67" t="inlineStr">
        <is>
          <t>Daily</t>
        </is>
      </c>
      <c r="H21" s="69" t="n">
        <v>1</v>
      </c>
      <c r="I21" s="67" t="inlineStr">
        <is>
          <t>Cash</t>
        </is>
      </c>
      <c r="J21" s="67" t="inlineStr">
        <is>
          <t>Proximity</t>
        </is>
      </c>
      <c r="K21" s="67" t="n"/>
      <c r="L21" s="68" t="n"/>
    </row>
    <row r="22" ht="19.5" customHeight="1" s="45">
      <c r="B22" s="73" t="inlineStr">
        <is>
          <t>M3-C-06</t>
        </is>
      </c>
      <c r="C22" s="74" t="inlineStr">
        <is>
          <t>M3</t>
        </is>
      </c>
      <c r="D22" s="65" t="n"/>
      <c r="E22" s="67" t="n"/>
      <c r="F22" s="67" t="n"/>
      <c r="G22" s="67" t="n"/>
      <c r="H22" s="69" t="n"/>
      <c r="I22" s="67" t="n"/>
      <c r="J22" s="67" t="n"/>
      <c r="K22" s="67" t="n"/>
      <c r="L22" s="68" t="n"/>
    </row>
    <row r="23" ht="19.5" customHeight="1" s="45">
      <c r="B23" s="73" t="inlineStr">
        <is>
          <t>M4-C-01</t>
        </is>
      </c>
      <c r="C23" s="74" t="inlineStr">
        <is>
          <t>M4</t>
        </is>
      </c>
      <c r="D23" s="65" t="n">
        <v>46087</v>
      </c>
      <c r="E23" s="67" t="inlineStr">
        <is>
          <t>10:40</t>
        </is>
      </c>
      <c r="F23" s="67" t="inlineStr">
        <is>
          <t>Yes</t>
        </is>
      </c>
      <c r="G23" s="67" t="inlineStr">
        <is>
          <t>Weekly</t>
        </is>
      </c>
      <c r="H23" s="69" t="n">
        <v>6</v>
      </c>
      <c r="I23" s="67" t="inlineStr">
        <is>
          <t>Nagad_app</t>
        </is>
      </c>
      <c r="J23" s="67" t="inlineStr">
        <is>
          <t>Proximity</t>
        </is>
      </c>
      <c r="K23" s="67" t="n"/>
      <c r="L23" s="68" t="n"/>
    </row>
    <row r="24" ht="19.5" customHeight="1" s="45">
      <c r="B24" s="73" t="inlineStr">
        <is>
          <t>M4-C-02</t>
        </is>
      </c>
      <c r="C24" s="74" t="inlineStr">
        <is>
          <t>M4</t>
        </is>
      </c>
      <c r="D24" s="65" t="n">
        <v>46087</v>
      </c>
      <c r="E24" s="67" t="inlineStr">
        <is>
          <t>08:35</t>
        </is>
      </c>
      <c r="F24" s="67" t="inlineStr">
        <is>
          <t>Yes</t>
        </is>
      </c>
      <c r="G24" s="67" t="inlineStr">
        <is>
          <t>Weekly</t>
        </is>
      </c>
      <c r="H24" s="69" t="n">
        <v>5</v>
      </c>
      <c r="I24" s="67" t="inlineStr">
        <is>
          <t>Cash</t>
        </is>
      </c>
      <c r="J24" s="67" t="inlineStr">
        <is>
          <t>Variety</t>
        </is>
      </c>
      <c r="K24" s="67" t="n"/>
      <c r="L24" s="68" t="n"/>
    </row>
    <row r="25" ht="19.5" customHeight="1" s="45">
      <c r="B25" s="73" t="inlineStr">
        <is>
          <t>M4-C-03</t>
        </is>
      </c>
      <c r="C25" s="74" t="inlineStr">
        <is>
          <t>M4</t>
        </is>
      </c>
      <c r="D25" s="65" t="n">
        <v>46087</v>
      </c>
      <c r="E25" s="67" t="inlineStr">
        <is>
          <t>08:50</t>
        </is>
      </c>
      <c r="F25" s="67" t="inlineStr">
        <is>
          <t>Yes</t>
        </is>
      </c>
      <c r="G25" s="67" t="inlineStr">
        <is>
          <t>Weekly</t>
        </is>
      </c>
      <c r="H25" s="69" t="n">
        <v>7</v>
      </c>
      <c r="I25" s="67" t="inlineStr">
        <is>
          <t>bKash</t>
        </is>
      </c>
      <c r="J25" s="67" t="inlineStr">
        <is>
          <t>Familiar_shop</t>
        </is>
      </c>
      <c r="K25" s="67" t="n"/>
      <c r="L25" s="68" t="n"/>
    </row>
    <row r="26" ht="19.5" customHeight="1" s="45">
      <c r="B26" s="73" t="inlineStr">
        <is>
          <t>M4-C-04</t>
        </is>
      </c>
      <c r="C26" s="74" t="inlineStr">
        <is>
          <t>M4</t>
        </is>
      </c>
      <c r="D26" s="65" t="n">
        <v>46087</v>
      </c>
      <c r="E26" s="67" t="inlineStr">
        <is>
          <t>08:40</t>
        </is>
      </c>
      <c r="F26" s="67" t="inlineStr">
        <is>
          <t>Yes</t>
        </is>
      </c>
      <c r="G26" s="67" t="inlineStr">
        <is>
          <t>Daily</t>
        </is>
      </c>
      <c r="H26" s="69" t="n">
        <v>2</v>
      </c>
      <c r="I26" s="67" t="inlineStr">
        <is>
          <t>Cash</t>
        </is>
      </c>
      <c r="J26" s="67" t="inlineStr">
        <is>
          <t>Other</t>
        </is>
      </c>
      <c r="K26" s="67" t="n"/>
      <c r="L26" s="68" t="n"/>
    </row>
    <row r="27" ht="19.5" customHeight="1" s="45">
      <c r="B27" s="73" t="inlineStr">
        <is>
          <t>M4-C-05</t>
        </is>
      </c>
      <c r="C27" s="74" t="inlineStr">
        <is>
          <t>M4</t>
        </is>
      </c>
      <c r="D27" s="65" t="n">
        <v>46087</v>
      </c>
      <c r="E27" s="67" t="inlineStr">
        <is>
          <t>09:50</t>
        </is>
      </c>
      <c r="F27" s="67" t="inlineStr">
        <is>
          <t>Yes</t>
        </is>
      </c>
      <c r="G27" s="67" t="inlineStr">
        <is>
          <t>Weekly</t>
        </is>
      </c>
      <c r="H27" s="69" t="n">
        <v>7</v>
      </c>
      <c r="I27" s="67" t="inlineStr">
        <is>
          <t>bKash</t>
        </is>
      </c>
      <c r="J27" s="67" t="inlineStr">
        <is>
          <t>Purity</t>
        </is>
      </c>
      <c r="K27" s="67" t="n"/>
      <c r="L27" s="68" t="n"/>
    </row>
    <row r="28" ht="19.5" customHeight="1" s="45">
      <c r="B28" s="73" t="inlineStr">
        <is>
          <t>M4-C-06</t>
        </is>
      </c>
      <c r="C28" s="74" t="inlineStr">
        <is>
          <t>M4</t>
        </is>
      </c>
      <c r="D28" s="65" t="n"/>
      <c r="E28" s="67" t="n"/>
      <c r="F28" s="67" t="n"/>
      <c r="G28" s="67" t="n"/>
      <c r="H28" s="69" t="n"/>
      <c r="I28" s="67" t="n"/>
      <c r="J28" s="67" t="n"/>
      <c r="K28" s="67" t="n"/>
      <c r="L28" s="68" t="n"/>
    </row>
    <row r="29" ht="19.5" customHeight="1" s="45">
      <c r="B29" s="73" t="inlineStr">
        <is>
          <t>M5-C-01</t>
        </is>
      </c>
      <c r="C29" s="74" t="inlineStr">
        <is>
          <t>M5</t>
        </is>
      </c>
      <c r="D29" s="65" t="n">
        <v>46088</v>
      </c>
      <c r="E29" s="67" t="inlineStr">
        <is>
          <t>11:45</t>
        </is>
      </c>
      <c r="F29" s="67" t="inlineStr">
        <is>
          <t>Yes</t>
        </is>
      </c>
      <c r="G29" s="67" t="inlineStr">
        <is>
          <t>Daily</t>
        </is>
      </c>
      <c r="H29" s="69" t="n">
        <v>2</v>
      </c>
      <c r="I29" s="67" t="inlineStr">
        <is>
          <t>Nagad_app</t>
        </is>
      </c>
      <c r="J29" s="67" t="inlineStr">
        <is>
          <t>Purity</t>
        </is>
      </c>
      <c r="K29" s="67" t="n"/>
      <c r="L29" s="68" t="n"/>
    </row>
    <row r="30" ht="19.5" customHeight="1" s="45">
      <c r="B30" s="73" t="inlineStr">
        <is>
          <t>M5-C-02</t>
        </is>
      </c>
      <c r="C30" s="74" t="inlineStr">
        <is>
          <t>M5</t>
        </is>
      </c>
      <c r="D30" s="65" t="n">
        <v>46088</v>
      </c>
      <c r="E30" s="67" t="inlineStr">
        <is>
          <t>12:20</t>
        </is>
      </c>
      <c r="F30" s="67" t="inlineStr">
        <is>
          <t>Yes</t>
        </is>
      </c>
      <c r="G30" s="67" t="inlineStr">
        <is>
          <t>Weekly</t>
        </is>
      </c>
      <c r="H30" s="69" t="n">
        <v>5</v>
      </c>
      <c r="I30" s="67" t="inlineStr">
        <is>
          <t>Cash</t>
        </is>
      </c>
      <c r="J30" s="67" t="inlineStr">
        <is>
          <t>Purity</t>
        </is>
      </c>
      <c r="K30" s="67" t="n"/>
      <c r="L30" s="68" t="n"/>
    </row>
    <row r="31" ht="19.5" customHeight="1" s="45">
      <c r="B31" s="73" t="inlineStr">
        <is>
          <t>M5-C-03</t>
        </is>
      </c>
      <c r="C31" s="74" t="inlineStr">
        <is>
          <t>M5</t>
        </is>
      </c>
      <c r="D31" s="65" t="n">
        <v>46088</v>
      </c>
      <c r="E31" s="67" t="inlineStr">
        <is>
          <t>09:15</t>
        </is>
      </c>
      <c r="F31" s="67" t="inlineStr">
        <is>
          <t>Yes</t>
        </is>
      </c>
      <c r="G31" s="67" t="inlineStr">
        <is>
          <t>Weekly</t>
        </is>
      </c>
      <c r="H31" s="69" t="n">
        <v>4</v>
      </c>
      <c r="I31" s="67" t="inlineStr">
        <is>
          <t>Nagad_app</t>
        </is>
      </c>
      <c r="J31" s="67" t="inlineStr">
        <is>
          <t>Purity</t>
        </is>
      </c>
      <c r="K31" s="67" t="n"/>
      <c r="L31" s="68" t="n"/>
    </row>
    <row r="32" ht="19.5" customHeight="1" s="45">
      <c r="B32" s="73" t="inlineStr">
        <is>
          <t>M5-C-04</t>
        </is>
      </c>
      <c r="C32" s="74" t="inlineStr">
        <is>
          <t>M5</t>
        </is>
      </c>
      <c r="D32" s="65" t="n">
        <v>46088</v>
      </c>
      <c r="E32" s="67" t="inlineStr">
        <is>
          <t>08:30</t>
        </is>
      </c>
      <c r="F32" s="67" t="inlineStr">
        <is>
          <t>Yes</t>
        </is>
      </c>
      <c r="G32" s="67" t="inlineStr">
        <is>
          <t>Weekly</t>
        </is>
      </c>
      <c r="H32" s="69" t="n">
        <v>5</v>
      </c>
      <c r="I32" s="67" t="inlineStr">
        <is>
          <t>Cash</t>
        </is>
      </c>
      <c r="J32" s="67" t="inlineStr">
        <is>
          <t>Proximity</t>
        </is>
      </c>
      <c r="K32" s="67" t="n"/>
      <c r="L32" s="68" t="n"/>
    </row>
    <row r="33" ht="19.5" customHeight="1" s="45">
      <c r="B33" s="73" t="inlineStr">
        <is>
          <t>M5-C-05</t>
        </is>
      </c>
      <c r="C33" s="74" t="inlineStr">
        <is>
          <t>M5</t>
        </is>
      </c>
      <c r="D33" s="65" t="n">
        <v>46088</v>
      </c>
      <c r="E33" s="67" t="inlineStr">
        <is>
          <t>10:15</t>
        </is>
      </c>
      <c r="F33" s="67" t="inlineStr">
        <is>
          <t>Yes</t>
        </is>
      </c>
      <c r="G33" s="67" t="inlineStr">
        <is>
          <t>Weekly</t>
        </is>
      </c>
      <c r="H33" s="69" t="n">
        <v>7</v>
      </c>
      <c r="I33" s="67" t="inlineStr">
        <is>
          <t>Nagad_app</t>
        </is>
      </c>
      <c r="J33" s="67" t="inlineStr">
        <is>
          <t>Price</t>
        </is>
      </c>
      <c r="K33" s="67" t="n"/>
      <c r="L33" s="68" t="n"/>
    </row>
    <row r="34" ht="19.5" customHeight="1" s="45">
      <c r="B34" s="73" t="inlineStr">
        <is>
          <t>M5-C-06</t>
        </is>
      </c>
      <c r="C34" s="74" t="inlineStr">
        <is>
          <t>M5</t>
        </is>
      </c>
      <c r="D34" s="65" t="n"/>
      <c r="E34" s="67" t="n"/>
      <c r="F34" s="67" t="n"/>
      <c r="G34" s="67" t="n"/>
      <c r="H34" s="69" t="n"/>
      <c r="I34" s="67" t="n"/>
      <c r="J34" s="67" t="n"/>
      <c r="K34" s="67" t="n"/>
      <c r="L34" s="68" t="n"/>
    </row>
    <row r="35" ht="19.5" customHeight="1" s="45">
      <c r="B35" s="73" t="inlineStr">
        <is>
          <t>M6-C-01</t>
        </is>
      </c>
      <c r="C35" s="74" t="inlineStr">
        <is>
          <t>M6</t>
        </is>
      </c>
      <c r="D35" s="65" t="n">
        <v>46084</v>
      </c>
      <c r="E35" s="67" t="inlineStr">
        <is>
          <t>10:25</t>
        </is>
      </c>
      <c r="F35" s="67" t="inlineStr">
        <is>
          <t>Yes</t>
        </is>
      </c>
      <c r="G35" s="67" t="inlineStr">
        <is>
          <t>Weekly</t>
        </is>
      </c>
      <c r="H35" s="69" t="n">
        <v>6</v>
      </c>
      <c r="I35" s="67" t="inlineStr">
        <is>
          <t>bKash</t>
        </is>
      </c>
      <c r="J35" s="67" t="inlineStr">
        <is>
          <t>Price</t>
        </is>
      </c>
      <c r="K35" s="67" t="n"/>
      <c r="L35" s="68" t="n"/>
    </row>
    <row r="36" ht="19.5" customHeight="1" s="45">
      <c r="B36" s="73" t="inlineStr">
        <is>
          <t>M6-C-02</t>
        </is>
      </c>
      <c r="C36" s="74" t="inlineStr">
        <is>
          <t>M6</t>
        </is>
      </c>
      <c r="D36" s="65" t="n">
        <v>46084</v>
      </c>
      <c r="E36" s="67" t="inlineStr">
        <is>
          <t>08:10</t>
        </is>
      </c>
      <c r="F36" s="67" t="inlineStr">
        <is>
          <t>Yes</t>
        </is>
      </c>
      <c r="G36" s="67" t="inlineStr">
        <is>
          <t>Weekly</t>
        </is>
      </c>
      <c r="H36" s="69" t="n">
        <v>4</v>
      </c>
      <c r="I36" s="67" t="inlineStr">
        <is>
          <t>bKash</t>
        </is>
      </c>
      <c r="J36" s="67" t="inlineStr">
        <is>
          <t>Proximity</t>
        </is>
      </c>
      <c r="K36" s="67" t="n"/>
      <c r="L36" s="68" t="n"/>
    </row>
    <row r="37" ht="19.5" customHeight="1" s="45">
      <c r="B37" s="73" t="inlineStr">
        <is>
          <t>M6-C-03</t>
        </is>
      </c>
      <c r="C37" s="74" t="inlineStr">
        <is>
          <t>M6</t>
        </is>
      </c>
      <c r="D37" s="65" t="n">
        <v>46084</v>
      </c>
      <c r="E37" s="67" t="inlineStr">
        <is>
          <t>12:15</t>
        </is>
      </c>
      <c r="F37" s="67" t="inlineStr">
        <is>
          <t>Yes</t>
        </is>
      </c>
      <c r="G37" s="67" t="inlineStr">
        <is>
          <t>Weekly</t>
        </is>
      </c>
      <c r="H37" s="69" t="n">
        <v>6</v>
      </c>
      <c r="I37" s="67" t="inlineStr">
        <is>
          <t>Cash</t>
        </is>
      </c>
      <c r="J37" s="67" t="inlineStr">
        <is>
          <t>Other</t>
        </is>
      </c>
      <c r="K37" s="67" t="n"/>
      <c r="L37" s="68" t="n"/>
    </row>
    <row r="38" ht="19.5" customHeight="1" s="45">
      <c r="B38" s="73" t="inlineStr">
        <is>
          <t>M6-C-04</t>
        </is>
      </c>
      <c r="C38" s="74" t="inlineStr">
        <is>
          <t>M6</t>
        </is>
      </c>
      <c r="D38" s="65" t="n">
        <v>46084</v>
      </c>
      <c r="E38" s="67" t="inlineStr">
        <is>
          <t>08:00</t>
        </is>
      </c>
      <c r="F38" s="67" t="inlineStr">
        <is>
          <t>Yes</t>
        </is>
      </c>
      <c r="G38" s="67" t="inlineStr">
        <is>
          <t>Weekly</t>
        </is>
      </c>
      <c r="H38" s="69" t="n">
        <v>7</v>
      </c>
      <c r="I38" s="67" t="inlineStr">
        <is>
          <t>Nagad_app</t>
        </is>
      </c>
      <c r="J38" s="67" t="inlineStr">
        <is>
          <t>Purity</t>
        </is>
      </c>
      <c r="K38" s="67" t="n"/>
      <c r="L38" s="68" t="n"/>
    </row>
    <row r="39" ht="19.5" customHeight="1" s="45">
      <c r="B39" s="73" t="inlineStr">
        <is>
          <t>M6-C-05</t>
        </is>
      </c>
      <c r="C39" s="74" t="inlineStr">
        <is>
          <t>M6</t>
        </is>
      </c>
      <c r="D39" s="65" t="n">
        <v>46084</v>
      </c>
      <c r="E39" s="67" t="inlineStr">
        <is>
          <t>09:55</t>
        </is>
      </c>
      <c r="F39" s="67" t="inlineStr">
        <is>
          <t>Yes</t>
        </is>
      </c>
      <c r="G39" s="67" t="inlineStr">
        <is>
          <t>Weekly</t>
        </is>
      </c>
      <c r="H39" s="69" t="n">
        <v>4</v>
      </c>
      <c r="I39" s="67" t="inlineStr">
        <is>
          <t>Cash</t>
        </is>
      </c>
      <c r="J39" s="67" t="inlineStr">
        <is>
          <t>Familiar_shop</t>
        </is>
      </c>
      <c r="K39" s="67" t="n"/>
      <c r="L39" s="68" t="n"/>
    </row>
    <row r="40" ht="19.5" customHeight="1" s="45">
      <c r="B40" s="73" t="inlineStr">
        <is>
          <t>M6-C-06</t>
        </is>
      </c>
      <c r="C40" s="74" t="inlineStr">
        <is>
          <t>M6</t>
        </is>
      </c>
      <c r="D40" s="65" t="n"/>
      <c r="E40" s="67" t="n"/>
      <c r="F40" s="67" t="n"/>
      <c r="G40" s="67" t="n"/>
      <c r="H40" s="69" t="n"/>
      <c r="I40" s="67" t="n"/>
      <c r="J40" s="67" t="n"/>
      <c r="K40" s="67" t="n"/>
      <c r="L40" s="68" t="n"/>
    </row>
  </sheetData>
  <autoFilter ref="B4:L40"/>
  <mergeCells count="1">
    <mergeCell ref="B2:L2"/>
  </mergeCells>
  <dataValidations count="6">
    <dataValidation sqref="C5:C40" showDropDown="0" showInputMessage="0" showErrorMessage="1" allowBlank="1" errorTitle="Invalid entry" error="Please choose one of the listed values." promptTitle="Dropdown" prompt="Select from list" type="list" errorStyle="stop" operator="between">
      <formula1>"M1,M2,M3,M4,M5,M6"</formula1>
      <formula2>0</formula2>
    </dataValidation>
    <dataValidation sqref="F5:F40" showDropDown="0" showInputMessage="0" showErrorMessage="1" allowBlank="1" errorTitle="Invalid entry" error="Please choose one of the listed values." promptTitle="Dropdown" prompt="Select from list" type="list" errorStyle="stop" operator="between">
      <formula1>"Yes,No"</formula1>
      <formula2>0</formula2>
    </dataValidation>
    <dataValidation sqref="G5:G40" showDropDown="0" showInputMessage="0" showErrorMessage="1" allowBlank="1" errorTitle="Invalid entry" error="Please choose one of the listed values." promptTitle="Dropdown" prompt="Select from list" type="list" errorStyle="stop" operator="between">
      <formula1>"Daily,Weekly"</formula1>
      <formula2>0</formula2>
    </dataValidation>
    <dataValidation sqref="H5:H40" showDropDown="0" showInputMessage="0" showErrorMessage="1" allowBlank="1" errorTitle="Out of range" error="Enter a whole number between 1 and 60." type="whole" errorStyle="stop" operator="between">
      <formula1>1</formula1>
      <formula2>60</formula2>
    </dataValidation>
    <dataValidation sqref="I5:I40" showDropDown="0" showInputMessage="0" showErrorMessage="1" allowBlank="1" errorTitle="Invalid entry" error="তালিকা থেকে নির্বাচন করুন / Choose from the list" type="list" errorStyle="stop" operator="between">
      <formula1>"Cash,bKash,Nagad_app,Credit"</formula1>
      <formula2>0</formula2>
    </dataValidation>
    <dataValidation sqref="J5:J40" showDropDown="0" showInputMessage="0" showErrorMessage="1" allowBlank="1" errorTitle="Invalid entry" error="তালিকা থেকে নির্বাচন করুন / Choose from the list" type="list" errorStyle="stop" operator="between">
      <formula1>"Price,Variety,Proximity,Purity,Familiar_shop,Other"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filterMode="0">
    <tabColor rgb="FFD4820A"/>
    <outlinePr summaryBelow="1" summaryRight="1"/>
    <pageSetUpPr fitToPage="0"/>
  </sheetPr>
  <dimension ref="B2:P5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328125" defaultRowHeight="15" zeroHeight="0" outlineLevelRow="0"/>
  <cols>
    <col width="3" customWidth="1" style="44" min="1" max="1"/>
    <col width="9" customWidth="1" style="44" min="2" max="2"/>
    <col width="13" customWidth="1" style="44" min="3" max="3"/>
    <col width="8" customWidth="1" style="44" min="4" max="4"/>
    <col width="14" customWidth="1" style="44" min="5" max="5"/>
    <col width="12" customWidth="1" style="44" min="6" max="8"/>
    <col width="9" customWidth="1" style="44" min="9" max="9"/>
    <col width="13" customWidth="1" style="44" min="10" max="11"/>
    <col width="11" customWidth="1" style="44" min="12" max="15"/>
    <col width="24" customWidth="1" style="44" min="16" max="16"/>
  </cols>
  <sheetData>
    <row r="2" ht="31.5" customHeight="1" s="45">
      <c r="B2" s="46" t="inlineStr">
        <is>
          <t>Price Observations - one row per respondent x species quote (core dataset)</t>
        </is>
      </c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7" t="n"/>
      <c r="M2" s="47" t="n"/>
      <c r="N2" s="47" t="n"/>
      <c r="O2" s="47" t="n"/>
      <c r="P2" s="48" t="n"/>
    </row>
    <row r="3" ht="7.5" customHeight="1" s="45">
      <c r="B3" s="50" t="n"/>
      <c r="C3" s="50" t="n"/>
      <c r="D3" s="50" t="n"/>
      <c r="E3" s="50" t="n"/>
      <c r="F3" s="50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</row>
    <row r="4" ht="27.75" customHeight="1" s="45">
      <c r="B4" s="57" t="inlineStr">
        <is>
          <t>Obs_ID</t>
        </is>
      </c>
      <c r="C4" s="57" t="inlineStr">
        <is>
          <t>Respondent_ID</t>
        </is>
      </c>
      <c r="D4" s="57" t="inlineStr">
        <is>
          <t>Market</t>
        </is>
      </c>
      <c r="E4" s="57" t="inlineStr">
        <is>
          <t>Actor_type</t>
        </is>
      </c>
      <c r="F4" s="57" t="inlineStr">
        <is>
          <t>Species_code</t>
        </is>
      </c>
      <c r="G4" s="57" t="inlineStr">
        <is>
          <t>Buy_price_raw</t>
        </is>
      </c>
      <c r="H4" s="57" t="inlineStr">
        <is>
          <t>Sell_price_raw</t>
        </is>
      </c>
      <c r="I4" s="57" t="inlineStr">
        <is>
          <t>Unit</t>
        </is>
      </c>
      <c r="J4" s="57" t="inlineStr">
        <is>
          <t>Buy_BDT_per_kg</t>
        </is>
      </c>
      <c r="K4" s="57" t="inlineStr">
        <is>
          <t>Sell_BDT_per_kg</t>
        </is>
      </c>
      <c r="L4" s="57" t="inlineStr">
        <is>
          <t>Quantity_raw</t>
        </is>
      </c>
      <c r="M4" s="57" t="inlineStr">
        <is>
          <t>Quantity_unit</t>
        </is>
      </c>
      <c r="N4" s="57" t="inlineStr">
        <is>
          <t>Quantity_kg</t>
        </is>
      </c>
      <c r="O4" s="57" t="inlineStr">
        <is>
          <t>Pair_ID</t>
        </is>
      </c>
      <c r="P4" s="57" t="inlineStr">
        <is>
          <t>Notes</t>
        </is>
      </c>
    </row>
    <row r="5" ht="19.5" customHeight="1" s="45">
      <c r="B5" s="74" t="inlineStr">
        <is>
          <t>PO-0001</t>
        </is>
      </c>
      <c r="C5" s="67" t="inlineStr">
        <is>
          <t>M1-A-01</t>
        </is>
      </c>
      <c r="D5" s="67" t="inlineStr">
        <is>
          <t>M1</t>
        </is>
      </c>
      <c r="E5" s="67" t="inlineStr">
        <is>
          <t>Aratdar</t>
        </is>
      </c>
      <c r="F5" s="67" t="inlineStr">
        <is>
          <t>S01</t>
        </is>
      </c>
      <c r="G5" s="75" t="n">
        <v>36750</v>
      </c>
      <c r="H5" s="75" t="n">
        <v>38500</v>
      </c>
      <c r="I5" s="67" t="inlineStr">
        <is>
          <t>Maund</t>
        </is>
      </c>
      <c r="J5" s="76" t="n">
        <v>984.73</v>
      </c>
      <c r="K5" s="76" t="n">
        <v>1031.62</v>
      </c>
      <c r="L5" s="75" t="n">
        <v>3.6</v>
      </c>
      <c r="M5" s="67" t="inlineStr">
        <is>
          <t>Maund</t>
        </is>
      </c>
      <c r="N5" s="76" t="n">
        <v>134.35</v>
      </c>
      <c r="O5" s="67" t="n"/>
      <c r="P5" s="68" t="n"/>
    </row>
    <row r="6" ht="19.5" customHeight="1" s="45">
      <c r="B6" s="74" t="inlineStr">
        <is>
          <t>PO-0002</t>
        </is>
      </c>
      <c r="C6" s="67" t="inlineStr">
        <is>
          <t>M1-A-01</t>
        </is>
      </c>
      <c r="D6" s="67" t="inlineStr">
        <is>
          <t>M1</t>
        </is>
      </c>
      <c r="E6" s="67" t="inlineStr">
        <is>
          <t>Aratdar</t>
        </is>
      </c>
      <c r="F6" s="67" t="inlineStr">
        <is>
          <t>S02</t>
        </is>
      </c>
      <c r="G6" s="75" t="n">
        <v>43000</v>
      </c>
      <c r="H6" s="75" t="n">
        <v>45000</v>
      </c>
      <c r="I6" s="67" t="inlineStr">
        <is>
          <t>Maund</t>
        </is>
      </c>
      <c r="J6" s="76" t="n">
        <v>1152.2</v>
      </c>
      <c r="K6" s="76" t="n">
        <v>1205.79</v>
      </c>
      <c r="L6" s="75" t="n">
        <v>4</v>
      </c>
      <c r="M6" s="67" t="inlineStr">
        <is>
          <t>Maund</t>
        </is>
      </c>
      <c r="N6" s="76" t="n">
        <v>149.28</v>
      </c>
      <c r="O6" s="67" t="n"/>
      <c r="P6" s="68" t="n"/>
    </row>
    <row r="7" ht="19.5" customHeight="1" s="45">
      <c r="B7" s="74" t="inlineStr">
        <is>
          <t>PO-0003</t>
        </is>
      </c>
      <c r="C7" s="67" t="inlineStr">
        <is>
          <t>M1-A-01</t>
        </is>
      </c>
      <c r="D7" s="67" t="inlineStr">
        <is>
          <t>M1</t>
        </is>
      </c>
      <c r="E7" s="67" t="inlineStr">
        <is>
          <t>Aratdar</t>
        </is>
      </c>
      <c r="F7" s="67" t="inlineStr">
        <is>
          <t>S05</t>
        </is>
      </c>
      <c r="G7" s="75" t="n">
        <v>14750</v>
      </c>
      <c r="H7" s="75" t="n">
        <v>15500</v>
      </c>
      <c r="I7" s="67" t="inlineStr">
        <is>
          <t>Maund</t>
        </is>
      </c>
      <c r="J7" s="76" t="n">
        <v>395.23</v>
      </c>
      <c r="K7" s="76" t="n">
        <v>415.33</v>
      </c>
      <c r="L7" s="75" t="n">
        <v>2.6</v>
      </c>
      <c r="M7" s="67" t="inlineStr">
        <is>
          <t>Maund</t>
        </is>
      </c>
      <c r="N7" s="76" t="n">
        <v>97.03</v>
      </c>
      <c r="O7" s="67" t="n"/>
      <c r="P7" s="68" t="n"/>
    </row>
    <row r="8" ht="19.5" customHeight="1" s="45">
      <c r="B8" s="74" t="inlineStr">
        <is>
          <t>PO-0004</t>
        </is>
      </c>
      <c r="C8" s="67" t="inlineStr">
        <is>
          <t>M1-A-01</t>
        </is>
      </c>
      <c r="D8" s="67" t="inlineStr">
        <is>
          <t>M1</t>
        </is>
      </c>
      <c r="E8" s="67" t="inlineStr">
        <is>
          <t>Aratdar</t>
        </is>
      </c>
      <c r="F8" s="67" t="inlineStr">
        <is>
          <t>S06</t>
        </is>
      </c>
      <c r="G8" s="75" t="n">
        <v>12250</v>
      </c>
      <c r="H8" s="75" t="n">
        <v>13000</v>
      </c>
      <c r="I8" s="67" t="inlineStr">
        <is>
          <t>Maund</t>
        </is>
      </c>
      <c r="J8" s="76" t="n">
        <v>328.24</v>
      </c>
      <c r="K8" s="76" t="n">
        <v>348.34</v>
      </c>
      <c r="L8" s="75" t="n">
        <v>3.7</v>
      </c>
      <c r="M8" s="67" t="inlineStr">
        <is>
          <t>Maund</t>
        </is>
      </c>
      <c r="N8" s="76" t="n">
        <v>138.08</v>
      </c>
      <c r="O8" s="67" t="inlineStr">
        <is>
          <t>PAIR-M1-02</t>
        </is>
      </c>
      <c r="P8" s="68" t="n"/>
    </row>
    <row r="9" ht="19.5" customHeight="1" s="45">
      <c r="B9" s="74" t="inlineStr">
        <is>
          <t>PO-0005</t>
        </is>
      </c>
      <c r="C9" s="67" t="inlineStr">
        <is>
          <t>M1-A-01</t>
        </is>
      </c>
      <c r="D9" s="67" t="inlineStr">
        <is>
          <t>M1</t>
        </is>
      </c>
      <c r="E9" s="67" t="inlineStr">
        <is>
          <t>Aratdar</t>
        </is>
      </c>
      <c r="F9" s="67" t="inlineStr">
        <is>
          <t>S09</t>
        </is>
      </c>
      <c r="G9" s="75" t="n">
        <v>7400</v>
      </c>
      <c r="H9" s="75" t="n">
        <v>7700</v>
      </c>
      <c r="I9" s="67" t="inlineStr">
        <is>
          <t>Maund</t>
        </is>
      </c>
      <c r="J9" s="76" t="n">
        <v>198.29</v>
      </c>
      <c r="K9" s="76" t="n">
        <v>206.32</v>
      </c>
      <c r="L9" s="75" t="n">
        <v>3</v>
      </c>
      <c r="M9" s="67" t="inlineStr">
        <is>
          <t>Maund</t>
        </is>
      </c>
      <c r="N9" s="76" t="n">
        <v>111.96</v>
      </c>
      <c r="O9" s="67" t="n"/>
      <c r="P9" s="68" t="n"/>
    </row>
    <row r="10" ht="19.5" customHeight="1" s="45">
      <c r="B10" s="74" t="inlineStr">
        <is>
          <t>PO-0006</t>
        </is>
      </c>
      <c r="C10" s="67" t="inlineStr">
        <is>
          <t>M1-A-01</t>
        </is>
      </c>
      <c r="D10" s="67" t="inlineStr">
        <is>
          <t>M1</t>
        </is>
      </c>
      <c r="E10" s="67" t="inlineStr">
        <is>
          <t>Aratdar</t>
        </is>
      </c>
      <c r="F10" s="67" t="inlineStr">
        <is>
          <t>S07</t>
        </is>
      </c>
      <c r="G10" s="75" t="inlineStr">
        <is>
          <t>K</t>
        </is>
      </c>
      <c r="H10" s="75" t="inlineStr">
        <is>
          <t>K</t>
        </is>
      </c>
      <c r="I10" s="67" t="n"/>
      <c r="J10" s="76" t="n"/>
      <c r="K10" s="76" t="n"/>
      <c r="L10" s="75" t="n"/>
      <c r="M10" s="67" t="n"/>
      <c r="N10" s="76" t="n"/>
      <c r="O10" s="67" t="n"/>
      <c r="P10" s="68" t="inlineStr">
        <is>
          <t>Species not handled today</t>
        </is>
      </c>
    </row>
    <row r="11" ht="19.5" customHeight="1" s="45">
      <c r="B11" s="74" t="inlineStr">
        <is>
          <t>PO-0007</t>
        </is>
      </c>
      <c r="C11" s="67" t="inlineStr">
        <is>
          <t>M1-A-01</t>
        </is>
      </c>
      <c r="D11" s="67" t="inlineStr">
        <is>
          <t>M1</t>
        </is>
      </c>
      <c r="E11" s="67" t="inlineStr">
        <is>
          <t>Aratdar</t>
        </is>
      </c>
      <c r="F11" s="67" t="inlineStr">
        <is>
          <t>S03</t>
        </is>
      </c>
      <c r="G11" s="75" t="inlineStr">
        <is>
          <t>K</t>
        </is>
      </c>
      <c r="H11" s="75" t="inlineStr">
        <is>
          <t>K</t>
        </is>
      </c>
      <c r="I11" s="67" t="n"/>
      <c r="J11" s="76" t="n"/>
      <c r="K11" s="76" t="n"/>
      <c r="L11" s="75" t="n"/>
      <c r="M11" s="67" t="n"/>
      <c r="N11" s="76" t="n"/>
      <c r="O11" s="67" t="n"/>
      <c r="P11" s="68" t="inlineStr">
        <is>
          <t>Species not handled today</t>
        </is>
      </c>
    </row>
    <row r="12" ht="19.5" customHeight="1" s="45">
      <c r="B12" s="74" t="inlineStr">
        <is>
          <t>PO-0008</t>
        </is>
      </c>
      <c r="C12" s="67" t="inlineStr">
        <is>
          <t>M1-A-02</t>
        </is>
      </c>
      <c r="D12" s="67" t="inlineStr">
        <is>
          <t>M1</t>
        </is>
      </c>
      <c r="E12" s="67" t="inlineStr">
        <is>
          <t>Aratdar</t>
        </is>
      </c>
      <c r="F12" s="67" t="inlineStr">
        <is>
          <t>S01</t>
        </is>
      </c>
      <c r="G12" s="75" t="n">
        <v>37750</v>
      </c>
      <c r="H12" s="75" t="n">
        <v>39500</v>
      </c>
      <c r="I12" s="67" t="inlineStr">
        <is>
          <t>Maund</t>
        </is>
      </c>
      <c r="J12" s="76" t="n">
        <v>1011.52</v>
      </c>
      <c r="K12" s="76" t="n">
        <v>1058.41</v>
      </c>
      <c r="L12" s="75" t="n">
        <v>3.6</v>
      </c>
      <c r="M12" s="67" t="inlineStr">
        <is>
          <t>Maund</t>
        </is>
      </c>
      <c r="N12" s="76" t="n">
        <v>134.35</v>
      </c>
      <c r="O12" s="67" t="n"/>
      <c r="P12" s="68" t="n"/>
    </row>
    <row r="13" ht="19.5" customHeight="1" s="45">
      <c r="B13" s="74" t="inlineStr">
        <is>
          <t>PO-0009</t>
        </is>
      </c>
      <c r="C13" s="67" t="inlineStr">
        <is>
          <t>M1-A-02</t>
        </is>
      </c>
      <c r="D13" s="67" t="inlineStr">
        <is>
          <t>M1</t>
        </is>
      </c>
      <c r="E13" s="67" t="inlineStr">
        <is>
          <t>Aratdar</t>
        </is>
      </c>
      <c r="F13" s="67" t="inlineStr">
        <is>
          <t>S03</t>
        </is>
      </c>
      <c r="G13" s="75" t="n">
        <v>28250</v>
      </c>
      <c r="H13" s="75" t="n">
        <v>29750</v>
      </c>
      <c r="I13" s="67" t="inlineStr">
        <is>
          <t>Maund</t>
        </is>
      </c>
      <c r="J13" s="76" t="n">
        <v>756.97</v>
      </c>
      <c r="K13" s="76" t="n">
        <v>797.16</v>
      </c>
      <c r="L13" s="75" t="n">
        <v>4.6</v>
      </c>
      <c r="M13" s="67" t="inlineStr">
        <is>
          <t>Maund</t>
        </is>
      </c>
      <c r="N13" s="76" t="n">
        <v>171.67</v>
      </c>
      <c r="O13" s="67" t="n"/>
      <c r="P13" s="68" t="n"/>
    </row>
    <row r="14" ht="19.5" customHeight="1" s="45">
      <c r="B14" s="74" t="inlineStr">
        <is>
          <t>PO-0010</t>
        </is>
      </c>
      <c r="C14" s="67" t="inlineStr">
        <is>
          <t>M1-A-02</t>
        </is>
      </c>
      <c r="D14" s="67" t="inlineStr">
        <is>
          <t>M1</t>
        </is>
      </c>
      <c r="E14" s="67" t="inlineStr">
        <is>
          <t>Aratdar</t>
        </is>
      </c>
      <c r="F14" s="67" t="inlineStr">
        <is>
          <t>S04</t>
        </is>
      </c>
      <c r="G14" s="75" t="n">
        <v>24000</v>
      </c>
      <c r="H14" s="75" t="n">
        <v>24750</v>
      </c>
      <c r="I14" s="67" t="inlineStr">
        <is>
          <t>Maund</t>
        </is>
      </c>
      <c r="J14" s="76" t="n">
        <v>643.09</v>
      </c>
      <c r="K14" s="76" t="n">
        <v>663.1799999999999</v>
      </c>
      <c r="L14" s="75" t="n">
        <v>3.3</v>
      </c>
      <c r="M14" s="67" t="inlineStr">
        <is>
          <t>Maund</t>
        </is>
      </c>
      <c r="N14" s="76" t="n">
        <v>123.16</v>
      </c>
      <c r="O14" s="67" t="n"/>
      <c r="P14" s="68" t="n"/>
    </row>
    <row r="15" ht="19.5" customHeight="1" s="45">
      <c r="B15" s="74" t="inlineStr">
        <is>
          <t>PO-0011</t>
        </is>
      </c>
      <c r="C15" s="67" t="inlineStr">
        <is>
          <t>M1-A-02</t>
        </is>
      </c>
      <c r="D15" s="67" t="inlineStr">
        <is>
          <t>M1</t>
        </is>
      </c>
      <c r="E15" s="67" t="inlineStr">
        <is>
          <t>Aratdar</t>
        </is>
      </c>
      <c r="F15" s="67" t="inlineStr">
        <is>
          <t>S05</t>
        </is>
      </c>
      <c r="G15" s="75" t="n">
        <v>15000</v>
      </c>
      <c r="H15" s="75" t="n">
        <v>15500</v>
      </c>
      <c r="I15" s="67" t="inlineStr">
        <is>
          <t>Maund</t>
        </is>
      </c>
      <c r="J15" s="76" t="n">
        <v>401.93</v>
      </c>
      <c r="K15" s="76" t="n">
        <v>415.33</v>
      </c>
      <c r="L15" s="75" t="n">
        <v>2.9</v>
      </c>
      <c r="M15" s="67" t="inlineStr">
        <is>
          <t>Maund</t>
        </is>
      </c>
      <c r="N15" s="76" t="n">
        <v>108.23</v>
      </c>
      <c r="O15" s="67" t="n"/>
      <c r="P15" s="68" t="n"/>
    </row>
    <row r="16" ht="19.5" customHeight="1" s="45">
      <c r="B16" s="74" t="inlineStr">
        <is>
          <t>PO-0012</t>
        </is>
      </c>
      <c r="C16" s="67" t="inlineStr">
        <is>
          <t>M1-A-02</t>
        </is>
      </c>
      <c r="D16" s="67" t="inlineStr">
        <is>
          <t>M1</t>
        </is>
      </c>
      <c r="E16" s="67" t="inlineStr">
        <is>
          <t>Aratdar</t>
        </is>
      </c>
      <c r="F16" s="67" t="inlineStr">
        <is>
          <t>S06</t>
        </is>
      </c>
      <c r="G16" s="75" t="n">
        <v>11750</v>
      </c>
      <c r="H16" s="75" t="n">
        <v>12000</v>
      </c>
      <c r="I16" s="67" t="inlineStr">
        <is>
          <t>Maund</t>
        </is>
      </c>
      <c r="J16" s="76" t="n">
        <v>314.84</v>
      </c>
      <c r="K16" s="76" t="n">
        <v>321.54</v>
      </c>
      <c r="L16" s="75" t="n">
        <v>3.2</v>
      </c>
      <c r="M16" s="67" t="inlineStr">
        <is>
          <t>Maund</t>
        </is>
      </c>
      <c r="N16" s="76" t="n">
        <v>119.42</v>
      </c>
      <c r="O16" s="67" t="n"/>
      <c r="P16" s="68" t="n"/>
    </row>
    <row r="17" ht="19.5" customHeight="1" s="45">
      <c r="B17" s="74" t="inlineStr">
        <is>
          <t>PO-0013</t>
        </is>
      </c>
      <c r="C17" s="67" t="inlineStr">
        <is>
          <t>M1-A-02</t>
        </is>
      </c>
      <c r="D17" s="67" t="inlineStr">
        <is>
          <t>M1</t>
        </is>
      </c>
      <c r="E17" s="67" t="inlineStr">
        <is>
          <t>Aratdar</t>
        </is>
      </c>
      <c r="F17" s="67" t="inlineStr">
        <is>
          <t>S02</t>
        </is>
      </c>
      <c r="G17" s="75" t="inlineStr">
        <is>
          <t>K</t>
        </is>
      </c>
      <c r="H17" s="75" t="inlineStr">
        <is>
          <t>K</t>
        </is>
      </c>
      <c r="I17" s="67" t="n"/>
      <c r="J17" s="76" t="n"/>
      <c r="K17" s="76" t="n"/>
      <c r="L17" s="75" t="n"/>
      <c r="M17" s="67" t="n"/>
      <c r="N17" s="76" t="n"/>
      <c r="O17" s="67" t="n"/>
      <c r="P17" s="68" t="inlineStr">
        <is>
          <t>Species not handled today</t>
        </is>
      </c>
    </row>
    <row r="18" ht="19.5" customHeight="1" s="45">
      <c r="B18" s="74" t="inlineStr">
        <is>
          <t>PO-0014</t>
        </is>
      </c>
      <c r="C18" s="67" t="inlineStr">
        <is>
          <t>M1-A-02</t>
        </is>
      </c>
      <c r="D18" s="67" t="inlineStr">
        <is>
          <t>M1</t>
        </is>
      </c>
      <c r="E18" s="67" t="inlineStr">
        <is>
          <t>Aratdar</t>
        </is>
      </c>
      <c r="F18" s="67" t="inlineStr">
        <is>
          <t>S09</t>
        </is>
      </c>
      <c r="G18" s="75" t="inlineStr">
        <is>
          <t>K</t>
        </is>
      </c>
      <c r="H18" s="75" t="inlineStr">
        <is>
          <t>K</t>
        </is>
      </c>
      <c r="I18" s="67" t="n"/>
      <c r="J18" s="76" t="n"/>
      <c r="K18" s="76" t="n"/>
      <c r="L18" s="75" t="n"/>
      <c r="M18" s="67" t="n"/>
      <c r="N18" s="76" t="n"/>
      <c r="O18" s="67" t="n"/>
      <c r="P18" s="68" t="inlineStr">
        <is>
          <t>Species not handled today</t>
        </is>
      </c>
    </row>
    <row r="19" ht="19.5" customHeight="1" s="45">
      <c r="B19" s="74" t="inlineStr">
        <is>
          <t>PO-0015</t>
        </is>
      </c>
      <c r="C19" s="67" t="inlineStr">
        <is>
          <t>M1-A-03</t>
        </is>
      </c>
      <c r="D19" s="67" t="inlineStr">
        <is>
          <t>M1</t>
        </is>
      </c>
      <c r="E19" s="67" t="inlineStr">
        <is>
          <t>Aratdar</t>
        </is>
      </c>
      <c r="F19" s="67" t="inlineStr">
        <is>
          <t>S01</t>
        </is>
      </c>
      <c r="G19" s="75" t="n">
        <v>37000</v>
      </c>
      <c r="H19" s="75" t="n">
        <v>38000</v>
      </c>
      <c r="I19" s="67" t="inlineStr">
        <is>
          <t>Maund</t>
        </is>
      </c>
      <c r="J19" s="76" t="n">
        <v>991.4299999999999</v>
      </c>
      <c r="K19" s="76" t="n">
        <v>1018.22</v>
      </c>
      <c r="L19" s="75" t="n">
        <v>2.4</v>
      </c>
      <c r="M19" s="67" t="inlineStr">
        <is>
          <t>Maund</t>
        </is>
      </c>
      <c r="N19" s="76" t="n">
        <v>89.56999999999999</v>
      </c>
      <c r="O19" s="67" t="n"/>
      <c r="P19" s="68" t="n"/>
    </row>
    <row r="20" ht="19.5" customHeight="1" s="45">
      <c r="B20" s="74" t="inlineStr">
        <is>
          <t>PO-0016</t>
        </is>
      </c>
      <c r="C20" s="67" t="inlineStr">
        <is>
          <t>M1-A-03</t>
        </is>
      </c>
      <c r="D20" s="67" t="inlineStr">
        <is>
          <t>M1</t>
        </is>
      </c>
      <c r="E20" s="67" t="inlineStr">
        <is>
          <t>Aratdar</t>
        </is>
      </c>
      <c r="F20" s="67" t="inlineStr">
        <is>
          <t>S02</t>
        </is>
      </c>
      <c r="G20" s="75" t="n">
        <v>40750</v>
      </c>
      <c r="H20" s="75" t="n">
        <v>42000</v>
      </c>
      <c r="I20" s="67" t="inlineStr">
        <is>
          <t>Maund</t>
        </is>
      </c>
      <c r="J20" s="76" t="n">
        <v>1091.91</v>
      </c>
      <c r="K20" s="76" t="n">
        <v>1125.4</v>
      </c>
      <c r="L20" s="75" t="n">
        <v>1.8</v>
      </c>
      <c r="M20" s="67" t="inlineStr">
        <is>
          <t>Maund</t>
        </is>
      </c>
      <c r="N20" s="76" t="n">
        <v>67.18000000000001</v>
      </c>
      <c r="O20" s="67" t="n"/>
      <c r="P20" s="68" t="n"/>
    </row>
    <row r="21" ht="19.5" customHeight="1" s="45">
      <c r="B21" s="74" t="inlineStr">
        <is>
          <t>PO-0017</t>
        </is>
      </c>
      <c r="C21" s="67" t="inlineStr">
        <is>
          <t>M1-A-03</t>
        </is>
      </c>
      <c r="D21" s="67" t="inlineStr">
        <is>
          <t>M1</t>
        </is>
      </c>
      <c r="E21" s="67" t="inlineStr">
        <is>
          <t>Aratdar</t>
        </is>
      </c>
      <c r="F21" s="67" t="inlineStr">
        <is>
          <t>S04</t>
        </is>
      </c>
      <c r="G21" s="75" t="n">
        <v>24750</v>
      </c>
      <c r="H21" s="75" t="n">
        <v>26000</v>
      </c>
      <c r="I21" s="67" t="inlineStr">
        <is>
          <t>Maund</t>
        </is>
      </c>
      <c r="J21" s="76" t="n">
        <v>663.1799999999999</v>
      </c>
      <c r="K21" s="76" t="n">
        <v>696.6799999999999</v>
      </c>
      <c r="L21" s="75" t="n">
        <v>3.8</v>
      </c>
      <c r="M21" s="67" t="inlineStr">
        <is>
          <t>Maund</t>
        </is>
      </c>
      <c r="N21" s="76" t="n">
        <v>141.82</v>
      </c>
      <c r="O21" s="67" t="n"/>
      <c r="P21" s="68" t="n"/>
    </row>
    <row r="22" ht="19.5" customHeight="1" s="45">
      <c r="B22" s="74" t="inlineStr">
        <is>
          <t>PO-0018</t>
        </is>
      </c>
      <c r="C22" s="67" t="inlineStr">
        <is>
          <t>M1-A-03</t>
        </is>
      </c>
      <c r="D22" s="67" t="inlineStr">
        <is>
          <t>M1</t>
        </is>
      </c>
      <c r="E22" s="67" t="inlineStr">
        <is>
          <t>Aratdar</t>
        </is>
      </c>
      <c r="F22" s="67" t="inlineStr">
        <is>
          <t>S05</t>
        </is>
      </c>
      <c r="G22" s="75" t="n">
        <v>15500</v>
      </c>
      <c r="H22" s="75" t="n">
        <v>16250</v>
      </c>
      <c r="I22" s="67" t="inlineStr">
        <is>
          <t>Maund</t>
        </is>
      </c>
      <c r="J22" s="76" t="n">
        <v>415.33</v>
      </c>
      <c r="K22" s="76" t="n">
        <v>435.42</v>
      </c>
      <c r="L22" s="75" t="n">
        <v>2.5</v>
      </c>
      <c r="M22" s="67" t="inlineStr">
        <is>
          <t>Maund</t>
        </is>
      </c>
      <c r="N22" s="76" t="n">
        <v>93.3</v>
      </c>
      <c r="O22" s="67" t="n"/>
      <c r="P22" s="68" t="n"/>
    </row>
    <row r="23" ht="19.5" customHeight="1" s="45">
      <c r="B23" s="74" t="inlineStr">
        <is>
          <t>PO-0019</t>
        </is>
      </c>
      <c r="C23" s="67" t="inlineStr">
        <is>
          <t>M1-A-03</t>
        </is>
      </c>
      <c r="D23" s="67" t="inlineStr">
        <is>
          <t>M1</t>
        </is>
      </c>
      <c r="E23" s="67" t="inlineStr">
        <is>
          <t>Aratdar</t>
        </is>
      </c>
      <c r="F23" s="67" t="inlineStr">
        <is>
          <t>S08</t>
        </is>
      </c>
      <c r="G23" s="75" t="n">
        <v>9600</v>
      </c>
      <c r="H23" s="75" t="n">
        <v>10000</v>
      </c>
      <c r="I23" s="67" t="inlineStr">
        <is>
          <t>Maund</t>
        </is>
      </c>
      <c r="J23" s="76" t="n">
        <v>257.23</v>
      </c>
      <c r="K23" s="76" t="n">
        <v>267.95</v>
      </c>
      <c r="L23" s="75" t="n">
        <v>1.9</v>
      </c>
      <c r="M23" s="67" t="inlineStr">
        <is>
          <t>Maund</t>
        </is>
      </c>
      <c r="N23" s="76" t="n">
        <v>70.91</v>
      </c>
      <c r="O23" s="67" t="n"/>
      <c r="P23" s="68" t="n"/>
    </row>
    <row r="24" ht="19.5" customHeight="1" s="45">
      <c r="B24" s="74" t="inlineStr">
        <is>
          <t>PO-0020</t>
        </is>
      </c>
      <c r="C24" s="67" t="inlineStr">
        <is>
          <t>M1-A-04</t>
        </is>
      </c>
      <c r="D24" s="67" t="inlineStr">
        <is>
          <t>M1</t>
        </is>
      </c>
      <c r="E24" s="67" t="inlineStr">
        <is>
          <t>Aratdar</t>
        </is>
      </c>
      <c r="F24" s="67" t="inlineStr">
        <is>
          <t>S01</t>
        </is>
      </c>
      <c r="G24" s="75" t="n">
        <v>37000</v>
      </c>
      <c r="H24" s="75" t="n">
        <v>39250</v>
      </c>
      <c r="I24" s="67" t="inlineStr">
        <is>
          <t>Maund</t>
        </is>
      </c>
      <c r="J24" s="76" t="n">
        <v>991.4299999999999</v>
      </c>
      <c r="K24" s="76" t="n">
        <v>1051.71</v>
      </c>
      <c r="L24" s="75" t="n">
        <v>2.2</v>
      </c>
      <c r="M24" s="67" t="inlineStr">
        <is>
          <t>Maund</t>
        </is>
      </c>
      <c r="N24" s="76" t="n">
        <v>82.09999999999999</v>
      </c>
      <c r="O24" s="67" t="n"/>
      <c r="P24" s="68" t="n"/>
    </row>
    <row r="25" ht="19.5" customHeight="1" s="45">
      <c r="B25" s="74" t="inlineStr">
        <is>
          <t>PO-0021</t>
        </is>
      </c>
      <c r="C25" s="67" t="inlineStr">
        <is>
          <t>M1-A-04</t>
        </is>
      </c>
      <c r="D25" s="67" t="inlineStr">
        <is>
          <t>M1</t>
        </is>
      </c>
      <c r="E25" s="67" t="inlineStr">
        <is>
          <t>Aratdar</t>
        </is>
      </c>
      <c r="F25" s="67" t="inlineStr">
        <is>
          <t>S02</t>
        </is>
      </c>
      <c r="G25" s="75" t="n">
        <v>44250</v>
      </c>
      <c r="H25" s="75" t="n">
        <v>46750</v>
      </c>
      <c r="I25" s="67" t="inlineStr">
        <is>
          <t>Maund</t>
        </is>
      </c>
      <c r="J25" s="76" t="n">
        <v>1185.69</v>
      </c>
      <c r="K25" s="76" t="n">
        <v>1252.68</v>
      </c>
      <c r="L25" s="75" t="n">
        <v>2.3</v>
      </c>
      <c r="M25" s="67" t="inlineStr">
        <is>
          <t>Maund</t>
        </is>
      </c>
      <c r="N25" s="76" t="n">
        <v>85.84</v>
      </c>
      <c r="O25" s="67" t="n"/>
      <c r="P25" s="68" t="n"/>
    </row>
    <row r="26" ht="19.5" customHeight="1" s="45">
      <c r="B26" s="74" t="inlineStr">
        <is>
          <t>PO-0022</t>
        </is>
      </c>
      <c r="C26" s="67" t="inlineStr">
        <is>
          <t>M1-A-04</t>
        </is>
      </c>
      <c r="D26" s="67" t="inlineStr">
        <is>
          <t>M1</t>
        </is>
      </c>
      <c r="E26" s="67" t="inlineStr">
        <is>
          <t>Aratdar</t>
        </is>
      </c>
      <c r="F26" s="67" t="inlineStr">
        <is>
          <t>S03</t>
        </is>
      </c>
      <c r="G26" s="75" t="n">
        <v>29250</v>
      </c>
      <c r="H26" s="75" t="n">
        <v>30750</v>
      </c>
      <c r="I26" s="67" t="inlineStr">
        <is>
          <t>Maund</t>
        </is>
      </c>
      <c r="J26" s="76" t="n">
        <v>783.76</v>
      </c>
      <c r="K26" s="76" t="n">
        <v>823.95</v>
      </c>
      <c r="L26" s="75" t="n">
        <v>2.4</v>
      </c>
      <c r="M26" s="67" t="inlineStr">
        <is>
          <t>Maund</t>
        </is>
      </c>
      <c r="N26" s="76" t="n">
        <v>89.56999999999999</v>
      </c>
      <c r="O26" s="67" t="n"/>
      <c r="P26" s="68" t="n"/>
    </row>
    <row r="27" ht="19.5" customHeight="1" s="45">
      <c r="B27" s="74" t="inlineStr">
        <is>
          <t>PO-0023</t>
        </is>
      </c>
      <c r="C27" s="67" t="inlineStr">
        <is>
          <t>M1-A-04</t>
        </is>
      </c>
      <c r="D27" s="67" t="inlineStr">
        <is>
          <t>M1</t>
        </is>
      </c>
      <c r="E27" s="67" t="inlineStr">
        <is>
          <t>Aratdar</t>
        </is>
      </c>
      <c r="F27" s="67" t="inlineStr">
        <is>
          <t>S06</t>
        </is>
      </c>
      <c r="G27" s="75" t="n">
        <v>12000</v>
      </c>
      <c r="H27" s="75" t="n">
        <v>12750</v>
      </c>
      <c r="I27" s="67" t="inlineStr">
        <is>
          <t>Maund</t>
        </is>
      </c>
      <c r="J27" s="76" t="n">
        <v>321.54</v>
      </c>
      <c r="K27" s="76" t="n">
        <v>341.64</v>
      </c>
      <c r="L27" s="75" t="n">
        <v>1.8</v>
      </c>
      <c r="M27" s="67" t="inlineStr">
        <is>
          <t>Maund</t>
        </is>
      </c>
      <c r="N27" s="76" t="n">
        <v>67.18000000000001</v>
      </c>
      <c r="O27" s="67" t="n"/>
      <c r="P27" s="68" t="n"/>
    </row>
    <row r="28" ht="19.5" customHeight="1" s="45">
      <c r="B28" s="74" t="inlineStr">
        <is>
          <t>PO-0024</t>
        </is>
      </c>
      <c r="C28" s="67" t="inlineStr">
        <is>
          <t>M1-A-04</t>
        </is>
      </c>
      <c r="D28" s="67" t="inlineStr">
        <is>
          <t>M1</t>
        </is>
      </c>
      <c r="E28" s="67" t="inlineStr">
        <is>
          <t>Aratdar</t>
        </is>
      </c>
      <c r="F28" s="67" t="inlineStr">
        <is>
          <t>S07</t>
        </is>
      </c>
      <c r="G28" s="75" t="n">
        <v>13750</v>
      </c>
      <c r="H28" s="75" t="n">
        <v>14500</v>
      </c>
      <c r="I28" s="67" t="inlineStr">
        <is>
          <t>Maund</t>
        </is>
      </c>
      <c r="J28" s="76" t="n">
        <v>368.44</v>
      </c>
      <c r="K28" s="76" t="n">
        <v>388.53</v>
      </c>
      <c r="L28" s="75" t="n">
        <v>1.4</v>
      </c>
      <c r="M28" s="67" t="inlineStr">
        <is>
          <t>Maund</t>
        </is>
      </c>
      <c r="N28" s="76" t="n">
        <v>52.25</v>
      </c>
      <c r="O28" s="67" t="n"/>
      <c r="P28" s="68" t="n"/>
    </row>
    <row r="29" ht="19.5" customHeight="1" s="45">
      <c r="B29" s="74" t="inlineStr">
        <is>
          <t>PO-0025</t>
        </is>
      </c>
      <c r="C29" s="67" t="inlineStr">
        <is>
          <t>M1-A-05</t>
        </is>
      </c>
      <c r="D29" s="67" t="inlineStr">
        <is>
          <t>M1</t>
        </is>
      </c>
      <c r="E29" s="67" t="inlineStr">
        <is>
          <t>Aratdar</t>
        </is>
      </c>
      <c r="F29" s="67" t="inlineStr">
        <is>
          <t>S01</t>
        </is>
      </c>
      <c r="G29" s="75" t="n">
        <v>40250</v>
      </c>
      <c r="H29" s="75" t="n">
        <v>41750</v>
      </c>
      <c r="I29" s="67" t="inlineStr">
        <is>
          <t>Maund</t>
        </is>
      </c>
      <c r="J29" s="76" t="n">
        <v>1078.51</v>
      </c>
      <c r="K29" s="76" t="n">
        <v>1118.7</v>
      </c>
      <c r="L29" s="75" t="n">
        <v>6.4</v>
      </c>
      <c r="M29" s="67" t="inlineStr">
        <is>
          <t>Maund</t>
        </is>
      </c>
      <c r="N29" s="76" t="n">
        <v>238.85</v>
      </c>
      <c r="O29" s="67" t="n"/>
      <c r="P29" s="68" t="n"/>
    </row>
    <row r="30" ht="19.5" customHeight="1" s="45">
      <c r="B30" s="74" t="inlineStr">
        <is>
          <t>PO-0026</t>
        </is>
      </c>
      <c r="C30" s="67" t="inlineStr">
        <is>
          <t>M1-A-05</t>
        </is>
      </c>
      <c r="D30" s="67" t="inlineStr">
        <is>
          <t>M1</t>
        </is>
      </c>
      <c r="E30" s="67" t="inlineStr">
        <is>
          <t>Aratdar</t>
        </is>
      </c>
      <c r="F30" s="67" t="inlineStr">
        <is>
          <t>S02</t>
        </is>
      </c>
      <c r="G30" s="75" t="n">
        <v>40500</v>
      </c>
      <c r="H30" s="75" t="n">
        <v>42500</v>
      </c>
      <c r="I30" s="67" t="inlineStr">
        <is>
          <t>Maund</t>
        </is>
      </c>
      <c r="J30" s="76" t="n">
        <v>1085.21</v>
      </c>
      <c r="K30" s="76" t="n">
        <v>1138.8</v>
      </c>
      <c r="L30" s="75" t="n">
        <v>4.9</v>
      </c>
      <c r="M30" s="67" t="inlineStr">
        <is>
          <t>Maund</t>
        </is>
      </c>
      <c r="N30" s="76" t="n">
        <v>182.87</v>
      </c>
      <c r="O30" s="67" t="n"/>
      <c r="P30" s="68" t="n"/>
    </row>
    <row r="31" ht="19.5" customHeight="1" s="45">
      <c r="B31" s="74" t="inlineStr">
        <is>
          <t>PO-0027</t>
        </is>
      </c>
      <c r="C31" s="67" t="inlineStr">
        <is>
          <t>M1-A-05</t>
        </is>
      </c>
      <c r="D31" s="67" t="inlineStr">
        <is>
          <t>M1</t>
        </is>
      </c>
      <c r="E31" s="67" t="inlineStr">
        <is>
          <t>Aratdar</t>
        </is>
      </c>
      <c r="F31" s="67" t="inlineStr">
        <is>
          <t>S03</t>
        </is>
      </c>
      <c r="G31" s="75" t="n">
        <v>28000</v>
      </c>
      <c r="H31" s="75" t="n">
        <v>29250</v>
      </c>
      <c r="I31" s="67" t="inlineStr">
        <is>
          <t>Maund</t>
        </is>
      </c>
      <c r="J31" s="76" t="n">
        <v>750.27</v>
      </c>
      <c r="K31" s="76" t="n">
        <v>783.76</v>
      </c>
      <c r="L31" s="75" t="n">
        <v>6</v>
      </c>
      <c r="M31" s="67" t="inlineStr">
        <is>
          <t>Maund</t>
        </is>
      </c>
      <c r="N31" s="76" t="n">
        <v>223.92</v>
      </c>
      <c r="O31" s="67" t="inlineStr">
        <is>
          <t>PAIR-M1-01</t>
        </is>
      </c>
      <c r="P31" s="68" t="n"/>
    </row>
    <row r="32" ht="19.5" customHeight="1" s="45">
      <c r="B32" s="74" t="inlineStr">
        <is>
          <t>PO-0028</t>
        </is>
      </c>
      <c r="C32" s="67" t="inlineStr">
        <is>
          <t>M1-A-05</t>
        </is>
      </c>
      <c r="D32" s="67" t="inlineStr">
        <is>
          <t>M1</t>
        </is>
      </c>
      <c r="E32" s="67" t="inlineStr">
        <is>
          <t>Aratdar</t>
        </is>
      </c>
      <c r="F32" s="67" t="inlineStr">
        <is>
          <t>S05</t>
        </is>
      </c>
      <c r="G32" s="75" t="n">
        <v>15250</v>
      </c>
      <c r="H32" s="75" t="n">
        <v>16000</v>
      </c>
      <c r="I32" s="67" t="inlineStr">
        <is>
          <t>Maund</t>
        </is>
      </c>
      <c r="J32" s="76" t="n">
        <v>408.63</v>
      </c>
      <c r="K32" s="76" t="n">
        <v>428.72</v>
      </c>
      <c r="L32" s="75" t="n">
        <v>4.5</v>
      </c>
      <c r="M32" s="67" t="inlineStr">
        <is>
          <t>Maund</t>
        </is>
      </c>
      <c r="N32" s="76" t="n">
        <v>167.94</v>
      </c>
      <c r="O32" s="67" t="n"/>
      <c r="P32" s="68" t="n"/>
    </row>
    <row r="33" ht="19.5" customHeight="1" s="45">
      <c r="B33" s="74" t="inlineStr">
        <is>
          <t>PO-0029</t>
        </is>
      </c>
      <c r="C33" s="67" t="inlineStr">
        <is>
          <t>M1-A-05</t>
        </is>
      </c>
      <c r="D33" s="67" t="inlineStr">
        <is>
          <t>M1</t>
        </is>
      </c>
      <c r="E33" s="67" t="inlineStr">
        <is>
          <t>Aratdar</t>
        </is>
      </c>
      <c r="F33" s="67" t="inlineStr">
        <is>
          <t>S06</t>
        </is>
      </c>
      <c r="G33" s="75" t="n">
        <v>11750</v>
      </c>
      <c r="H33" s="75" t="n">
        <v>12250</v>
      </c>
      <c r="I33" s="67" t="inlineStr">
        <is>
          <t>Maund</t>
        </is>
      </c>
      <c r="J33" s="76" t="n">
        <v>314.84</v>
      </c>
      <c r="K33" s="76" t="n">
        <v>328.24</v>
      </c>
      <c r="L33" s="75" t="n">
        <v>5.4</v>
      </c>
      <c r="M33" s="67" t="inlineStr">
        <is>
          <t>Maund</t>
        </is>
      </c>
      <c r="N33" s="76" t="n">
        <v>201.53</v>
      </c>
      <c r="O33" s="67" t="n"/>
      <c r="P33" s="68" t="n"/>
    </row>
    <row r="34" ht="19.5" customHeight="1" s="45">
      <c r="B34" s="74" t="inlineStr">
        <is>
          <t>PO-0030</t>
        </is>
      </c>
      <c r="C34" s="67" t="inlineStr">
        <is>
          <t>M1-B-01</t>
        </is>
      </c>
      <c r="D34" s="67" t="inlineStr">
        <is>
          <t>M1</t>
        </is>
      </c>
      <c r="E34" s="67" t="inlineStr">
        <is>
          <t>Bepari_Faria</t>
        </is>
      </c>
      <c r="F34" s="67" t="inlineStr">
        <is>
          <t>S05</t>
        </is>
      </c>
      <c r="G34" s="75" t="n">
        <v>16250</v>
      </c>
      <c r="H34" s="75" t="n">
        <v>17250</v>
      </c>
      <c r="I34" s="67" t="inlineStr">
        <is>
          <t>Maund</t>
        </is>
      </c>
      <c r="J34" s="76" t="n">
        <v>435.42</v>
      </c>
      <c r="K34" s="76" t="n">
        <v>462.22</v>
      </c>
      <c r="L34" s="75" t="n">
        <v>1.1</v>
      </c>
      <c r="M34" s="67" t="inlineStr">
        <is>
          <t>Maund</t>
        </is>
      </c>
      <c r="N34" s="76" t="n">
        <v>41.05</v>
      </c>
      <c r="O34" s="67" t="n"/>
      <c r="P34" s="68" t="n"/>
    </row>
    <row r="35" ht="19.5" customHeight="1" s="45">
      <c r="B35" s="74" t="inlineStr">
        <is>
          <t>PO-0031</t>
        </is>
      </c>
      <c r="C35" s="67" t="inlineStr">
        <is>
          <t>M1-B-01</t>
        </is>
      </c>
      <c r="D35" s="67" t="inlineStr">
        <is>
          <t>M1</t>
        </is>
      </c>
      <c r="E35" s="67" t="inlineStr">
        <is>
          <t>Bepari_Faria</t>
        </is>
      </c>
      <c r="F35" s="67" t="inlineStr">
        <is>
          <t>S07</t>
        </is>
      </c>
      <c r="G35" s="75" t="n">
        <v>13750</v>
      </c>
      <c r="H35" s="75" t="n">
        <v>15500</v>
      </c>
      <c r="I35" s="67" t="inlineStr">
        <is>
          <t>Maund</t>
        </is>
      </c>
      <c r="J35" s="76" t="n">
        <v>368.44</v>
      </c>
      <c r="K35" s="76" t="n">
        <v>415.33</v>
      </c>
      <c r="L35" s="75" t="n">
        <v>1.3</v>
      </c>
      <c r="M35" s="67" t="inlineStr">
        <is>
          <t>Maund</t>
        </is>
      </c>
      <c r="N35" s="76" t="n">
        <v>48.52</v>
      </c>
      <c r="O35" s="67" t="n"/>
      <c r="P35" s="68" t="n"/>
    </row>
    <row r="36" ht="19.5" customHeight="1" s="45">
      <c r="B36" s="74" t="inlineStr">
        <is>
          <t>PO-0032</t>
        </is>
      </c>
      <c r="C36" s="67" t="inlineStr">
        <is>
          <t>M1-B-01</t>
        </is>
      </c>
      <c r="D36" s="67" t="inlineStr">
        <is>
          <t>M1</t>
        </is>
      </c>
      <c r="E36" s="67" t="inlineStr">
        <is>
          <t>Bepari_Faria</t>
        </is>
      </c>
      <c r="F36" s="67" t="inlineStr">
        <is>
          <t>S08</t>
        </is>
      </c>
      <c r="G36" s="75" t="n">
        <v>9300</v>
      </c>
      <c r="H36" s="75" t="n">
        <v>10250</v>
      </c>
      <c r="I36" s="67" t="inlineStr">
        <is>
          <t>Maund</t>
        </is>
      </c>
      <c r="J36" s="76" t="n">
        <v>249.2</v>
      </c>
      <c r="K36" s="76" t="n">
        <v>274.65</v>
      </c>
      <c r="L36" s="75" t="n">
        <v>1.2</v>
      </c>
      <c r="M36" s="67" t="inlineStr">
        <is>
          <t>Maund</t>
        </is>
      </c>
      <c r="N36" s="76" t="n">
        <v>44.78</v>
      </c>
      <c r="O36" s="67" t="n"/>
      <c r="P36" s="68" t="n"/>
    </row>
    <row r="37" ht="19.5" customHeight="1" s="45">
      <c r="B37" s="74" t="inlineStr">
        <is>
          <t>PO-0033</t>
        </is>
      </c>
      <c r="C37" s="67" t="inlineStr">
        <is>
          <t>M1-B-01</t>
        </is>
      </c>
      <c r="D37" s="67" t="inlineStr">
        <is>
          <t>M1</t>
        </is>
      </c>
      <c r="E37" s="67" t="inlineStr">
        <is>
          <t>Bepari_Faria</t>
        </is>
      </c>
      <c r="F37" s="67" t="inlineStr">
        <is>
          <t>S09</t>
        </is>
      </c>
      <c r="G37" s="75" t="n">
        <v>7700</v>
      </c>
      <c r="H37" s="75" t="n">
        <v>8500</v>
      </c>
      <c r="I37" s="67" t="inlineStr">
        <is>
          <t>Maund</t>
        </is>
      </c>
      <c r="J37" s="76" t="n">
        <v>206.32</v>
      </c>
      <c r="K37" s="76" t="n">
        <v>227.76</v>
      </c>
      <c r="L37" s="75" t="n">
        <v>0.9</v>
      </c>
      <c r="M37" s="67" t="inlineStr">
        <is>
          <t>Maund</t>
        </is>
      </c>
      <c r="N37" s="76" t="n">
        <v>33.59</v>
      </c>
      <c r="O37" s="67" t="n"/>
      <c r="P37" s="68" t="n"/>
    </row>
    <row r="38" ht="19.5" customHeight="1" s="45">
      <c r="B38" s="74" t="inlineStr">
        <is>
          <t>PO-0034</t>
        </is>
      </c>
      <c r="C38" s="67" t="inlineStr">
        <is>
          <t>M1-B-01</t>
        </is>
      </c>
      <c r="D38" s="67" t="inlineStr">
        <is>
          <t>M1</t>
        </is>
      </c>
      <c r="E38" s="67" t="inlineStr">
        <is>
          <t>Bepari_Faria</t>
        </is>
      </c>
      <c r="F38" s="67" t="inlineStr">
        <is>
          <t>S03</t>
        </is>
      </c>
      <c r="G38" s="75" t="inlineStr">
        <is>
          <t>K</t>
        </is>
      </c>
      <c r="H38" s="75" t="inlineStr">
        <is>
          <t>K</t>
        </is>
      </c>
      <c r="I38" s="67" t="n"/>
      <c r="J38" s="76" t="n"/>
      <c r="K38" s="76" t="n"/>
      <c r="L38" s="75" t="n"/>
      <c r="M38" s="67" t="n"/>
      <c r="N38" s="76" t="n"/>
      <c r="O38" s="67" t="n"/>
      <c r="P38" s="68" t="inlineStr">
        <is>
          <t>Species not handled today</t>
        </is>
      </c>
    </row>
    <row r="39" ht="19.5" customHeight="1" s="45">
      <c r="B39" s="74" t="inlineStr">
        <is>
          <t>PO-0035</t>
        </is>
      </c>
      <c r="C39" s="67" t="inlineStr">
        <is>
          <t>M1-B-01</t>
        </is>
      </c>
      <c r="D39" s="67" t="inlineStr">
        <is>
          <t>M1</t>
        </is>
      </c>
      <c r="E39" s="67" t="inlineStr">
        <is>
          <t>Bepari_Faria</t>
        </is>
      </c>
      <c r="F39" s="67" t="inlineStr">
        <is>
          <t>S02</t>
        </is>
      </c>
      <c r="G39" s="75" t="inlineStr">
        <is>
          <t>K</t>
        </is>
      </c>
      <c r="H39" s="75" t="inlineStr">
        <is>
          <t>K</t>
        </is>
      </c>
      <c r="I39" s="67" t="n"/>
      <c r="J39" s="76" t="n"/>
      <c r="K39" s="76" t="n"/>
      <c r="L39" s="75" t="n"/>
      <c r="M39" s="67" t="n"/>
      <c r="N39" s="76" t="n"/>
      <c r="O39" s="67" t="n"/>
      <c r="P39" s="68" t="inlineStr">
        <is>
          <t>Species not handled today</t>
        </is>
      </c>
    </row>
    <row r="40" ht="19.5" customHeight="1" s="45">
      <c r="B40" s="74" t="inlineStr">
        <is>
          <t>PO-0036</t>
        </is>
      </c>
      <c r="C40" s="67" t="inlineStr">
        <is>
          <t>M1-B-02</t>
        </is>
      </c>
      <c r="D40" s="67" t="inlineStr">
        <is>
          <t>M1</t>
        </is>
      </c>
      <c r="E40" s="67" t="inlineStr">
        <is>
          <t>Bepari_Faria</t>
        </is>
      </c>
      <c r="F40" s="67" t="inlineStr">
        <is>
          <t>S04</t>
        </is>
      </c>
      <c r="G40" s="75" t="n">
        <v>24000</v>
      </c>
      <c r="H40" s="75" t="n">
        <v>26000</v>
      </c>
      <c r="I40" s="67" t="inlineStr">
        <is>
          <t>Maund</t>
        </is>
      </c>
      <c r="J40" s="76" t="n">
        <v>643.09</v>
      </c>
      <c r="K40" s="76" t="n">
        <v>696.6799999999999</v>
      </c>
      <c r="L40" s="75" t="n">
        <v>1.9</v>
      </c>
      <c r="M40" s="67" t="inlineStr">
        <is>
          <t>Maund</t>
        </is>
      </c>
      <c r="N40" s="76" t="n">
        <v>70.91</v>
      </c>
      <c r="O40" s="67" t="n"/>
      <c r="P40" s="68" t="n"/>
    </row>
    <row r="41" ht="19.5" customHeight="1" s="45">
      <c r="B41" s="74" t="inlineStr">
        <is>
          <t>PO-0037</t>
        </is>
      </c>
      <c r="C41" s="67" t="inlineStr">
        <is>
          <t>M1-B-02</t>
        </is>
      </c>
      <c r="D41" s="67" t="inlineStr">
        <is>
          <t>M1</t>
        </is>
      </c>
      <c r="E41" s="67" t="inlineStr">
        <is>
          <t>Bepari_Faria</t>
        </is>
      </c>
      <c r="F41" s="67" t="inlineStr">
        <is>
          <t>S05</t>
        </is>
      </c>
      <c r="G41" s="75" t="n">
        <v>15250</v>
      </c>
      <c r="H41" s="75" t="n">
        <v>17250</v>
      </c>
      <c r="I41" s="67" t="inlineStr">
        <is>
          <t>Maund</t>
        </is>
      </c>
      <c r="J41" s="76" t="n">
        <v>408.63</v>
      </c>
      <c r="K41" s="76" t="n">
        <v>462.22</v>
      </c>
      <c r="L41" s="75" t="n">
        <v>1.7</v>
      </c>
      <c r="M41" s="67" t="inlineStr">
        <is>
          <t>Maund</t>
        </is>
      </c>
      <c r="N41" s="76" t="n">
        <v>63.44</v>
      </c>
      <c r="O41" s="67" t="n"/>
      <c r="P41" s="68" t="n"/>
    </row>
    <row r="42" ht="19.5" customHeight="1" s="45">
      <c r="B42" s="74" t="inlineStr">
        <is>
          <t>PO-0038</t>
        </is>
      </c>
      <c r="C42" s="67" t="inlineStr">
        <is>
          <t>M1-B-02</t>
        </is>
      </c>
      <c r="D42" s="67" t="inlineStr">
        <is>
          <t>M1</t>
        </is>
      </c>
      <c r="E42" s="67" t="inlineStr">
        <is>
          <t>Bepari_Faria</t>
        </is>
      </c>
      <c r="F42" s="67" t="inlineStr">
        <is>
          <t>S06</t>
        </is>
      </c>
      <c r="G42" s="75" t="n">
        <v>12500</v>
      </c>
      <c r="H42" s="75" t="n">
        <v>13500</v>
      </c>
      <c r="I42" s="67" t="inlineStr">
        <is>
          <t>Maund</t>
        </is>
      </c>
      <c r="J42" s="76" t="n">
        <v>334.94</v>
      </c>
      <c r="K42" s="76" t="n">
        <v>361.74</v>
      </c>
      <c r="L42" s="75" t="n">
        <v>0.8</v>
      </c>
      <c r="M42" s="67" t="inlineStr">
        <is>
          <t>Maund</t>
        </is>
      </c>
      <c r="N42" s="76" t="n">
        <v>29.86</v>
      </c>
      <c r="O42" s="67" t="n"/>
      <c r="P42" s="68" t="n"/>
    </row>
    <row r="43" ht="19.5" customHeight="1" s="45">
      <c r="B43" s="74" t="inlineStr">
        <is>
          <t>PO-0039</t>
        </is>
      </c>
      <c r="C43" s="67" t="inlineStr">
        <is>
          <t>M1-B-02</t>
        </is>
      </c>
      <c r="D43" s="67" t="inlineStr">
        <is>
          <t>M1</t>
        </is>
      </c>
      <c r="E43" s="67" t="inlineStr">
        <is>
          <t>Bepari_Faria</t>
        </is>
      </c>
      <c r="F43" s="67" t="inlineStr">
        <is>
          <t>S08</t>
        </is>
      </c>
      <c r="G43" s="75" t="n">
        <v>9000</v>
      </c>
      <c r="H43" s="75" t="n">
        <v>9800</v>
      </c>
      <c r="I43" s="67" t="inlineStr">
        <is>
          <t>Maund</t>
        </is>
      </c>
      <c r="J43" s="76" t="n">
        <v>241.16</v>
      </c>
      <c r="K43" s="76" t="n">
        <v>262.59</v>
      </c>
      <c r="L43" s="75" t="n">
        <v>1</v>
      </c>
      <c r="M43" s="67" t="inlineStr">
        <is>
          <t>Maund</t>
        </is>
      </c>
      <c r="N43" s="76" t="n">
        <v>37.32</v>
      </c>
      <c r="O43" s="67" t="n"/>
      <c r="P43" s="68" t="n"/>
    </row>
    <row r="44" ht="19.5" customHeight="1" s="45">
      <c r="B44" s="74" t="inlineStr">
        <is>
          <t>PO-0040</t>
        </is>
      </c>
      <c r="C44" s="67" t="inlineStr">
        <is>
          <t>M1-B-02</t>
        </is>
      </c>
      <c r="D44" s="67" t="inlineStr">
        <is>
          <t>M1</t>
        </is>
      </c>
      <c r="E44" s="67" t="inlineStr">
        <is>
          <t>Bepari_Faria</t>
        </is>
      </c>
      <c r="F44" s="67" t="inlineStr">
        <is>
          <t>S09</t>
        </is>
      </c>
      <c r="G44" s="75" t="n">
        <v>7200</v>
      </c>
      <c r="H44" s="75" t="n">
        <v>7800</v>
      </c>
      <c r="I44" s="67" t="inlineStr">
        <is>
          <t>Maund</t>
        </is>
      </c>
      <c r="J44" s="76" t="n">
        <v>192.93</v>
      </c>
      <c r="K44" s="76" t="n">
        <v>209</v>
      </c>
      <c r="L44" s="75" t="n">
        <v>1.1</v>
      </c>
      <c r="M44" s="67" t="inlineStr">
        <is>
          <t>Maund</t>
        </is>
      </c>
      <c r="N44" s="76" t="n">
        <v>41.05</v>
      </c>
      <c r="O44" s="67" t="n"/>
      <c r="P44" s="68" t="n"/>
    </row>
    <row r="45" ht="19.5" customHeight="1" s="45">
      <c r="B45" s="74" t="inlineStr">
        <is>
          <t>PO-0041</t>
        </is>
      </c>
      <c r="C45" s="67" t="inlineStr">
        <is>
          <t>M1-B-03</t>
        </is>
      </c>
      <c r="D45" s="67" t="inlineStr">
        <is>
          <t>M1</t>
        </is>
      </c>
      <c r="E45" s="67" t="inlineStr">
        <is>
          <t>Bepari_Faria</t>
        </is>
      </c>
      <c r="F45" s="67" t="inlineStr">
        <is>
          <t>S01</t>
        </is>
      </c>
      <c r="G45" s="75" t="n">
        <v>37500</v>
      </c>
      <c r="H45" s="75" t="n">
        <v>42000</v>
      </c>
      <c r="I45" s="67" t="inlineStr">
        <is>
          <t>Maund</t>
        </is>
      </c>
      <c r="J45" s="76" t="n">
        <v>1004.82</v>
      </c>
      <c r="K45" s="76" t="n">
        <v>1125.4</v>
      </c>
      <c r="L45" s="75" t="n">
        <v>1</v>
      </c>
      <c r="M45" s="67" t="inlineStr">
        <is>
          <t>Maund</t>
        </is>
      </c>
      <c r="N45" s="76" t="n">
        <v>37.32</v>
      </c>
      <c r="O45" s="67" t="n"/>
      <c r="P45" s="68" t="n"/>
    </row>
    <row r="46" ht="19.5" customHeight="1" s="45">
      <c r="B46" s="74" t="inlineStr">
        <is>
          <t>PO-0042</t>
        </is>
      </c>
      <c r="C46" s="67" t="inlineStr">
        <is>
          <t>M1-B-03</t>
        </is>
      </c>
      <c r="D46" s="67" t="inlineStr">
        <is>
          <t>M1</t>
        </is>
      </c>
      <c r="E46" s="67" t="inlineStr">
        <is>
          <t>Bepari_Faria</t>
        </is>
      </c>
      <c r="F46" s="67" t="inlineStr">
        <is>
          <t>S05</t>
        </is>
      </c>
      <c r="G46" s="75" t="n">
        <v>16500</v>
      </c>
      <c r="H46" s="75" t="n">
        <v>17500</v>
      </c>
      <c r="I46" s="67" t="inlineStr">
        <is>
          <t>Maund</t>
        </is>
      </c>
      <c r="J46" s="76" t="n">
        <v>442.12</v>
      </c>
      <c r="K46" s="76" t="n">
        <v>468.92</v>
      </c>
      <c r="L46" s="75" t="n">
        <v>1.1</v>
      </c>
      <c r="M46" s="67" t="inlineStr">
        <is>
          <t>Maund</t>
        </is>
      </c>
      <c r="N46" s="76" t="n">
        <v>41.05</v>
      </c>
      <c r="O46" s="67" t="n"/>
      <c r="P46" s="68" t="n"/>
    </row>
    <row r="47" ht="19.5" customHeight="1" s="45">
      <c r="B47" s="74" t="inlineStr">
        <is>
          <t>PO-0043</t>
        </is>
      </c>
      <c r="C47" s="67" t="inlineStr">
        <is>
          <t>M1-B-03</t>
        </is>
      </c>
      <c r="D47" s="67" t="inlineStr">
        <is>
          <t>M1</t>
        </is>
      </c>
      <c r="E47" s="67" t="inlineStr">
        <is>
          <t>Bepari_Faria</t>
        </is>
      </c>
      <c r="F47" s="67" t="inlineStr">
        <is>
          <t>S06</t>
        </is>
      </c>
      <c r="G47" s="75" t="n">
        <v>13000</v>
      </c>
      <c r="H47" s="75" t="n">
        <v>14000</v>
      </c>
      <c r="I47" s="67" t="inlineStr">
        <is>
          <t>Maund</t>
        </is>
      </c>
      <c r="J47" s="76" t="n">
        <v>348.34</v>
      </c>
      <c r="K47" s="76" t="n">
        <v>375.13</v>
      </c>
      <c r="L47" s="75" t="n">
        <v>0.9</v>
      </c>
      <c r="M47" s="67" t="inlineStr">
        <is>
          <t>Maund</t>
        </is>
      </c>
      <c r="N47" s="76" t="n">
        <v>33.59</v>
      </c>
      <c r="O47" s="67" t="n"/>
      <c r="P47" s="68" t="n"/>
    </row>
    <row r="48" ht="19.5" customHeight="1" s="45">
      <c r="B48" s="74" t="inlineStr">
        <is>
          <t>PO-0044</t>
        </is>
      </c>
      <c r="C48" s="67" t="inlineStr">
        <is>
          <t>M1-B-03</t>
        </is>
      </c>
      <c r="D48" s="67" t="inlineStr">
        <is>
          <t>M1</t>
        </is>
      </c>
      <c r="E48" s="67" t="inlineStr">
        <is>
          <t>Bepari_Faria</t>
        </is>
      </c>
      <c r="F48" s="67" t="inlineStr">
        <is>
          <t>S07</t>
        </is>
      </c>
      <c r="G48" s="75" t="n">
        <v>13750</v>
      </c>
      <c r="H48" s="75" t="n">
        <v>15000</v>
      </c>
      <c r="I48" s="67" t="inlineStr">
        <is>
          <t>Maund</t>
        </is>
      </c>
      <c r="J48" s="76" t="n">
        <v>368.44</v>
      </c>
      <c r="K48" s="76" t="n">
        <v>401.93</v>
      </c>
      <c r="L48" s="75" t="n">
        <v>0.8</v>
      </c>
      <c r="M48" s="67" t="inlineStr">
        <is>
          <t>Maund</t>
        </is>
      </c>
      <c r="N48" s="76" t="n">
        <v>29.86</v>
      </c>
      <c r="O48" s="67" t="n"/>
      <c r="P48" s="68" t="n"/>
    </row>
    <row r="49" ht="19.5" customHeight="1" s="45">
      <c r="B49" s="74" t="inlineStr">
        <is>
          <t>PO-0045</t>
        </is>
      </c>
      <c r="C49" s="67" t="inlineStr">
        <is>
          <t>M1-B-03</t>
        </is>
      </c>
      <c r="D49" s="67" t="inlineStr">
        <is>
          <t>M1</t>
        </is>
      </c>
      <c r="E49" s="67" t="inlineStr">
        <is>
          <t>Bepari_Faria</t>
        </is>
      </c>
      <c r="F49" s="67" t="inlineStr">
        <is>
          <t>S09</t>
        </is>
      </c>
      <c r="G49" s="75" t="n">
        <v>7600</v>
      </c>
      <c r="H49" s="75" t="n">
        <v>8200</v>
      </c>
      <c r="I49" s="67" t="inlineStr">
        <is>
          <t>Maund</t>
        </is>
      </c>
      <c r="J49" s="76" t="n">
        <v>203.64</v>
      </c>
      <c r="K49" s="76" t="n">
        <v>219.72</v>
      </c>
      <c r="L49" s="75" t="n">
        <v>0.7</v>
      </c>
      <c r="M49" s="67" t="inlineStr">
        <is>
          <t>Maund</t>
        </is>
      </c>
      <c r="N49" s="76" t="n">
        <v>26.12</v>
      </c>
      <c r="O49" s="67" t="n"/>
      <c r="P49" s="68" t="n"/>
    </row>
    <row r="50" ht="19.5" customHeight="1" s="45">
      <c r="B50" s="74" t="inlineStr">
        <is>
          <t>PO-0046</t>
        </is>
      </c>
      <c r="C50" s="67" t="inlineStr">
        <is>
          <t>M1-B-03</t>
        </is>
      </c>
      <c r="D50" s="67" t="inlineStr">
        <is>
          <t>M1</t>
        </is>
      </c>
      <c r="E50" s="67" t="inlineStr">
        <is>
          <t>Bepari_Faria</t>
        </is>
      </c>
      <c r="F50" s="67" t="inlineStr">
        <is>
          <t>S08</t>
        </is>
      </c>
      <c r="G50" s="75" t="inlineStr">
        <is>
          <t>K</t>
        </is>
      </c>
      <c r="H50" s="75" t="inlineStr">
        <is>
          <t>K</t>
        </is>
      </c>
      <c r="I50" s="67" t="n"/>
      <c r="J50" s="76" t="n"/>
      <c r="K50" s="76" t="n"/>
      <c r="L50" s="75" t="n"/>
      <c r="M50" s="67" t="n"/>
      <c r="N50" s="76" t="n"/>
      <c r="O50" s="67" t="n"/>
      <c r="P50" s="68" t="inlineStr">
        <is>
          <t>Species not handled today</t>
        </is>
      </c>
    </row>
    <row r="51" ht="19.5" customHeight="1" s="45">
      <c r="B51" s="74" t="inlineStr">
        <is>
          <t>PO-0047</t>
        </is>
      </c>
      <c r="C51" s="67" t="inlineStr">
        <is>
          <t>M1-B-03</t>
        </is>
      </c>
      <c r="D51" s="67" t="inlineStr">
        <is>
          <t>M1</t>
        </is>
      </c>
      <c r="E51" s="67" t="inlineStr">
        <is>
          <t>Bepari_Faria</t>
        </is>
      </c>
      <c r="F51" s="67" t="inlineStr">
        <is>
          <t>S02</t>
        </is>
      </c>
      <c r="G51" s="75" t="inlineStr">
        <is>
          <t>K</t>
        </is>
      </c>
      <c r="H51" s="75" t="inlineStr">
        <is>
          <t>K</t>
        </is>
      </c>
      <c r="I51" s="67" t="n"/>
      <c r="J51" s="76" t="n"/>
      <c r="K51" s="76" t="n"/>
      <c r="L51" s="75" t="n"/>
      <c r="M51" s="67" t="n"/>
      <c r="N51" s="76" t="n"/>
      <c r="O51" s="67" t="n"/>
      <c r="P51" s="68" t="inlineStr">
        <is>
          <t>Species not handled today</t>
        </is>
      </c>
    </row>
    <row r="52" ht="19.5" customHeight="1" s="45">
      <c r="B52" s="74" t="inlineStr">
        <is>
          <t>PO-0048</t>
        </is>
      </c>
      <c r="C52" s="67" t="inlineStr">
        <is>
          <t>M1-B-04</t>
        </is>
      </c>
      <c r="D52" s="67" t="inlineStr">
        <is>
          <t>M1</t>
        </is>
      </c>
      <c r="E52" s="67" t="inlineStr">
        <is>
          <t>Bepari_Faria</t>
        </is>
      </c>
      <c r="F52" s="67" t="inlineStr">
        <is>
          <t>S01</t>
        </is>
      </c>
      <c r="G52" s="75" t="n">
        <v>38750</v>
      </c>
      <c r="H52" s="75" t="n">
        <v>42250</v>
      </c>
      <c r="I52" s="67" t="inlineStr">
        <is>
          <t>Maund</t>
        </is>
      </c>
      <c r="J52" s="76" t="n">
        <v>1038.32</v>
      </c>
      <c r="K52" s="76" t="n">
        <v>1132.1</v>
      </c>
      <c r="L52" s="75" t="n">
        <v>0.9</v>
      </c>
      <c r="M52" s="67" t="inlineStr">
        <is>
          <t>Maund</t>
        </is>
      </c>
      <c r="N52" s="76" t="n">
        <v>33.59</v>
      </c>
      <c r="O52" s="67" t="n"/>
      <c r="P52" s="68" t="n"/>
    </row>
    <row r="53" ht="19.5" customHeight="1" s="45">
      <c r="B53" s="74" t="inlineStr">
        <is>
          <t>PO-0049</t>
        </is>
      </c>
      <c r="C53" s="67" t="inlineStr">
        <is>
          <t>M1-B-04</t>
        </is>
      </c>
      <c r="D53" s="67" t="inlineStr">
        <is>
          <t>M1</t>
        </is>
      </c>
      <c r="E53" s="67" t="inlineStr">
        <is>
          <t>Bepari_Faria</t>
        </is>
      </c>
      <c r="F53" s="67" t="inlineStr">
        <is>
          <t>S02</t>
        </is>
      </c>
      <c r="G53" s="75" t="n">
        <v>46500</v>
      </c>
      <c r="H53" s="75" t="n">
        <v>52000</v>
      </c>
      <c r="I53" s="67" t="inlineStr">
        <is>
          <t>Maund</t>
        </is>
      </c>
      <c r="J53" s="76" t="n">
        <v>1245.98</v>
      </c>
      <c r="K53" s="76" t="n">
        <v>1393.35</v>
      </c>
      <c r="L53" s="75" t="n">
        <v>0.8</v>
      </c>
      <c r="M53" s="67" t="inlineStr">
        <is>
          <t>Maund</t>
        </is>
      </c>
      <c r="N53" s="76" t="n">
        <v>29.86</v>
      </c>
      <c r="O53" s="67" t="n"/>
      <c r="P53" s="68" t="n"/>
    </row>
    <row r="54" ht="19.5" customHeight="1" s="45">
      <c r="B54" s="74" t="inlineStr">
        <is>
          <t>PO-0050</t>
        </is>
      </c>
      <c r="C54" s="67" t="inlineStr">
        <is>
          <t>M1-B-04</t>
        </is>
      </c>
      <c r="D54" s="67" t="inlineStr">
        <is>
          <t>M1</t>
        </is>
      </c>
      <c r="E54" s="67" t="inlineStr">
        <is>
          <t>Bepari_Faria</t>
        </is>
      </c>
      <c r="F54" s="67" t="inlineStr">
        <is>
          <t>S05</t>
        </is>
      </c>
      <c r="G54" s="75" t="n">
        <v>16250</v>
      </c>
      <c r="H54" s="75" t="n">
        <v>18250</v>
      </c>
      <c r="I54" s="67" t="inlineStr">
        <is>
          <t>Maund</t>
        </is>
      </c>
      <c r="J54" s="76" t="n">
        <v>435.42</v>
      </c>
      <c r="K54" s="76" t="n">
        <v>489.01</v>
      </c>
      <c r="L54" s="75" t="n">
        <v>0.4</v>
      </c>
      <c r="M54" s="67" t="inlineStr">
        <is>
          <t>Maund</t>
        </is>
      </c>
      <c r="N54" s="76" t="n">
        <v>14.93</v>
      </c>
      <c r="O54" s="67" t="n"/>
      <c r="P54" s="68" t="n"/>
    </row>
    <row r="55" ht="19.5" customHeight="1" s="45">
      <c r="B55" s="74" t="inlineStr">
        <is>
          <t>PO-0051</t>
        </is>
      </c>
      <c r="C55" s="67" t="inlineStr">
        <is>
          <t>M1-B-04</t>
        </is>
      </c>
      <c r="D55" s="67" t="inlineStr">
        <is>
          <t>M1</t>
        </is>
      </c>
      <c r="E55" s="67" t="inlineStr">
        <is>
          <t>Bepari_Faria</t>
        </is>
      </c>
      <c r="F55" s="67" t="inlineStr">
        <is>
          <t>S06</t>
        </is>
      </c>
      <c r="G55" s="75" t="n">
        <v>12500</v>
      </c>
      <c r="H55" s="75" t="n">
        <v>14000</v>
      </c>
      <c r="I55" s="67" t="inlineStr">
        <is>
          <t>Maund</t>
        </is>
      </c>
      <c r="J55" s="76" t="n">
        <v>334.94</v>
      </c>
      <c r="K55" s="76" t="n">
        <v>375.13</v>
      </c>
      <c r="L55" s="75" t="n">
        <v>0.8</v>
      </c>
      <c r="M55" s="67" t="inlineStr">
        <is>
          <t>Maund</t>
        </is>
      </c>
      <c r="N55" s="76" t="n">
        <v>29.86</v>
      </c>
      <c r="O55" s="67" t="n"/>
      <c r="P55" s="68" t="n"/>
    </row>
    <row r="56" ht="19.5" customHeight="1" s="45">
      <c r="B56" s="74" t="inlineStr">
        <is>
          <t>PO-0052</t>
        </is>
      </c>
      <c r="C56" s="67" t="inlineStr">
        <is>
          <t>M1-B-04</t>
        </is>
      </c>
      <c r="D56" s="67" t="inlineStr">
        <is>
          <t>M1</t>
        </is>
      </c>
      <c r="E56" s="67" t="inlineStr">
        <is>
          <t>Bepari_Faria</t>
        </is>
      </c>
      <c r="F56" s="67" t="inlineStr">
        <is>
          <t>S07</t>
        </is>
      </c>
      <c r="G56" s="75" t="n">
        <v>14500</v>
      </c>
      <c r="H56" s="75" t="n">
        <v>16000</v>
      </c>
      <c r="I56" s="67" t="inlineStr">
        <is>
          <t>Maund</t>
        </is>
      </c>
      <c r="J56" s="76" t="n">
        <v>388.53</v>
      </c>
      <c r="K56" s="76" t="n">
        <v>428.72</v>
      </c>
      <c r="L56" s="75" t="n">
        <v>0.9</v>
      </c>
      <c r="M56" s="67" t="inlineStr">
        <is>
          <t>Maund</t>
        </is>
      </c>
      <c r="N56" s="76" t="n">
        <v>33.59</v>
      </c>
      <c r="O56" s="67" t="n"/>
      <c r="P56" s="68" t="n"/>
    </row>
    <row r="57" ht="19.5" customHeight="1" s="45">
      <c r="B57" s="74" t="inlineStr">
        <is>
          <t>PO-0053</t>
        </is>
      </c>
      <c r="C57" s="67" t="inlineStr">
        <is>
          <t>M1-B-05</t>
        </is>
      </c>
      <c r="D57" s="67" t="inlineStr">
        <is>
          <t>M1</t>
        </is>
      </c>
      <c r="E57" s="67" t="inlineStr">
        <is>
          <t>Bepari_Faria</t>
        </is>
      </c>
      <c r="F57" s="67" t="inlineStr">
        <is>
          <t>S02</t>
        </is>
      </c>
      <c r="G57" s="75" t="n">
        <v>42250</v>
      </c>
      <c r="H57" s="75" t="n">
        <v>45750</v>
      </c>
      <c r="I57" s="67" t="inlineStr">
        <is>
          <t>Maund</t>
        </is>
      </c>
      <c r="J57" s="76" t="n">
        <v>1132.1</v>
      </c>
      <c r="K57" s="76" t="n">
        <v>1225.88</v>
      </c>
      <c r="L57" s="75" t="n">
        <v>0.7</v>
      </c>
      <c r="M57" s="67" t="inlineStr">
        <is>
          <t>Maund</t>
        </is>
      </c>
      <c r="N57" s="76" t="n">
        <v>26.12</v>
      </c>
      <c r="O57" s="67" t="n"/>
      <c r="P57" s="68" t="n"/>
    </row>
    <row r="58" ht="19.5" customHeight="1" s="45">
      <c r="B58" s="74" t="inlineStr">
        <is>
          <t>PO-0054</t>
        </is>
      </c>
      <c r="C58" s="67" t="inlineStr">
        <is>
          <t>M1-B-05</t>
        </is>
      </c>
      <c r="D58" s="67" t="inlineStr">
        <is>
          <t>M1</t>
        </is>
      </c>
      <c r="E58" s="67" t="inlineStr">
        <is>
          <t>Bepari_Faria</t>
        </is>
      </c>
      <c r="F58" s="67" t="inlineStr">
        <is>
          <t>S03</t>
        </is>
      </c>
      <c r="G58" s="75" t="n">
        <v>30500</v>
      </c>
      <c r="H58" s="75" t="n">
        <v>33250</v>
      </c>
      <c r="I58" s="67" t="inlineStr">
        <is>
          <t>Maund</t>
        </is>
      </c>
      <c r="J58" s="76" t="n">
        <v>817.26</v>
      </c>
      <c r="K58" s="76" t="n">
        <v>890.9400000000001</v>
      </c>
      <c r="L58" s="75" t="n">
        <v>0.7</v>
      </c>
      <c r="M58" s="67" t="inlineStr">
        <is>
          <t>Maund</t>
        </is>
      </c>
      <c r="N58" s="76" t="n">
        <v>26.12</v>
      </c>
      <c r="O58" s="67" t="n"/>
      <c r="P58" s="68" t="n"/>
    </row>
    <row r="59" ht="19.5" customHeight="1" s="45">
      <c r="B59" s="74" t="inlineStr">
        <is>
          <t>PO-0055</t>
        </is>
      </c>
      <c r="C59" s="67" t="inlineStr">
        <is>
          <t>M1-B-05</t>
        </is>
      </c>
      <c r="D59" s="67" t="inlineStr">
        <is>
          <t>M1</t>
        </is>
      </c>
      <c r="E59" s="67" t="inlineStr">
        <is>
          <t>Bepari_Faria</t>
        </is>
      </c>
      <c r="F59" s="67" t="inlineStr">
        <is>
          <t>S04</t>
        </is>
      </c>
      <c r="G59" s="75" t="n">
        <v>25250</v>
      </c>
      <c r="H59" s="75" t="n">
        <v>27250</v>
      </c>
      <c r="I59" s="67" t="inlineStr">
        <is>
          <t>Maund</t>
        </is>
      </c>
      <c r="J59" s="76" t="n">
        <v>676.58</v>
      </c>
      <c r="K59" s="76" t="n">
        <v>730.17</v>
      </c>
      <c r="L59" s="75" t="n">
        <v>0.8</v>
      </c>
      <c r="M59" s="67" t="inlineStr">
        <is>
          <t>Maund</t>
        </is>
      </c>
      <c r="N59" s="76" t="n">
        <v>29.86</v>
      </c>
      <c r="O59" s="67" t="n"/>
      <c r="P59" s="68" t="n"/>
    </row>
    <row r="60" ht="19.5" customHeight="1" s="45">
      <c r="B60" s="74" t="inlineStr">
        <is>
          <t>PO-0056</t>
        </is>
      </c>
      <c r="C60" s="67" t="inlineStr">
        <is>
          <t>M1-B-05</t>
        </is>
      </c>
      <c r="D60" s="67" t="inlineStr">
        <is>
          <t>M1</t>
        </is>
      </c>
      <c r="E60" s="67" t="inlineStr">
        <is>
          <t>Bepari_Faria</t>
        </is>
      </c>
      <c r="F60" s="67" t="inlineStr">
        <is>
          <t>S05</t>
        </is>
      </c>
      <c r="G60" s="75" t="n">
        <v>16250</v>
      </c>
      <c r="H60" s="75" t="n">
        <v>18000</v>
      </c>
      <c r="I60" s="67" t="inlineStr">
        <is>
          <t>Maund</t>
        </is>
      </c>
      <c r="J60" s="76" t="n">
        <v>435.42</v>
      </c>
      <c r="K60" s="76" t="n">
        <v>482.32</v>
      </c>
      <c r="L60" s="75" t="n">
        <v>0.8</v>
      </c>
      <c r="M60" s="67" t="inlineStr">
        <is>
          <t>Maund</t>
        </is>
      </c>
      <c r="N60" s="76" t="n">
        <v>29.86</v>
      </c>
      <c r="O60" s="67" t="n"/>
      <c r="P60" s="68" t="n"/>
    </row>
    <row r="61" ht="19.5" customHeight="1" s="45">
      <c r="B61" s="74" t="inlineStr">
        <is>
          <t>PO-0057</t>
        </is>
      </c>
      <c r="C61" s="67" t="inlineStr">
        <is>
          <t>M1-B-05</t>
        </is>
      </c>
      <c r="D61" s="67" t="inlineStr">
        <is>
          <t>M1</t>
        </is>
      </c>
      <c r="E61" s="67" t="inlineStr">
        <is>
          <t>Bepari_Faria</t>
        </is>
      </c>
      <c r="F61" s="67" t="inlineStr">
        <is>
          <t>S07</t>
        </is>
      </c>
      <c r="G61" s="75" t="n">
        <v>14000</v>
      </c>
      <c r="H61" s="75" t="n">
        <v>15750</v>
      </c>
      <c r="I61" s="67" t="inlineStr">
        <is>
          <t>Maund</t>
        </is>
      </c>
      <c r="J61" s="76" t="n">
        <v>375.13</v>
      </c>
      <c r="K61" s="76" t="n">
        <v>422.03</v>
      </c>
      <c r="L61" s="75" t="n">
        <v>0.6</v>
      </c>
      <c r="M61" s="67" t="inlineStr">
        <is>
          <t>Maund</t>
        </is>
      </c>
      <c r="N61" s="76" t="n">
        <v>22.39</v>
      </c>
      <c r="O61" s="67" t="n"/>
      <c r="P61" s="68" t="n"/>
    </row>
    <row r="62" ht="19.5" customHeight="1" s="45">
      <c r="B62" s="74" t="inlineStr">
        <is>
          <t>PO-0058</t>
        </is>
      </c>
      <c r="C62" s="67" t="inlineStr">
        <is>
          <t>M1-B-05</t>
        </is>
      </c>
      <c r="D62" s="67" t="inlineStr">
        <is>
          <t>M1</t>
        </is>
      </c>
      <c r="E62" s="67" t="inlineStr">
        <is>
          <t>Bepari_Faria</t>
        </is>
      </c>
      <c r="F62" s="67" t="inlineStr">
        <is>
          <t>S06</t>
        </is>
      </c>
      <c r="G62" s="75" t="inlineStr">
        <is>
          <t>K</t>
        </is>
      </c>
      <c r="H62" s="75" t="inlineStr">
        <is>
          <t>K</t>
        </is>
      </c>
      <c r="I62" s="67" t="n"/>
      <c r="J62" s="76" t="n"/>
      <c r="K62" s="76" t="n"/>
      <c r="L62" s="75" t="n"/>
      <c r="M62" s="67" t="n"/>
      <c r="N62" s="76" t="n"/>
      <c r="O62" s="67" t="n"/>
      <c r="P62" s="68" t="inlineStr">
        <is>
          <t>Species not handled today</t>
        </is>
      </c>
    </row>
    <row r="63" ht="19.5" customHeight="1" s="45">
      <c r="B63" s="74" t="inlineStr">
        <is>
          <t>PO-0059</t>
        </is>
      </c>
      <c r="C63" s="67" t="inlineStr">
        <is>
          <t>M1-B-05</t>
        </is>
      </c>
      <c r="D63" s="67" t="inlineStr">
        <is>
          <t>M1</t>
        </is>
      </c>
      <c r="E63" s="67" t="inlineStr">
        <is>
          <t>Bepari_Faria</t>
        </is>
      </c>
      <c r="F63" s="67" t="inlineStr">
        <is>
          <t>S10</t>
        </is>
      </c>
      <c r="G63" s="75" t="inlineStr">
        <is>
          <t>K</t>
        </is>
      </c>
      <c r="H63" s="75" t="inlineStr">
        <is>
          <t>K</t>
        </is>
      </c>
      <c r="I63" s="67" t="n"/>
      <c r="J63" s="76" t="n"/>
      <c r="K63" s="76" t="n"/>
      <c r="L63" s="75" t="n"/>
      <c r="M63" s="67" t="n"/>
      <c r="N63" s="76" t="n"/>
      <c r="O63" s="67" t="n"/>
      <c r="P63" s="68" t="inlineStr">
        <is>
          <t>Species not handled today</t>
        </is>
      </c>
    </row>
    <row r="64" ht="19.5" customHeight="1" s="45">
      <c r="B64" s="74" t="inlineStr">
        <is>
          <t>PO-0060</t>
        </is>
      </c>
      <c r="C64" s="67" t="inlineStr">
        <is>
          <t>M1-R-01</t>
        </is>
      </c>
      <c r="D64" s="67" t="inlineStr">
        <is>
          <t>M1</t>
        </is>
      </c>
      <c r="E64" s="67" t="inlineStr">
        <is>
          <t>Khuchra</t>
        </is>
      </c>
      <c r="F64" s="67" t="inlineStr">
        <is>
          <t>S01</t>
        </is>
      </c>
      <c r="G64" s="75" t="n">
        <v>1185</v>
      </c>
      <c r="H64" s="75" t="n">
        <v>1365</v>
      </c>
      <c r="I64" s="67" t="inlineStr">
        <is>
          <t>Kg</t>
        </is>
      </c>
      <c r="J64" s="76" t="n">
        <v>1185</v>
      </c>
      <c r="K64" s="76" t="n">
        <v>1365</v>
      </c>
      <c r="L64" s="75" t="n">
        <v>15</v>
      </c>
      <c r="M64" s="67" t="inlineStr">
        <is>
          <t>Kg</t>
        </is>
      </c>
      <c r="N64" s="76" t="n">
        <v>15</v>
      </c>
      <c r="O64" s="67" t="n"/>
      <c r="P64" s="68" t="n"/>
    </row>
    <row r="65" ht="19.5" customHeight="1" s="45">
      <c r="B65" s="74" t="inlineStr">
        <is>
          <t>PO-0061</t>
        </is>
      </c>
      <c r="C65" s="67" t="inlineStr">
        <is>
          <t>M1-R-01</t>
        </is>
      </c>
      <c r="D65" s="67" t="inlineStr">
        <is>
          <t>M1</t>
        </is>
      </c>
      <c r="E65" s="67" t="inlineStr">
        <is>
          <t>Khuchra</t>
        </is>
      </c>
      <c r="F65" s="67" t="inlineStr">
        <is>
          <t>S04</t>
        </is>
      </c>
      <c r="G65" s="75" t="n">
        <v>740</v>
      </c>
      <c r="H65" s="75" t="n">
        <v>835</v>
      </c>
      <c r="I65" s="67" t="inlineStr">
        <is>
          <t>Kg</t>
        </is>
      </c>
      <c r="J65" s="76" t="n">
        <v>740</v>
      </c>
      <c r="K65" s="76" t="n">
        <v>835</v>
      </c>
      <c r="L65" s="75" t="n">
        <v>10</v>
      </c>
      <c r="M65" s="67" t="inlineStr">
        <is>
          <t>Kg</t>
        </is>
      </c>
      <c r="N65" s="76" t="n">
        <v>10</v>
      </c>
      <c r="O65" s="67" t="n"/>
      <c r="P65" s="68" t="n"/>
    </row>
    <row r="66" ht="19.5" customHeight="1" s="45">
      <c r="B66" s="74" t="inlineStr">
        <is>
          <t>PO-0062</t>
        </is>
      </c>
      <c r="C66" s="67" t="inlineStr">
        <is>
          <t>M1-R-01</t>
        </is>
      </c>
      <c r="D66" s="67" t="inlineStr">
        <is>
          <t>M1</t>
        </is>
      </c>
      <c r="E66" s="67" t="inlineStr">
        <is>
          <t>Khuchra</t>
        </is>
      </c>
      <c r="F66" s="67" t="inlineStr">
        <is>
          <t>S05</t>
        </is>
      </c>
      <c r="G66" s="75" t="n">
        <v>470</v>
      </c>
      <c r="H66" s="75" t="n">
        <v>525</v>
      </c>
      <c r="I66" s="67" t="inlineStr">
        <is>
          <t>Kg</t>
        </is>
      </c>
      <c r="J66" s="76" t="n">
        <v>470</v>
      </c>
      <c r="K66" s="76" t="n">
        <v>525</v>
      </c>
      <c r="L66" s="75" t="n">
        <v>10</v>
      </c>
      <c r="M66" s="67" t="inlineStr">
        <is>
          <t>Kg</t>
        </is>
      </c>
      <c r="N66" s="76" t="n">
        <v>10</v>
      </c>
      <c r="O66" s="67" t="n"/>
      <c r="P66" s="68" t="n"/>
    </row>
    <row r="67" ht="19.5" customHeight="1" s="45">
      <c r="B67" s="74" t="inlineStr">
        <is>
          <t>PO-0063</t>
        </is>
      </c>
      <c r="C67" s="67" t="inlineStr">
        <is>
          <t>M1-R-01</t>
        </is>
      </c>
      <c r="D67" s="67" t="inlineStr">
        <is>
          <t>M1</t>
        </is>
      </c>
      <c r="E67" s="67" t="inlineStr">
        <is>
          <t>Khuchra</t>
        </is>
      </c>
      <c r="F67" s="67" t="inlineStr">
        <is>
          <t>S07</t>
        </is>
      </c>
      <c r="G67" s="75" t="n">
        <v>435</v>
      </c>
      <c r="H67" s="75" t="n">
        <v>505</v>
      </c>
      <c r="I67" s="67" t="inlineStr">
        <is>
          <t>Kg</t>
        </is>
      </c>
      <c r="J67" s="76" t="n">
        <v>435</v>
      </c>
      <c r="K67" s="76" t="n">
        <v>505</v>
      </c>
      <c r="L67" s="75" t="n">
        <v>5</v>
      </c>
      <c r="M67" s="67" t="inlineStr">
        <is>
          <t>Kg</t>
        </is>
      </c>
      <c r="N67" s="76" t="n">
        <v>5</v>
      </c>
      <c r="O67" s="67" t="n"/>
      <c r="P67" s="68" t="n"/>
    </row>
    <row r="68" ht="19.5" customHeight="1" s="45">
      <c r="B68" s="74" t="inlineStr">
        <is>
          <t>PO-0064</t>
        </is>
      </c>
      <c r="C68" s="67" t="inlineStr">
        <is>
          <t>M1-R-01</t>
        </is>
      </c>
      <c r="D68" s="67" t="inlineStr">
        <is>
          <t>M1</t>
        </is>
      </c>
      <c r="E68" s="67" t="inlineStr">
        <is>
          <t>Khuchra</t>
        </is>
      </c>
      <c r="F68" s="67" t="inlineStr">
        <is>
          <t>S09</t>
        </is>
      </c>
      <c r="G68" s="75" t="n">
        <v>225</v>
      </c>
      <c r="H68" s="75" t="n">
        <v>245</v>
      </c>
      <c r="I68" s="67" t="inlineStr">
        <is>
          <t>Kg</t>
        </is>
      </c>
      <c r="J68" s="76" t="n">
        <v>225</v>
      </c>
      <c r="K68" s="76" t="n">
        <v>245</v>
      </c>
      <c r="L68" s="75" t="n">
        <v>10</v>
      </c>
      <c r="M68" s="67" t="inlineStr">
        <is>
          <t>Kg</t>
        </is>
      </c>
      <c r="N68" s="76" t="n">
        <v>10</v>
      </c>
      <c r="O68" s="67" t="n"/>
      <c r="P68" s="68" t="n"/>
    </row>
    <row r="69" ht="19.5" customHeight="1" s="45">
      <c r="B69" s="74" t="inlineStr">
        <is>
          <t>PO-0065</t>
        </is>
      </c>
      <c r="C69" s="67" t="inlineStr">
        <is>
          <t>M1-R-02</t>
        </is>
      </c>
      <c r="D69" s="67" t="inlineStr">
        <is>
          <t>M1</t>
        </is>
      </c>
      <c r="E69" s="67" t="inlineStr">
        <is>
          <t>Khuchra</t>
        </is>
      </c>
      <c r="F69" s="67" t="inlineStr">
        <is>
          <t>S01</t>
        </is>
      </c>
      <c r="G69" s="75" t="n">
        <v>1145</v>
      </c>
      <c r="H69" s="75" t="n">
        <v>1320</v>
      </c>
      <c r="I69" s="67" t="inlineStr">
        <is>
          <t>Kg</t>
        </is>
      </c>
      <c r="J69" s="76" t="n">
        <v>1145</v>
      </c>
      <c r="K69" s="76" t="n">
        <v>1320</v>
      </c>
      <c r="L69" s="75" t="n">
        <v>20</v>
      </c>
      <c r="M69" s="67" t="inlineStr">
        <is>
          <t>Kg</t>
        </is>
      </c>
      <c r="N69" s="76" t="n">
        <v>20</v>
      </c>
      <c r="O69" s="67" t="n"/>
      <c r="P69" s="68" t="n"/>
    </row>
    <row r="70" ht="19.5" customHeight="1" s="45">
      <c r="B70" s="74" t="inlineStr">
        <is>
          <t>PO-0066</t>
        </is>
      </c>
      <c r="C70" s="67" t="inlineStr">
        <is>
          <t>M1-R-02</t>
        </is>
      </c>
      <c r="D70" s="67" t="inlineStr">
        <is>
          <t>M1</t>
        </is>
      </c>
      <c r="E70" s="67" t="inlineStr">
        <is>
          <t>Khuchra</t>
        </is>
      </c>
      <c r="F70" s="67" t="inlineStr">
        <is>
          <t>S04</t>
        </is>
      </c>
      <c r="G70" s="75" t="n">
        <v>720</v>
      </c>
      <c r="H70" s="75" t="n">
        <v>815</v>
      </c>
      <c r="I70" s="67" t="inlineStr">
        <is>
          <t>Kg</t>
        </is>
      </c>
      <c r="J70" s="76" t="n">
        <v>720</v>
      </c>
      <c r="K70" s="76" t="n">
        <v>815</v>
      </c>
      <c r="L70" s="75" t="n">
        <v>20</v>
      </c>
      <c r="M70" s="67" t="inlineStr">
        <is>
          <t>Kg</t>
        </is>
      </c>
      <c r="N70" s="76" t="n">
        <v>20</v>
      </c>
      <c r="O70" s="67" t="n"/>
      <c r="P70" s="68" t="n"/>
    </row>
    <row r="71" ht="19.5" customHeight="1" s="45">
      <c r="B71" s="74" t="inlineStr">
        <is>
          <t>PO-0067</t>
        </is>
      </c>
      <c r="C71" s="67" t="inlineStr">
        <is>
          <t>M1-R-02</t>
        </is>
      </c>
      <c r="D71" s="67" t="inlineStr">
        <is>
          <t>M1</t>
        </is>
      </c>
      <c r="E71" s="67" t="inlineStr">
        <is>
          <t>Khuchra</t>
        </is>
      </c>
      <c r="F71" s="67" t="inlineStr">
        <is>
          <t>S06</t>
        </is>
      </c>
      <c r="G71" s="75" t="n">
        <v>350</v>
      </c>
      <c r="H71" s="75" t="n">
        <v>430</v>
      </c>
      <c r="I71" s="67" t="inlineStr">
        <is>
          <t>Kg</t>
        </is>
      </c>
      <c r="J71" s="76" t="n">
        <v>350</v>
      </c>
      <c r="K71" s="76" t="n">
        <v>430</v>
      </c>
      <c r="L71" s="75" t="n">
        <v>20</v>
      </c>
      <c r="M71" s="67" t="inlineStr">
        <is>
          <t>Kg</t>
        </is>
      </c>
      <c r="N71" s="76" t="n">
        <v>20</v>
      </c>
      <c r="O71" s="67" t="inlineStr">
        <is>
          <t>PAIR-M1-02</t>
        </is>
      </c>
      <c r="P71" s="68" t="n"/>
    </row>
    <row r="72" ht="19.5" customHeight="1" s="45">
      <c r="B72" s="74" t="inlineStr">
        <is>
          <t>PO-0068</t>
        </is>
      </c>
      <c r="C72" s="67" t="inlineStr">
        <is>
          <t>M1-R-02</t>
        </is>
      </c>
      <c r="D72" s="67" t="inlineStr">
        <is>
          <t>M1</t>
        </is>
      </c>
      <c r="E72" s="67" t="inlineStr">
        <is>
          <t>Khuchra</t>
        </is>
      </c>
      <c r="F72" s="67" t="inlineStr">
        <is>
          <t>S07</t>
        </is>
      </c>
      <c r="G72" s="75" t="n">
        <v>415</v>
      </c>
      <c r="H72" s="75" t="n">
        <v>475</v>
      </c>
      <c r="I72" s="67" t="inlineStr">
        <is>
          <t>Kg</t>
        </is>
      </c>
      <c r="J72" s="76" t="n">
        <v>415</v>
      </c>
      <c r="K72" s="76" t="n">
        <v>475</v>
      </c>
      <c r="L72" s="75" t="n">
        <v>35</v>
      </c>
      <c r="M72" s="67" t="inlineStr">
        <is>
          <t>Kg</t>
        </is>
      </c>
      <c r="N72" s="76" t="n">
        <v>35</v>
      </c>
      <c r="O72" s="67" t="n"/>
      <c r="P72" s="68" t="n"/>
    </row>
    <row r="73" ht="19.5" customHeight="1" s="45">
      <c r="B73" s="74" t="inlineStr">
        <is>
          <t>PO-0069</t>
        </is>
      </c>
      <c r="C73" s="67" t="inlineStr">
        <is>
          <t>M1-R-02</t>
        </is>
      </c>
      <c r="D73" s="67" t="inlineStr">
        <is>
          <t>M1</t>
        </is>
      </c>
      <c r="E73" s="67" t="inlineStr">
        <is>
          <t>Khuchra</t>
        </is>
      </c>
      <c r="F73" s="67" t="inlineStr">
        <is>
          <t>S09</t>
        </is>
      </c>
      <c r="G73" s="75" t="n">
        <v>220</v>
      </c>
      <c r="H73" s="75" t="n">
        <v>240</v>
      </c>
      <c r="I73" s="67" t="inlineStr">
        <is>
          <t>Kg</t>
        </is>
      </c>
      <c r="J73" s="76" t="n">
        <v>220</v>
      </c>
      <c r="K73" s="76" t="n">
        <v>240</v>
      </c>
      <c r="L73" s="75" t="n">
        <v>40</v>
      </c>
      <c r="M73" s="67" t="inlineStr">
        <is>
          <t>Kg</t>
        </is>
      </c>
      <c r="N73" s="76" t="n">
        <v>40</v>
      </c>
      <c r="O73" s="67" t="n"/>
      <c r="P73" s="68" t="n"/>
    </row>
    <row r="74" ht="19.5" customHeight="1" s="45">
      <c r="B74" s="74" t="inlineStr">
        <is>
          <t>PO-0070</t>
        </is>
      </c>
      <c r="C74" s="67" t="inlineStr">
        <is>
          <t>M1-R-03</t>
        </is>
      </c>
      <c r="D74" s="67" t="inlineStr">
        <is>
          <t>M1</t>
        </is>
      </c>
      <c r="E74" s="67" t="inlineStr">
        <is>
          <t>Khuchra</t>
        </is>
      </c>
      <c r="F74" s="67" t="inlineStr">
        <is>
          <t>S01</t>
        </is>
      </c>
      <c r="G74" s="75" t="n">
        <v>1130</v>
      </c>
      <c r="H74" s="75" t="n">
        <v>1270</v>
      </c>
      <c r="I74" s="67" t="inlineStr">
        <is>
          <t>Kg</t>
        </is>
      </c>
      <c r="J74" s="76" t="n">
        <v>1130</v>
      </c>
      <c r="K74" s="76" t="n">
        <v>1270</v>
      </c>
      <c r="L74" s="75" t="n">
        <v>10</v>
      </c>
      <c r="M74" s="67" t="inlineStr">
        <is>
          <t>Kg</t>
        </is>
      </c>
      <c r="N74" s="76" t="n">
        <v>10</v>
      </c>
      <c r="O74" s="67" t="n"/>
      <c r="P74" s="68" t="n"/>
    </row>
    <row r="75" ht="19.5" customHeight="1" s="45">
      <c r="B75" s="74" t="inlineStr">
        <is>
          <t>PO-0071</t>
        </is>
      </c>
      <c r="C75" s="67" t="inlineStr">
        <is>
          <t>M1-R-03</t>
        </is>
      </c>
      <c r="D75" s="67" t="inlineStr">
        <is>
          <t>M1</t>
        </is>
      </c>
      <c r="E75" s="67" t="inlineStr">
        <is>
          <t>Khuchra</t>
        </is>
      </c>
      <c r="F75" s="67" t="inlineStr">
        <is>
          <t>S02</t>
        </is>
      </c>
      <c r="G75" s="75" t="n">
        <v>1355</v>
      </c>
      <c r="H75" s="75" t="n">
        <v>1575</v>
      </c>
      <c r="I75" s="67" t="inlineStr">
        <is>
          <t>Kg</t>
        </is>
      </c>
      <c r="J75" s="76" t="n">
        <v>1355</v>
      </c>
      <c r="K75" s="76" t="n">
        <v>1575</v>
      </c>
      <c r="L75" s="75" t="n">
        <v>5</v>
      </c>
      <c r="M75" s="67" t="inlineStr">
        <is>
          <t>Kg</t>
        </is>
      </c>
      <c r="N75" s="76" t="n">
        <v>5</v>
      </c>
      <c r="O75" s="67" t="n"/>
      <c r="P75" s="68" t="n"/>
    </row>
    <row r="76" ht="19.5" customHeight="1" s="45">
      <c r="B76" s="74" t="inlineStr">
        <is>
          <t>PO-0072</t>
        </is>
      </c>
      <c r="C76" s="67" t="inlineStr">
        <is>
          <t>M1-R-03</t>
        </is>
      </c>
      <c r="D76" s="67" t="inlineStr">
        <is>
          <t>M1</t>
        </is>
      </c>
      <c r="E76" s="67" t="inlineStr">
        <is>
          <t>Khuchra</t>
        </is>
      </c>
      <c r="F76" s="67" t="inlineStr">
        <is>
          <t>S04</t>
        </is>
      </c>
      <c r="G76" s="75" t="n">
        <v>735</v>
      </c>
      <c r="H76" s="75" t="inlineStr">
        <is>
          <t>K</t>
        </is>
      </c>
      <c r="I76" s="67" t="inlineStr">
        <is>
          <t>Kg</t>
        </is>
      </c>
      <c r="J76" s="76" t="n">
        <v>735</v>
      </c>
      <c r="K76" s="76" t="n"/>
      <c r="L76" s="75" t="n">
        <v>5</v>
      </c>
      <c r="M76" s="67" t="inlineStr">
        <is>
          <t>Kg</t>
        </is>
      </c>
      <c r="N76" s="76" t="n">
        <v>5</v>
      </c>
      <c r="O76" s="67" t="n"/>
      <c r="P76" s="68" t="n"/>
    </row>
    <row r="77" ht="19.5" customHeight="1" s="45">
      <c r="B77" s="74" t="inlineStr">
        <is>
          <t>PO-0073</t>
        </is>
      </c>
      <c r="C77" s="67" t="inlineStr">
        <is>
          <t>M1-R-03</t>
        </is>
      </c>
      <c r="D77" s="67" t="inlineStr">
        <is>
          <t>M1</t>
        </is>
      </c>
      <c r="E77" s="67" t="inlineStr">
        <is>
          <t>Khuchra</t>
        </is>
      </c>
      <c r="F77" s="67" t="inlineStr">
        <is>
          <t>S05</t>
        </is>
      </c>
      <c r="G77" s="75" t="n">
        <v>485</v>
      </c>
      <c r="H77" s="75" t="n">
        <v>535</v>
      </c>
      <c r="I77" s="67" t="inlineStr">
        <is>
          <t>Kg</t>
        </is>
      </c>
      <c r="J77" s="76" t="n">
        <v>485</v>
      </c>
      <c r="K77" s="76" t="n">
        <v>535</v>
      </c>
      <c r="L77" s="75" t="n">
        <v>10</v>
      </c>
      <c r="M77" s="67" t="inlineStr">
        <is>
          <t>Kg</t>
        </is>
      </c>
      <c r="N77" s="76" t="n">
        <v>10</v>
      </c>
      <c r="O77" s="67" t="n"/>
      <c r="P77" s="68" t="n"/>
    </row>
    <row r="78" ht="19.5" customHeight="1" s="45">
      <c r="B78" s="74" t="inlineStr">
        <is>
          <t>PO-0074</t>
        </is>
      </c>
      <c r="C78" s="67" t="inlineStr">
        <is>
          <t>M1-R-03</t>
        </is>
      </c>
      <c r="D78" s="67" t="inlineStr">
        <is>
          <t>M1</t>
        </is>
      </c>
      <c r="E78" s="67" t="inlineStr">
        <is>
          <t>Khuchra</t>
        </is>
      </c>
      <c r="F78" s="67" t="inlineStr">
        <is>
          <t>S06</t>
        </is>
      </c>
      <c r="G78" s="75" t="n">
        <v>365</v>
      </c>
      <c r="H78" s="75" t="n">
        <v>420</v>
      </c>
      <c r="I78" s="67" t="inlineStr">
        <is>
          <t>Kg</t>
        </is>
      </c>
      <c r="J78" s="76" t="n">
        <v>365</v>
      </c>
      <c r="K78" s="76" t="n">
        <v>420</v>
      </c>
      <c r="L78" s="75" t="n">
        <v>5</v>
      </c>
      <c r="M78" s="67" t="inlineStr">
        <is>
          <t>Kg</t>
        </is>
      </c>
      <c r="N78" s="76" t="n">
        <v>5</v>
      </c>
      <c r="O78" s="67" t="n"/>
      <c r="P78" s="68" t="n"/>
    </row>
    <row r="79" ht="19.5" customHeight="1" s="45">
      <c r="B79" s="74" t="inlineStr">
        <is>
          <t>PO-0075</t>
        </is>
      </c>
      <c r="C79" s="67" t="inlineStr">
        <is>
          <t>M1-R-04</t>
        </is>
      </c>
      <c r="D79" s="67" t="inlineStr">
        <is>
          <t>M1</t>
        </is>
      </c>
      <c r="E79" s="67" t="inlineStr">
        <is>
          <t>Khuchra</t>
        </is>
      </c>
      <c r="F79" s="67" t="inlineStr">
        <is>
          <t>S01</t>
        </is>
      </c>
      <c r="G79" s="75" t="n">
        <v>1210</v>
      </c>
      <c r="H79" s="75" t="n">
        <v>1390</v>
      </c>
      <c r="I79" s="67" t="inlineStr">
        <is>
          <t>Kg</t>
        </is>
      </c>
      <c r="J79" s="76" t="n">
        <v>1210</v>
      </c>
      <c r="K79" s="76" t="n">
        <v>1390</v>
      </c>
      <c r="L79" s="75" t="n">
        <v>15</v>
      </c>
      <c r="M79" s="67" t="inlineStr">
        <is>
          <t>Kg</t>
        </is>
      </c>
      <c r="N79" s="76" t="n">
        <v>15</v>
      </c>
      <c r="O79" s="67" t="n"/>
      <c r="P79" s="68" t="n"/>
    </row>
    <row r="80" ht="19.5" customHeight="1" s="45">
      <c r="B80" s="74" t="inlineStr">
        <is>
          <t>PO-0076</t>
        </is>
      </c>
      <c r="C80" s="67" t="inlineStr">
        <is>
          <t>M1-R-04</t>
        </is>
      </c>
      <c r="D80" s="67" t="inlineStr">
        <is>
          <t>M1</t>
        </is>
      </c>
      <c r="E80" s="67" t="inlineStr">
        <is>
          <t>Khuchra</t>
        </is>
      </c>
      <c r="F80" s="67" t="inlineStr">
        <is>
          <t>S02</t>
        </is>
      </c>
      <c r="G80" s="75" t="n">
        <v>1310</v>
      </c>
      <c r="H80" s="75" t="n">
        <v>1530</v>
      </c>
      <c r="I80" s="67" t="inlineStr">
        <is>
          <t>Kg</t>
        </is>
      </c>
      <c r="J80" s="76" t="n">
        <v>1310</v>
      </c>
      <c r="K80" s="76" t="n">
        <v>1530</v>
      </c>
      <c r="L80" s="75" t="n">
        <v>25</v>
      </c>
      <c r="M80" s="67" t="inlineStr">
        <is>
          <t>Kg</t>
        </is>
      </c>
      <c r="N80" s="76" t="n">
        <v>25</v>
      </c>
      <c r="O80" s="67" t="n"/>
      <c r="P80" s="68" t="n"/>
    </row>
    <row r="81" ht="19.5" customHeight="1" s="45">
      <c r="B81" s="74" t="inlineStr">
        <is>
          <t>PO-0077</t>
        </is>
      </c>
      <c r="C81" s="67" t="inlineStr">
        <is>
          <t>M1-R-04</t>
        </is>
      </c>
      <c r="D81" s="67" t="inlineStr">
        <is>
          <t>M1</t>
        </is>
      </c>
      <c r="E81" s="67" t="inlineStr">
        <is>
          <t>Khuchra</t>
        </is>
      </c>
      <c r="F81" s="67" t="inlineStr">
        <is>
          <t>S05</t>
        </is>
      </c>
      <c r="G81" s="75" t="n">
        <v>475</v>
      </c>
      <c r="H81" s="75" t="n">
        <v>535</v>
      </c>
      <c r="I81" s="67" t="inlineStr">
        <is>
          <t>Kg</t>
        </is>
      </c>
      <c r="J81" s="76" t="n">
        <v>475</v>
      </c>
      <c r="K81" s="76" t="n">
        <v>535</v>
      </c>
      <c r="L81" s="75" t="n">
        <v>15</v>
      </c>
      <c r="M81" s="67" t="inlineStr">
        <is>
          <t>Kg</t>
        </is>
      </c>
      <c r="N81" s="76" t="n">
        <v>15</v>
      </c>
      <c r="O81" s="67" t="n"/>
      <c r="P81" s="68" t="n"/>
    </row>
    <row r="82" ht="19.5" customHeight="1" s="45">
      <c r="B82" s="74" t="inlineStr">
        <is>
          <t>PO-0078</t>
        </is>
      </c>
      <c r="C82" s="67" t="inlineStr">
        <is>
          <t>M1-R-04</t>
        </is>
      </c>
      <c r="D82" s="67" t="inlineStr">
        <is>
          <t>M1</t>
        </is>
      </c>
      <c r="E82" s="67" t="inlineStr">
        <is>
          <t>Khuchra</t>
        </is>
      </c>
      <c r="F82" s="67" t="inlineStr">
        <is>
          <t>S06</t>
        </is>
      </c>
      <c r="G82" s="75" t="n">
        <v>360</v>
      </c>
      <c r="H82" s="75" t="n">
        <v>425</v>
      </c>
      <c r="I82" s="67" t="inlineStr">
        <is>
          <t>Kg</t>
        </is>
      </c>
      <c r="J82" s="76" t="n">
        <v>360</v>
      </c>
      <c r="K82" s="76" t="n">
        <v>425</v>
      </c>
      <c r="L82" s="75" t="n">
        <v>25</v>
      </c>
      <c r="M82" s="67" t="inlineStr">
        <is>
          <t>Kg</t>
        </is>
      </c>
      <c r="N82" s="76" t="n">
        <v>25</v>
      </c>
      <c r="O82" s="67" t="n"/>
      <c r="P82" s="68" t="n"/>
    </row>
    <row r="83" ht="19.5" customHeight="1" s="45">
      <c r="B83" s="74" t="inlineStr">
        <is>
          <t>PO-0079</t>
        </is>
      </c>
      <c r="C83" s="67" t="inlineStr">
        <is>
          <t>M1-R-04</t>
        </is>
      </c>
      <c r="D83" s="67" t="inlineStr">
        <is>
          <t>M1</t>
        </is>
      </c>
      <c r="E83" s="67" t="inlineStr">
        <is>
          <t>Khuchra</t>
        </is>
      </c>
      <c r="F83" s="67" t="inlineStr">
        <is>
          <t>S07</t>
        </is>
      </c>
      <c r="G83" s="75" t="n">
        <v>410</v>
      </c>
      <c r="H83" s="75" t="n">
        <v>470</v>
      </c>
      <c r="I83" s="67" t="inlineStr">
        <is>
          <t>Kg</t>
        </is>
      </c>
      <c r="J83" s="76" t="n">
        <v>410</v>
      </c>
      <c r="K83" s="76" t="n">
        <v>470</v>
      </c>
      <c r="L83" s="75" t="n">
        <v>30</v>
      </c>
      <c r="M83" s="67" t="inlineStr">
        <is>
          <t>Kg</t>
        </is>
      </c>
      <c r="N83" s="76" t="n">
        <v>30</v>
      </c>
      <c r="O83" s="67" t="n"/>
      <c r="P83" s="68" t="n"/>
    </row>
    <row r="84" ht="19.5" customHeight="1" s="45">
      <c r="B84" s="74" t="inlineStr">
        <is>
          <t>PO-0080</t>
        </is>
      </c>
      <c r="C84" s="67" t="inlineStr">
        <is>
          <t>M1-R-05</t>
        </is>
      </c>
      <c r="D84" s="67" t="inlineStr">
        <is>
          <t>M1</t>
        </is>
      </c>
      <c r="E84" s="67" t="inlineStr">
        <is>
          <t>Khuchra</t>
        </is>
      </c>
      <c r="F84" s="67" t="inlineStr">
        <is>
          <t>S01</t>
        </is>
      </c>
      <c r="G84" s="75" t="n">
        <v>43500</v>
      </c>
      <c r="H84" s="75" t="n">
        <v>50000</v>
      </c>
      <c r="I84" s="67" t="inlineStr">
        <is>
          <t>Maund</t>
        </is>
      </c>
      <c r="J84" s="76" t="n">
        <v>1165.59</v>
      </c>
      <c r="K84" s="76" t="n">
        <v>1339.76</v>
      </c>
      <c r="L84" s="75" t="n">
        <v>0.4</v>
      </c>
      <c r="M84" s="67" t="inlineStr">
        <is>
          <t>Maund</t>
        </is>
      </c>
      <c r="N84" s="76" t="n">
        <v>14.93</v>
      </c>
      <c r="O84" s="67" t="n"/>
      <c r="P84" s="68" t="n"/>
    </row>
    <row r="85" ht="19.5" customHeight="1" s="45">
      <c r="B85" s="74" t="inlineStr">
        <is>
          <t>PO-0081</t>
        </is>
      </c>
      <c r="C85" s="67" t="inlineStr">
        <is>
          <t>M1-R-05</t>
        </is>
      </c>
      <c r="D85" s="67" t="inlineStr">
        <is>
          <t>M1</t>
        </is>
      </c>
      <c r="E85" s="67" t="inlineStr">
        <is>
          <t>Khuchra</t>
        </is>
      </c>
      <c r="F85" s="67" t="inlineStr">
        <is>
          <t>S03</t>
        </is>
      </c>
      <c r="G85" s="75" t="n">
        <v>29250</v>
      </c>
      <c r="H85" s="75" t="n">
        <v>35250</v>
      </c>
      <c r="I85" s="67" t="inlineStr">
        <is>
          <t>Maund</t>
        </is>
      </c>
      <c r="J85" s="76" t="n">
        <v>783.76</v>
      </c>
      <c r="K85" s="76" t="n">
        <v>944.53</v>
      </c>
      <c r="L85" s="75" t="n">
        <v>0.4</v>
      </c>
      <c r="M85" s="67" t="inlineStr">
        <is>
          <t>Maund</t>
        </is>
      </c>
      <c r="N85" s="76" t="n">
        <v>14.93</v>
      </c>
      <c r="O85" s="67" t="inlineStr">
        <is>
          <t>PAIR-M1-01</t>
        </is>
      </c>
      <c r="P85" s="68" t="n"/>
    </row>
    <row r="86" ht="19.5" customHeight="1" s="45">
      <c r="B86" s="74" t="inlineStr">
        <is>
          <t>PO-0082</t>
        </is>
      </c>
      <c r="C86" s="67" t="inlineStr">
        <is>
          <t>M1-R-05</t>
        </is>
      </c>
      <c r="D86" s="67" t="inlineStr">
        <is>
          <t>M1</t>
        </is>
      </c>
      <c r="E86" s="67" t="inlineStr">
        <is>
          <t>Khuchra</t>
        </is>
      </c>
      <c r="F86" s="67" t="inlineStr">
        <is>
          <t>S04</t>
        </is>
      </c>
      <c r="G86" s="75" t="n">
        <v>27500</v>
      </c>
      <c r="H86" s="75" t="n">
        <v>31000</v>
      </c>
      <c r="I86" s="67" t="inlineStr">
        <is>
          <t>Maund</t>
        </is>
      </c>
      <c r="J86" s="76" t="n">
        <v>736.87</v>
      </c>
      <c r="K86" s="76" t="n">
        <v>830.65</v>
      </c>
      <c r="L86" s="75" t="n">
        <v>0.5</v>
      </c>
      <c r="M86" s="67" t="inlineStr">
        <is>
          <t>Maund</t>
        </is>
      </c>
      <c r="N86" s="76" t="n">
        <v>18.66</v>
      </c>
      <c r="O86" s="67" t="n"/>
      <c r="P86" s="68" t="n"/>
    </row>
    <row r="87" ht="19.5" customHeight="1" s="45">
      <c r="B87" s="74" t="inlineStr">
        <is>
          <t>PO-0083</t>
        </is>
      </c>
      <c r="C87" s="67" t="inlineStr">
        <is>
          <t>M1-R-05</t>
        </is>
      </c>
      <c r="D87" s="67" t="inlineStr">
        <is>
          <t>M1</t>
        </is>
      </c>
      <c r="E87" s="67" t="inlineStr">
        <is>
          <t>Khuchra</t>
        </is>
      </c>
      <c r="F87" s="67" t="inlineStr">
        <is>
          <t>S05</t>
        </is>
      </c>
      <c r="G87" s="75" t="n">
        <v>17000</v>
      </c>
      <c r="H87" s="75" t="n">
        <v>19250</v>
      </c>
      <c r="I87" s="67" t="inlineStr">
        <is>
          <t>Maund</t>
        </is>
      </c>
      <c r="J87" s="76" t="n">
        <v>455.52</v>
      </c>
      <c r="K87" s="76" t="n">
        <v>515.8099999999999</v>
      </c>
      <c r="L87" s="75" t="n">
        <v>0.7</v>
      </c>
      <c r="M87" s="67" t="inlineStr">
        <is>
          <t>Maund</t>
        </is>
      </c>
      <c r="N87" s="76" t="n">
        <v>26.12</v>
      </c>
      <c r="O87" s="67" t="n"/>
      <c r="P87" s="68" t="n"/>
    </row>
    <row r="88" ht="19.5" customHeight="1" s="45">
      <c r="B88" s="74" t="inlineStr">
        <is>
          <t>PO-0084</t>
        </is>
      </c>
      <c r="C88" s="67" t="inlineStr">
        <is>
          <t>M1-R-05</t>
        </is>
      </c>
      <c r="D88" s="67" t="inlineStr">
        <is>
          <t>M1</t>
        </is>
      </c>
      <c r="E88" s="67" t="inlineStr">
        <is>
          <t>Khuchra</t>
        </is>
      </c>
      <c r="F88" s="67" t="inlineStr">
        <is>
          <t>S07</t>
        </is>
      </c>
      <c r="G88" s="75" t="n">
        <v>16750</v>
      </c>
      <c r="H88" s="75" t="n">
        <v>18500</v>
      </c>
      <c r="I88" s="67" t="inlineStr">
        <is>
          <t>Maund</t>
        </is>
      </c>
      <c r="J88" s="76" t="n">
        <v>448.82</v>
      </c>
      <c r="K88" s="76" t="n">
        <v>495.71</v>
      </c>
      <c r="L88" s="75" t="n">
        <v>0.4</v>
      </c>
      <c r="M88" s="67" t="inlineStr">
        <is>
          <t>Maund</t>
        </is>
      </c>
      <c r="N88" s="76" t="n">
        <v>14.93</v>
      </c>
      <c r="O88" s="67" t="n"/>
      <c r="P88" s="68" t="n"/>
    </row>
    <row r="89" ht="19.5" customHeight="1" s="45">
      <c r="B89" s="74" t="inlineStr">
        <is>
          <t>PO-0085</t>
        </is>
      </c>
      <c r="C89" s="67" t="inlineStr">
        <is>
          <t>M2-A-01</t>
        </is>
      </c>
      <c r="D89" s="67" t="inlineStr">
        <is>
          <t>M2</t>
        </is>
      </c>
      <c r="E89" s="67" t="inlineStr">
        <is>
          <t>Aratdar</t>
        </is>
      </c>
      <c r="F89" s="67" t="inlineStr">
        <is>
          <t>S01</t>
        </is>
      </c>
      <c r="G89" s="75" t="n">
        <v>42750</v>
      </c>
      <c r="H89" s="75" t="n">
        <v>45000</v>
      </c>
      <c r="I89" s="67" t="inlineStr">
        <is>
          <t>Maund</t>
        </is>
      </c>
      <c r="J89" s="76" t="n">
        <v>1145.5</v>
      </c>
      <c r="K89" s="76" t="n">
        <v>1205.79</v>
      </c>
      <c r="L89" s="75" t="n">
        <v>4</v>
      </c>
      <c r="M89" s="67" t="inlineStr">
        <is>
          <t>Maund</t>
        </is>
      </c>
      <c r="N89" s="76" t="n">
        <v>149.28</v>
      </c>
      <c r="O89" s="67" t="inlineStr">
        <is>
          <t>PAIR-M2-02</t>
        </is>
      </c>
      <c r="P89" s="68" t="n"/>
    </row>
    <row r="90" ht="19.5" customHeight="1" s="45">
      <c r="B90" s="74" t="inlineStr">
        <is>
          <t>PO-0086</t>
        </is>
      </c>
      <c r="C90" s="67" t="inlineStr">
        <is>
          <t>M2-A-01</t>
        </is>
      </c>
      <c r="D90" s="67" t="inlineStr">
        <is>
          <t>M2</t>
        </is>
      </c>
      <c r="E90" s="67" t="inlineStr">
        <is>
          <t>Aratdar</t>
        </is>
      </c>
      <c r="F90" s="67" t="inlineStr">
        <is>
          <t>S03</t>
        </is>
      </c>
      <c r="G90" s="75" t="n">
        <v>29000</v>
      </c>
      <c r="H90" s="75" t="n">
        <v>30250</v>
      </c>
      <c r="I90" s="67" t="inlineStr">
        <is>
          <t>Maund</t>
        </is>
      </c>
      <c r="J90" s="76" t="n">
        <v>777.0599999999999</v>
      </c>
      <c r="K90" s="76" t="n">
        <v>810.5599999999999</v>
      </c>
      <c r="L90" s="75" t="n">
        <v>6.6</v>
      </c>
      <c r="M90" s="67" t="inlineStr">
        <is>
          <t>Maund</t>
        </is>
      </c>
      <c r="N90" s="76" t="n">
        <v>246.31</v>
      </c>
      <c r="O90" s="67" t="n"/>
      <c r="P90" s="68" t="n"/>
    </row>
    <row r="91" ht="19.5" customHeight="1" s="45">
      <c r="B91" s="74" t="inlineStr">
        <is>
          <t>PO-0087</t>
        </is>
      </c>
      <c r="C91" s="67" t="inlineStr">
        <is>
          <t>M2-A-01</t>
        </is>
      </c>
      <c r="D91" s="67" t="inlineStr">
        <is>
          <t>M2</t>
        </is>
      </c>
      <c r="E91" s="67" t="inlineStr">
        <is>
          <t>Aratdar</t>
        </is>
      </c>
      <c r="F91" s="67" t="inlineStr">
        <is>
          <t>S05</t>
        </is>
      </c>
      <c r="G91" s="75" t="n">
        <v>16500</v>
      </c>
      <c r="H91" s="75" t="n">
        <v>17250</v>
      </c>
      <c r="I91" s="67" t="inlineStr">
        <is>
          <t>Maund</t>
        </is>
      </c>
      <c r="J91" s="76" t="n">
        <v>442.12</v>
      </c>
      <c r="K91" s="76" t="n">
        <v>462.22</v>
      </c>
      <c r="L91" s="75" t="n">
        <v>5.7</v>
      </c>
      <c r="M91" s="67" t="inlineStr">
        <is>
          <t>Maund</t>
        </is>
      </c>
      <c r="N91" s="76" t="n">
        <v>212.72</v>
      </c>
      <c r="O91" s="67" t="n"/>
      <c r="P91" s="68" t="n"/>
    </row>
    <row r="92" ht="19.5" customHeight="1" s="45">
      <c r="B92" s="74" t="inlineStr">
        <is>
          <t>PO-0088</t>
        </is>
      </c>
      <c r="C92" s="67" t="inlineStr">
        <is>
          <t>M2-A-01</t>
        </is>
      </c>
      <c r="D92" s="67" t="inlineStr">
        <is>
          <t>M2</t>
        </is>
      </c>
      <c r="E92" s="67" t="inlineStr">
        <is>
          <t>Aratdar</t>
        </is>
      </c>
      <c r="F92" s="67" t="inlineStr">
        <is>
          <t>S10</t>
        </is>
      </c>
      <c r="G92" s="75" t="n">
        <v>7000</v>
      </c>
      <c r="H92" s="75" t="n">
        <v>7300</v>
      </c>
      <c r="I92" s="67" t="inlineStr">
        <is>
          <t>Maund</t>
        </is>
      </c>
      <c r="J92" s="76" t="n">
        <v>187.57</v>
      </c>
      <c r="K92" s="76" t="n">
        <v>195.61</v>
      </c>
      <c r="L92" s="75" t="n">
        <v>7.7</v>
      </c>
      <c r="M92" s="67" t="inlineStr">
        <is>
          <t>Maund</t>
        </is>
      </c>
      <c r="N92" s="76" t="n">
        <v>287.36</v>
      </c>
      <c r="O92" s="67" t="n"/>
      <c r="P92" s="68" t="n"/>
    </row>
    <row r="93" ht="19.5" customHeight="1" s="45">
      <c r="B93" s="74" t="inlineStr">
        <is>
          <t>PO-0089</t>
        </is>
      </c>
      <c r="C93" s="67" t="inlineStr">
        <is>
          <t>M2-A-02</t>
        </is>
      </c>
      <c r="D93" s="67" t="inlineStr">
        <is>
          <t>M2</t>
        </is>
      </c>
      <c r="E93" s="67" t="inlineStr">
        <is>
          <t>Aratdar</t>
        </is>
      </c>
      <c r="F93" s="67" t="inlineStr">
        <is>
          <t>S01</t>
        </is>
      </c>
      <c r="G93" s="75" t="n">
        <v>43000</v>
      </c>
      <c r="H93" s="75" t="n">
        <v>45000</v>
      </c>
      <c r="I93" s="67" t="inlineStr">
        <is>
          <t>Maund</t>
        </is>
      </c>
      <c r="J93" s="76" t="n">
        <v>1152.2</v>
      </c>
      <c r="K93" s="76" t="n">
        <v>1205.79</v>
      </c>
      <c r="L93" s="75" t="n">
        <v>4.6</v>
      </c>
      <c r="M93" s="67" t="inlineStr">
        <is>
          <t>Maund</t>
        </is>
      </c>
      <c r="N93" s="76" t="n">
        <v>171.67</v>
      </c>
      <c r="O93" s="67" t="n"/>
      <c r="P93" s="68" t="n"/>
    </row>
    <row r="94" ht="19.5" customHeight="1" s="45">
      <c r="B94" s="74" t="inlineStr">
        <is>
          <t>PO-0090</t>
        </is>
      </c>
      <c r="C94" s="67" t="inlineStr">
        <is>
          <t>M2-A-02</t>
        </is>
      </c>
      <c r="D94" s="67" t="inlineStr">
        <is>
          <t>M2</t>
        </is>
      </c>
      <c r="E94" s="67" t="inlineStr">
        <is>
          <t>Aratdar</t>
        </is>
      </c>
      <c r="F94" s="67" t="inlineStr">
        <is>
          <t>S02</t>
        </is>
      </c>
      <c r="G94" s="75" t="n">
        <v>45750</v>
      </c>
      <c r="H94" s="75" t="n">
        <v>47500</v>
      </c>
      <c r="I94" s="67" t="inlineStr">
        <is>
          <t>Maund</t>
        </is>
      </c>
      <c r="J94" s="76" t="n">
        <v>1225.88</v>
      </c>
      <c r="K94" s="76" t="n">
        <v>1272.78</v>
      </c>
      <c r="L94" s="75" t="n">
        <v>5.6</v>
      </c>
      <c r="M94" s="67" t="inlineStr">
        <is>
          <t>Maund</t>
        </is>
      </c>
      <c r="N94" s="76" t="n">
        <v>208.99</v>
      </c>
      <c r="O94" s="67" t="n"/>
      <c r="P94" s="68" t="n"/>
    </row>
    <row r="95" ht="19.5" customHeight="1" s="45">
      <c r="B95" s="74" t="inlineStr">
        <is>
          <t>PO-0091</t>
        </is>
      </c>
      <c r="C95" s="67" t="inlineStr">
        <is>
          <t>M2-A-02</t>
        </is>
      </c>
      <c r="D95" s="67" t="inlineStr">
        <is>
          <t>M2</t>
        </is>
      </c>
      <c r="E95" s="67" t="inlineStr">
        <is>
          <t>Aratdar</t>
        </is>
      </c>
      <c r="F95" s="67" t="inlineStr">
        <is>
          <t>S05</t>
        </is>
      </c>
      <c r="G95" s="75" t="n">
        <v>17250</v>
      </c>
      <c r="H95" s="75" t="n">
        <v>17750</v>
      </c>
      <c r="I95" s="67" t="inlineStr">
        <is>
          <t>Maund</t>
        </is>
      </c>
      <c r="J95" s="76" t="n">
        <v>462.22</v>
      </c>
      <c r="K95" s="76" t="n">
        <v>475.62</v>
      </c>
      <c r="L95" s="75" t="n">
        <v>6.4</v>
      </c>
      <c r="M95" s="67" t="inlineStr">
        <is>
          <t>Maund</t>
        </is>
      </c>
      <c r="N95" s="76" t="n">
        <v>238.85</v>
      </c>
      <c r="O95" s="67" t="n"/>
      <c r="P95" s="68" t="n"/>
    </row>
    <row r="96" ht="19.5" customHeight="1" s="45">
      <c r="B96" s="74" t="inlineStr">
        <is>
          <t>PO-0092</t>
        </is>
      </c>
      <c r="C96" s="67" t="inlineStr">
        <is>
          <t>M2-A-02</t>
        </is>
      </c>
      <c r="D96" s="67" t="inlineStr">
        <is>
          <t>M2</t>
        </is>
      </c>
      <c r="E96" s="67" t="inlineStr">
        <is>
          <t>Aratdar</t>
        </is>
      </c>
      <c r="F96" s="67" t="inlineStr">
        <is>
          <t>S06</t>
        </is>
      </c>
      <c r="G96" s="75" t="n">
        <v>13250</v>
      </c>
      <c r="H96" s="75" t="n">
        <v>13750</v>
      </c>
      <c r="I96" s="67" t="inlineStr">
        <is>
          <t>Maund</t>
        </is>
      </c>
      <c r="J96" s="76" t="n">
        <v>355.04</v>
      </c>
      <c r="K96" s="76" t="n">
        <v>368.44</v>
      </c>
      <c r="L96" s="75" t="n">
        <v>5.7</v>
      </c>
      <c r="M96" s="67" t="inlineStr">
        <is>
          <t>Maund</t>
        </is>
      </c>
      <c r="N96" s="76" t="n">
        <v>212.72</v>
      </c>
      <c r="O96" s="67" t="n"/>
      <c r="P96" s="68" t="n"/>
    </row>
    <row r="97" ht="19.5" customHeight="1" s="45">
      <c r="B97" s="74" t="inlineStr">
        <is>
          <t>PO-0093</t>
        </is>
      </c>
      <c r="C97" s="67" t="inlineStr">
        <is>
          <t>M2-A-02</t>
        </is>
      </c>
      <c r="D97" s="67" t="inlineStr">
        <is>
          <t>M2</t>
        </is>
      </c>
      <c r="E97" s="67" t="inlineStr">
        <is>
          <t>Aratdar</t>
        </is>
      </c>
      <c r="F97" s="67" t="inlineStr">
        <is>
          <t>S08</t>
        </is>
      </c>
      <c r="G97" s="75" t="n">
        <v>9200</v>
      </c>
      <c r="H97" s="75" t="inlineStr">
        <is>
          <t>D</t>
        </is>
      </c>
      <c r="I97" s="67" t="inlineStr">
        <is>
          <t>Maund</t>
        </is>
      </c>
      <c r="J97" s="76" t="n">
        <v>246.52</v>
      </c>
      <c r="K97" s="76" t="n"/>
      <c r="L97" s="75" t="n">
        <v>6.2</v>
      </c>
      <c r="M97" s="67" t="inlineStr">
        <is>
          <t>Maund</t>
        </is>
      </c>
      <c r="N97" s="76" t="n">
        <v>231.38</v>
      </c>
      <c r="O97" s="67" t="n"/>
      <c r="P97" s="68" t="n"/>
    </row>
    <row r="98" ht="19.5" customHeight="1" s="45">
      <c r="B98" s="74" t="inlineStr">
        <is>
          <t>PO-0094</t>
        </is>
      </c>
      <c r="C98" s="67" t="inlineStr">
        <is>
          <t>M2-A-02</t>
        </is>
      </c>
      <c r="D98" s="67" t="inlineStr">
        <is>
          <t>M2</t>
        </is>
      </c>
      <c r="E98" s="67" t="inlineStr">
        <is>
          <t>Aratdar</t>
        </is>
      </c>
      <c r="F98" s="67" t="inlineStr">
        <is>
          <t>S03</t>
        </is>
      </c>
      <c r="G98" s="75" t="inlineStr">
        <is>
          <t>K</t>
        </is>
      </c>
      <c r="H98" s="75" t="inlineStr">
        <is>
          <t>K</t>
        </is>
      </c>
      <c r="I98" s="67" t="n"/>
      <c r="J98" s="76" t="n"/>
      <c r="K98" s="76" t="n"/>
      <c r="L98" s="75" t="n"/>
      <c r="M98" s="67" t="n"/>
      <c r="N98" s="76" t="n"/>
      <c r="O98" s="67" t="n"/>
      <c r="P98" s="68" t="inlineStr">
        <is>
          <t>Species not handled today</t>
        </is>
      </c>
    </row>
    <row r="99" ht="19.5" customHeight="1" s="45">
      <c r="B99" s="74" t="inlineStr">
        <is>
          <t>PO-0095</t>
        </is>
      </c>
      <c r="C99" s="67" t="inlineStr">
        <is>
          <t>M2-A-03</t>
        </is>
      </c>
      <c r="D99" s="67" t="inlineStr">
        <is>
          <t>M2</t>
        </is>
      </c>
      <c r="E99" s="67" t="inlineStr">
        <is>
          <t>Aratdar</t>
        </is>
      </c>
      <c r="F99" s="67" t="inlineStr">
        <is>
          <t>S01</t>
        </is>
      </c>
      <c r="G99" s="75" t="n">
        <v>39750</v>
      </c>
      <c r="H99" s="75" t="n">
        <v>41750</v>
      </c>
      <c r="I99" s="67" t="inlineStr">
        <is>
          <t>Maund</t>
        </is>
      </c>
      <c r="J99" s="76" t="n">
        <v>1065.11</v>
      </c>
      <c r="K99" s="76" t="n">
        <v>1118.7</v>
      </c>
      <c r="L99" s="75" t="n">
        <v>1.7</v>
      </c>
      <c r="M99" s="67" t="inlineStr">
        <is>
          <t>Maund</t>
        </is>
      </c>
      <c r="N99" s="76" t="n">
        <v>63.44</v>
      </c>
      <c r="O99" s="67" t="n"/>
      <c r="P99" s="68" t="n"/>
    </row>
    <row r="100" ht="19.5" customHeight="1" s="45">
      <c r="B100" s="74" t="inlineStr">
        <is>
          <t>PO-0096</t>
        </is>
      </c>
      <c r="C100" s="67" t="inlineStr">
        <is>
          <t>M2-A-03</t>
        </is>
      </c>
      <c r="D100" s="67" t="inlineStr">
        <is>
          <t>M2</t>
        </is>
      </c>
      <c r="E100" s="67" t="inlineStr">
        <is>
          <t>Aratdar</t>
        </is>
      </c>
      <c r="F100" s="67" t="inlineStr">
        <is>
          <t>S02</t>
        </is>
      </c>
      <c r="G100" s="75" t="n">
        <v>47250</v>
      </c>
      <c r="H100" s="75" t="n">
        <v>50000</v>
      </c>
      <c r="I100" s="67" t="inlineStr">
        <is>
          <t>Maund</t>
        </is>
      </c>
      <c r="J100" s="76" t="n">
        <v>1266.08</v>
      </c>
      <c r="K100" s="76" t="n">
        <v>1339.76</v>
      </c>
      <c r="L100" s="75" t="n">
        <v>2.1</v>
      </c>
      <c r="M100" s="67" t="inlineStr">
        <is>
          <t>Maund</t>
        </is>
      </c>
      <c r="N100" s="76" t="n">
        <v>78.37</v>
      </c>
      <c r="O100" s="67" t="n"/>
      <c r="P100" s="68" t="n"/>
    </row>
    <row r="101" ht="19.5" customHeight="1" s="45">
      <c r="B101" s="74" t="inlineStr">
        <is>
          <t>PO-0097</t>
        </is>
      </c>
      <c r="C101" s="67" t="inlineStr">
        <is>
          <t>M2-A-03</t>
        </is>
      </c>
      <c r="D101" s="67" t="inlineStr">
        <is>
          <t>M2</t>
        </is>
      </c>
      <c r="E101" s="67" t="inlineStr">
        <is>
          <t>Aratdar</t>
        </is>
      </c>
      <c r="F101" s="67" t="inlineStr">
        <is>
          <t>S04</t>
        </is>
      </c>
      <c r="G101" s="75" t="n">
        <v>27000</v>
      </c>
      <c r="H101" s="75" t="n">
        <v>28000</v>
      </c>
      <c r="I101" s="67" t="inlineStr">
        <is>
          <t>Maund</t>
        </is>
      </c>
      <c r="J101" s="76" t="n">
        <v>723.47</v>
      </c>
      <c r="K101" s="76" t="n">
        <v>750.27</v>
      </c>
      <c r="L101" s="75" t="n">
        <v>1.7</v>
      </c>
      <c r="M101" s="67" t="inlineStr">
        <is>
          <t>Maund</t>
        </is>
      </c>
      <c r="N101" s="76" t="n">
        <v>63.44</v>
      </c>
      <c r="O101" s="67" t="n"/>
      <c r="P101" s="68" t="n"/>
    </row>
    <row r="102" ht="19.5" customHeight="1" s="45">
      <c r="B102" s="74" t="inlineStr">
        <is>
          <t>PO-0098</t>
        </is>
      </c>
      <c r="C102" s="67" t="inlineStr">
        <is>
          <t>M2-A-03</t>
        </is>
      </c>
      <c r="D102" s="67" t="inlineStr">
        <is>
          <t>M2</t>
        </is>
      </c>
      <c r="E102" s="67" t="inlineStr">
        <is>
          <t>Aratdar</t>
        </is>
      </c>
      <c r="F102" s="67" t="inlineStr">
        <is>
          <t>S06</t>
        </is>
      </c>
      <c r="G102" s="75" t="n">
        <v>12250</v>
      </c>
      <c r="H102" s="75" t="n">
        <v>13000</v>
      </c>
      <c r="I102" s="67" t="inlineStr">
        <is>
          <t>Maund</t>
        </is>
      </c>
      <c r="J102" s="76" t="n">
        <v>328.24</v>
      </c>
      <c r="K102" s="76" t="n">
        <v>348.34</v>
      </c>
      <c r="L102" s="75" t="n">
        <v>2.1</v>
      </c>
      <c r="M102" s="67" t="inlineStr">
        <is>
          <t>Maund</t>
        </is>
      </c>
      <c r="N102" s="76" t="n">
        <v>78.37</v>
      </c>
      <c r="O102" s="67" t="n"/>
      <c r="P102" s="68" t="n"/>
    </row>
    <row r="103" ht="19.5" customHeight="1" s="45">
      <c r="B103" s="74" t="inlineStr">
        <is>
          <t>PO-0099</t>
        </is>
      </c>
      <c r="C103" s="67" t="inlineStr">
        <is>
          <t>M2-A-03</t>
        </is>
      </c>
      <c r="D103" s="67" t="inlineStr">
        <is>
          <t>M2</t>
        </is>
      </c>
      <c r="E103" s="67" t="inlineStr">
        <is>
          <t>Aratdar</t>
        </is>
      </c>
      <c r="F103" s="67" t="inlineStr">
        <is>
          <t>S07</t>
        </is>
      </c>
      <c r="G103" s="75" t="n">
        <v>15000</v>
      </c>
      <c r="H103" s="75" t="n">
        <v>15750</v>
      </c>
      <c r="I103" s="67" t="inlineStr">
        <is>
          <t>Maund</t>
        </is>
      </c>
      <c r="J103" s="76" t="n">
        <v>401.93</v>
      </c>
      <c r="K103" s="76" t="n">
        <v>422.03</v>
      </c>
      <c r="L103" s="75" t="n">
        <v>1.6</v>
      </c>
      <c r="M103" s="67" t="inlineStr">
        <is>
          <t>Maund</t>
        </is>
      </c>
      <c r="N103" s="76" t="n">
        <v>59.71</v>
      </c>
      <c r="O103" s="67" t="n"/>
      <c r="P103" s="68" t="n"/>
    </row>
    <row r="104" ht="19.5" customHeight="1" s="45">
      <c r="B104" s="74" t="inlineStr">
        <is>
          <t>PO-0100</t>
        </is>
      </c>
      <c r="C104" s="67" t="inlineStr">
        <is>
          <t>M2-A-04</t>
        </is>
      </c>
      <c r="D104" s="67" t="inlineStr">
        <is>
          <t>M2</t>
        </is>
      </c>
      <c r="E104" s="67" t="inlineStr">
        <is>
          <t>Aratdar</t>
        </is>
      </c>
      <c r="F104" s="67" t="inlineStr">
        <is>
          <t>S01</t>
        </is>
      </c>
      <c r="G104" s="75" t="n">
        <v>40500</v>
      </c>
      <c r="H104" s="75" t="inlineStr">
        <is>
          <t>D</t>
        </is>
      </c>
      <c r="I104" s="67" t="inlineStr">
        <is>
          <t>Maund</t>
        </is>
      </c>
      <c r="J104" s="76" t="n">
        <v>1085.21</v>
      </c>
      <c r="K104" s="76" t="n"/>
      <c r="L104" s="75" t="n">
        <v>3.8</v>
      </c>
      <c r="M104" s="67" t="inlineStr">
        <is>
          <t>Maund</t>
        </is>
      </c>
      <c r="N104" s="76" t="n">
        <v>141.82</v>
      </c>
      <c r="O104" s="67" t="n"/>
      <c r="P104" s="68" t="n"/>
    </row>
    <row r="105" ht="19.5" customHeight="1" s="45">
      <c r="B105" s="74" t="inlineStr">
        <is>
          <t>PO-0101</t>
        </is>
      </c>
      <c r="C105" s="67" t="inlineStr">
        <is>
          <t>M2-A-04</t>
        </is>
      </c>
      <c r="D105" s="67" t="inlineStr">
        <is>
          <t>M2</t>
        </is>
      </c>
      <c r="E105" s="67" t="inlineStr">
        <is>
          <t>Aratdar</t>
        </is>
      </c>
      <c r="F105" s="67" t="inlineStr">
        <is>
          <t>S02</t>
        </is>
      </c>
      <c r="G105" s="75" t="n">
        <v>43250</v>
      </c>
      <c r="H105" s="75" t="n">
        <v>45250</v>
      </c>
      <c r="I105" s="67" t="inlineStr">
        <is>
          <t>Maund</t>
        </is>
      </c>
      <c r="J105" s="76" t="n">
        <v>1158.9</v>
      </c>
      <c r="K105" s="76" t="n">
        <v>1212.49</v>
      </c>
      <c r="L105" s="75" t="n">
        <v>5</v>
      </c>
      <c r="M105" s="67" t="inlineStr">
        <is>
          <t>Maund</t>
        </is>
      </c>
      <c r="N105" s="76" t="n">
        <v>186.6</v>
      </c>
      <c r="O105" s="67" t="n"/>
      <c r="P105" s="68" t="n"/>
    </row>
    <row r="106" ht="19.5" customHeight="1" s="45">
      <c r="B106" s="74" t="inlineStr">
        <is>
          <t>PO-0102</t>
        </is>
      </c>
      <c r="C106" s="67" t="inlineStr">
        <is>
          <t>M2-A-04</t>
        </is>
      </c>
      <c r="D106" s="67" t="inlineStr">
        <is>
          <t>M2</t>
        </is>
      </c>
      <c r="E106" s="67" t="inlineStr">
        <is>
          <t>Aratdar</t>
        </is>
      </c>
      <c r="F106" s="67" t="inlineStr">
        <is>
          <t>S03</t>
        </is>
      </c>
      <c r="G106" s="75" t="n">
        <v>31250</v>
      </c>
      <c r="H106" s="75" t="n">
        <v>32500</v>
      </c>
      <c r="I106" s="67" t="inlineStr">
        <is>
          <t>Maund</t>
        </is>
      </c>
      <c r="J106" s="76" t="n">
        <v>837.35</v>
      </c>
      <c r="K106" s="76" t="n">
        <v>870.85</v>
      </c>
      <c r="L106" s="75" t="n">
        <v>4.7</v>
      </c>
      <c r="M106" s="67" t="inlineStr">
        <is>
          <t>Maund</t>
        </is>
      </c>
      <c r="N106" s="76" t="n">
        <v>175.4</v>
      </c>
      <c r="O106" s="67" t="inlineStr">
        <is>
          <t>PAIR-M2-01</t>
        </is>
      </c>
      <c r="P106" s="68" t="n"/>
    </row>
    <row r="107" ht="19.5" customHeight="1" s="45">
      <c r="B107" s="74" t="inlineStr">
        <is>
          <t>PO-0103</t>
        </is>
      </c>
      <c r="C107" s="67" t="inlineStr">
        <is>
          <t>M2-A-04</t>
        </is>
      </c>
      <c r="D107" s="67" t="inlineStr">
        <is>
          <t>M2</t>
        </is>
      </c>
      <c r="E107" s="67" t="inlineStr">
        <is>
          <t>Aratdar</t>
        </is>
      </c>
      <c r="F107" s="67" t="inlineStr">
        <is>
          <t>S04</t>
        </is>
      </c>
      <c r="G107" s="75" t="n">
        <v>27250</v>
      </c>
      <c r="H107" s="75" t="n">
        <v>28250</v>
      </c>
      <c r="I107" s="67" t="inlineStr">
        <is>
          <t>Maund</t>
        </is>
      </c>
      <c r="J107" s="76" t="n">
        <v>730.17</v>
      </c>
      <c r="K107" s="76" t="n">
        <v>756.97</v>
      </c>
      <c r="L107" s="75" t="n">
        <v>3</v>
      </c>
      <c r="M107" s="67" t="inlineStr">
        <is>
          <t>Maund</t>
        </is>
      </c>
      <c r="N107" s="76" t="n">
        <v>111.96</v>
      </c>
      <c r="O107" s="67" t="n"/>
      <c r="P107" s="68" t="n"/>
    </row>
    <row r="108" ht="19.5" customHeight="1" s="45">
      <c r="B108" s="74" t="inlineStr">
        <is>
          <t>PO-0104</t>
        </is>
      </c>
      <c r="C108" s="67" t="inlineStr">
        <is>
          <t>M2-A-04</t>
        </is>
      </c>
      <c r="D108" s="67" t="inlineStr">
        <is>
          <t>M2</t>
        </is>
      </c>
      <c r="E108" s="67" t="inlineStr">
        <is>
          <t>Aratdar</t>
        </is>
      </c>
      <c r="F108" s="67" t="inlineStr">
        <is>
          <t>S05</t>
        </is>
      </c>
      <c r="G108" s="75" t="n">
        <v>17250</v>
      </c>
      <c r="H108" s="75" t="n">
        <v>18000</v>
      </c>
      <c r="I108" s="67" t="inlineStr">
        <is>
          <t>Maund</t>
        </is>
      </c>
      <c r="J108" s="76" t="n">
        <v>462.22</v>
      </c>
      <c r="K108" s="76" t="n">
        <v>482.32</v>
      </c>
      <c r="L108" s="75" t="n">
        <v>3.2</v>
      </c>
      <c r="M108" s="67" t="inlineStr">
        <is>
          <t>Maund</t>
        </is>
      </c>
      <c r="N108" s="76" t="n">
        <v>119.42</v>
      </c>
      <c r="O108" s="67" t="n"/>
      <c r="P108" s="68" t="n"/>
    </row>
    <row r="109" ht="19.5" customHeight="1" s="45">
      <c r="B109" s="74" t="inlineStr">
        <is>
          <t>PO-0105</t>
        </is>
      </c>
      <c r="C109" s="67" t="inlineStr">
        <is>
          <t>M2-A-05</t>
        </is>
      </c>
      <c r="D109" s="67" t="inlineStr">
        <is>
          <t>M2</t>
        </is>
      </c>
      <c r="E109" s="67" t="inlineStr">
        <is>
          <t>Aratdar</t>
        </is>
      </c>
      <c r="F109" s="67" t="inlineStr">
        <is>
          <t>S01</t>
        </is>
      </c>
      <c r="G109" s="75" t="n">
        <v>43250</v>
      </c>
      <c r="H109" s="75" t="n">
        <v>45000</v>
      </c>
      <c r="I109" s="67" t="inlineStr">
        <is>
          <t>Maund</t>
        </is>
      </c>
      <c r="J109" s="76" t="n">
        <v>1158.9</v>
      </c>
      <c r="K109" s="76" t="n">
        <v>1205.79</v>
      </c>
      <c r="L109" s="75" t="n">
        <v>1.7</v>
      </c>
      <c r="M109" s="67" t="inlineStr">
        <is>
          <t>Maund</t>
        </is>
      </c>
      <c r="N109" s="76" t="n">
        <v>63.44</v>
      </c>
      <c r="O109" s="67" t="n"/>
      <c r="P109" s="68" t="n"/>
    </row>
    <row r="110" ht="19.5" customHeight="1" s="45">
      <c r="B110" s="74" t="inlineStr">
        <is>
          <t>PO-0106</t>
        </is>
      </c>
      <c r="C110" s="67" t="inlineStr">
        <is>
          <t>M2-A-05</t>
        </is>
      </c>
      <c r="D110" s="67" t="inlineStr">
        <is>
          <t>M2</t>
        </is>
      </c>
      <c r="E110" s="67" t="inlineStr">
        <is>
          <t>Aratdar</t>
        </is>
      </c>
      <c r="F110" s="67" t="inlineStr">
        <is>
          <t>S02</t>
        </is>
      </c>
      <c r="G110" s="75" t="n">
        <v>43500</v>
      </c>
      <c r="H110" s="75" t="n">
        <v>44750</v>
      </c>
      <c r="I110" s="67" t="inlineStr">
        <is>
          <t>Maund</t>
        </is>
      </c>
      <c r="J110" s="76" t="n">
        <v>1165.59</v>
      </c>
      <c r="K110" s="76" t="n">
        <v>1199.09</v>
      </c>
      <c r="L110" s="75" t="n">
        <v>1.9</v>
      </c>
      <c r="M110" s="67" t="inlineStr">
        <is>
          <t>Maund</t>
        </is>
      </c>
      <c r="N110" s="76" t="n">
        <v>70.91</v>
      </c>
      <c r="O110" s="67" t="n"/>
      <c r="P110" s="68" t="n"/>
    </row>
    <row r="111" ht="19.5" customHeight="1" s="45">
      <c r="B111" s="74" t="inlineStr">
        <is>
          <t>PO-0107</t>
        </is>
      </c>
      <c r="C111" s="67" t="inlineStr">
        <is>
          <t>M2-A-05</t>
        </is>
      </c>
      <c r="D111" s="67" t="inlineStr">
        <is>
          <t>M2</t>
        </is>
      </c>
      <c r="E111" s="67" t="inlineStr">
        <is>
          <t>Aratdar</t>
        </is>
      </c>
      <c r="F111" s="67" t="inlineStr">
        <is>
          <t>S04</t>
        </is>
      </c>
      <c r="G111" s="75" t="n">
        <v>25250</v>
      </c>
      <c r="H111" s="75" t="n">
        <v>26250</v>
      </c>
      <c r="I111" s="67" t="inlineStr">
        <is>
          <t>Maund</t>
        </is>
      </c>
      <c r="J111" s="76" t="n">
        <v>676.58</v>
      </c>
      <c r="K111" s="76" t="n">
        <v>703.38</v>
      </c>
      <c r="L111" s="75" t="n">
        <v>1.3</v>
      </c>
      <c r="M111" s="67" t="inlineStr">
        <is>
          <t>Maund</t>
        </is>
      </c>
      <c r="N111" s="76" t="n">
        <v>48.52</v>
      </c>
      <c r="O111" s="67" t="n"/>
      <c r="P111" s="68" t="n"/>
    </row>
    <row r="112" ht="19.5" customHeight="1" s="45">
      <c r="B112" s="74" t="inlineStr">
        <is>
          <t>PO-0108</t>
        </is>
      </c>
      <c r="C112" s="67" t="inlineStr">
        <is>
          <t>M2-A-05</t>
        </is>
      </c>
      <c r="D112" s="67" t="inlineStr">
        <is>
          <t>M2</t>
        </is>
      </c>
      <c r="E112" s="67" t="inlineStr">
        <is>
          <t>Aratdar</t>
        </is>
      </c>
      <c r="F112" s="67" t="inlineStr">
        <is>
          <t>S05</t>
        </is>
      </c>
      <c r="G112" s="75" t="n">
        <v>16250</v>
      </c>
      <c r="H112" s="75" t="n">
        <v>16750</v>
      </c>
      <c r="I112" s="67" t="inlineStr">
        <is>
          <t>Maund</t>
        </is>
      </c>
      <c r="J112" s="76" t="n">
        <v>435.42</v>
      </c>
      <c r="K112" s="76" t="n">
        <v>448.82</v>
      </c>
      <c r="L112" s="75" t="n">
        <v>1.2</v>
      </c>
      <c r="M112" s="67" t="inlineStr">
        <is>
          <t>Maund</t>
        </is>
      </c>
      <c r="N112" s="76" t="n">
        <v>44.78</v>
      </c>
      <c r="O112" s="67" t="inlineStr">
        <is>
          <t>PAIR-M2-03</t>
        </is>
      </c>
      <c r="P112" s="68" t="n"/>
    </row>
    <row r="113" ht="19.5" customHeight="1" s="45">
      <c r="B113" s="74" t="inlineStr">
        <is>
          <t>PO-0109</t>
        </is>
      </c>
      <c r="C113" s="67" t="inlineStr">
        <is>
          <t>M2-A-05</t>
        </is>
      </c>
      <c r="D113" s="67" t="inlineStr">
        <is>
          <t>M2</t>
        </is>
      </c>
      <c r="E113" s="67" t="inlineStr">
        <is>
          <t>Aratdar</t>
        </is>
      </c>
      <c r="F113" s="67" t="inlineStr">
        <is>
          <t>S07</t>
        </is>
      </c>
      <c r="G113" s="75" t="n">
        <v>15500</v>
      </c>
      <c r="H113" s="75" t="n">
        <v>16250</v>
      </c>
      <c r="I113" s="67" t="inlineStr">
        <is>
          <t>Maund</t>
        </is>
      </c>
      <c r="J113" s="76" t="n">
        <v>415.33</v>
      </c>
      <c r="K113" s="76" t="n">
        <v>435.42</v>
      </c>
      <c r="L113" s="75" t="n">
        <v>1.4</v>
      </c>
      <c r="M113" s="67" t="inlineStr">
        <is>
          <t>Maund</t>
        </is>
      </c>
      <c r="N113" s="76" t="n">
        <v>52.25</v>
      </c>
      <c r="O113" s="67" t="n"/>
      <c r="P113" s="68" t="n"/>
    </row>
    <row r="114" ht="19.5" customHeight="1" s="45">
      <c r="B114" s="74" t="inlineStr">
        <is>
          <t>PO-0110</t>
        </is>
      </c>
      <c r="C114" s="67" t="inlineStr">
        <is>
          <t>M2-B-01</t>
        </is>
      </c>
      <c r="D114" s="67" t="inlineStr">
        <is>
          <t>M2</t>
        </is>
      </c>
      <c r="E114" s="67" t="inlineStr">
        <is>
          <t>Bepari_Faria</t>
        </is>
      </c>
      <c r="F114" s="67" t="inlineStr">
        <is>
          <t>S01</t>
        </is>
      </c>
      <c r="G114" s="75" t="n">
        <v>45500</v>
      </c>
      <c r="H114" s="75" t="n">
        <v>48750</v>
      </c>
      <c r="I114" s="67" t="inlineStr">
        <is>
          <t>Maund</t>
        </is>
      </c>
      <c r="J114" s="76" t="n">
        <v>1219.19</v>
      </c>
      <c r="K114" s="76" t="n">
        <v>1306.27</v>
      </c>
      <c r="L114" s="75" t="n">
        <v>0.8</v>
      </c>
      <c r="M114" s="67" t="inlineStr">
        <is>
          <t>Maund</t>
        </is>
      </c>
      <c r="N114" s="76" t="n">
        <v>29.86</v>
      </c>
      <c r="O114" s="67" t="n"/>
      <c r="P114" s="68" t="n"/>
    </row>
    <row r="115" ht="19.5" customHeight="1" s="45">
      <c r="B115" s="74" t="inlineStr">
        <is>
          <t>PO-0111</t>
        </is>
      </c>
      <c r="C115" s="67" t="inlineStr">
        <is>
          <t>M2-B-01</t>
        </is>
      </c>
      <c r="D115" s="67" t="inlineStr">
        <is>
          <t>M2</t>
        </is>
      </c>
      <c r="E115" s="67" t="inlineStr">
        <is>
          <t>Bepari_Faria</t>
        </is>
      </c>
      <c r="F115" s="67" t="inlineStr">
        <is>
          <t>S06</t>
        </is>
      </c>
      <c r="G115" s="75" t="n">
        <v>13000</v>
      </c>
      <c r="H115" s="75" t="n">
        <v>14000</v>
      </c>
      <c r="I115" s="67" t="inlineStr">
        <is>
          <t>Maund</t>
        </is>
      </c>
      <c r="J115" s="76" t="n">
        <v>348.34</v>
      </c>
      <c r="K115" s="76" t="n">
        <v>375.13</v>
      </c>
      <c r="L115" s="75" t="n">
        <v>1.3</v>
      </c>
      <c r="M115" s="67" t="inlineStr">
        <is>
          <t>Maund</t>
        </is>
      </c>
      <c r="N115" s="76" t="n">
        <v>48.52</v>
      </c>
      <c r="O115" s="67" t="n"/>
      <c r="P115" s="68" t="n"/>
    </row>
    <row r="116" ht="19.5" customHeight="1" s="45">
      <c r="B116" s="74" t="inlineStr">
        <is>
          <t>PO-0112</t>
        </is>
      </c>
      <c r="C116" s="67" t="inlineStr">
        <is>
          <t>M2-B-01</t>
        </is>
      </c>
      <c r="D116" s="67" t="inlineStr">
        <is>
          <t>M2</t>
        </is>
      </c>
      <c r="E116" s="67" t="inlineStr">
        <is>
          <t>Bepari_Faria</t>
        </is>
      </c>
      <c r="F116" s="67" t="inlineStr">
        <is>
          <t>S07</t>
        </is>
      </c>
      <c r="G116" s="75" t="n">
        <v>14750</v>
      </c>
      <c r="H116" s="75" t="n">
        <v>16500</v>
      </c>
      <c r="I116" s="67" t="inlineStr">
        <is>
          <t>Maund</t>
        </is>
      </c>
      <c r="J116" s="76" t="n">
        <v>395.23</v>
      </c>
      <c r="K116" s="76" t="n">
        <v>442.12</v>
      </c>
      <c r="L116" s="75" t="n">
        <v>0.5</v>
      </c>
      <c r="M116" s="67" t="inlineStr">
        <is>
          <t>Maund</t>
        </is>
      </c>
      <c r="N116" s="76" t="n">
        <v>18.66</v>
      </c>
      <c r="O116" s="67" t="n"/>
      <c r="P116" s="68" t="n"/>
    </row>
    <row r="117" ht="19.5" customHeight="1" s="45">
      <c r="B117" s="74" t="inlineStr">
        <is>
          <t>PO-0113</t>
        </is>
      </c>
      <c r="C117" s="67" t="inlineStr">
        <is>
          <t>M2-B-01</t>
        </is>
      </c>
      <c r="D117" s="67" t="inlineStr">
        <is>
          <t>M2</t>
        </is>
      </c>
      <c r="E117" s="67" t="inlineStr">
        <is>
          <t>Bepari_Faria</t>
        </is>
      </c>
      <c r="F117" s="67" t="inlineStr">
        <is>
          <t>S08</t>
        </is>
      </c>
      <c r="G117" s="75" t="n">
        <v>10750</v>
      </c>
      <c r="H117" s="75" t="n">
        <v>11500</v>
      </c>
      <c r="I117" s="67" t="inlineStr">
        <is>
          <t>Maund</t>
        </is>
      </c>
      <c r="J117" s="76" t="n">
        <v>288.05</v>
      </c>
      <c r="K117" s="76" t="n">
        <v>308.15</v>
      </c>
      <c r="L117" s="75" t="n">
        <v>1.2</v>
      </c>
      <c r="M117" s="67" t="inlineStr">
        <is>
          <t>Maund</t>
        </is>
      </c>
      <c r="N117" s="76" t="n">
        <v>44.78</v>
      </c>
      <c r="O117" s="67" t="n"/>
      <c r="P117" s="68" t="n"/>
    </row>
    <row r="118" ht="19.5" customHeight="1" s="45">
      <c r="B118" s="74" t="inlineStr">
        <is>
          <t>PO-0114</t>
        </is>
      </c>
      <c r="C118" s="67" t="inlineStr">
        <is>
          <t>M2-B-02</t>
        </is>
      </c>
      <c r="D118" s="67" t="inlineStr">
        <is>
          <t>M2</t>
        </is>
      </c>
      <c r="E118" s="67" t="inlineStr">
        <is>
          <t>Bepari_Faria</t>
        </is>
      </c>
      <c r="F118" s="67" t="inlineStr">
        <is>
          <t>S01</t>
        </is>
      </c>
      <c r="G118" s="75" t="n">
        <v>41750</v>
      </c>
      <c r="H118" s="75" t="n">
        <v>46000</v>
      </c>
      <c r="I118" s="67" t="inlineStr">
        <is>
          <t>Maund</t>
        </is>
      </c>
      <c r="J118" s="76" t="n">
        <v>1118.7</v>
      </c>
      <c r="K118" s="76" t="n">
        <v>1232.58</v>
      </c>
      <c r="L118" s="75" t="n">
        <v>1.1</v>
      </c>
      <c r="M118" s="67" t="inlineStr">
        <is>
          <t>Maund</t>
        </is>
      </c>
      <c r="N118" s="76" t="n">
        <v>41.05</v>
      </c>
      <c r="O118" s="67" t="n"/>
      <c r="P118" s="68" t="n"/>
    </row>
    <row r="119" ht="19.5" customHeight="1" s="45">
      <c r="B119" s="74" t="inlineStr">
        <is>
          <t>PO-0115</t>
        </is>
      </c>
      <c r="C119" s="67" t="inlineStr">
        <is>
          <t>M2-B-02</t>
        </is>
      </c>
      <c r="D119" s="67" t="inlineStr">
        <is>
          <t>M2</t>
        </is>
      </c>
      <c r="E119" s="67" t="inlineStr">
        <is>
          <t>Bepari_Faria</t>
        </is>
      </c>
      <c r="F119" s="67" t="inlineStr">
        <is>
          <t>S03</t>
        </is>
      </c>
      <c r="G119" s="75" t="n">
        <v>32000</v>
      </c>
      <c r="H119" s="75" t="n">
        <v>35250</v>
      </c>
      <c r="I119" s="67" t="inlineStr">
        <is>
          <t>Maund</t>
        </is>
      </c>
      <c r="J119" s="76" t="n">
        <v>857.45</v>
      </c>
      <c r="K119" s="76" t="n">
        <v>944.53</v>
      </c>
      <c r="L119" s="75" t="n">
        <v>1.3</v>
      </c>
      <c r="M119" s="67" t="inlineStr">
        <is>
          <t>Maund</t>
        </is>
      </c>
      <c r="N119" s="76" t="n">
        <v>48.52</v>
      </c>
      <c r="O119" s="67" t="n"/>
      <c r="P119" s="68" t="n"/>
    </row>
    <row r="120" ht="19.5" customHeight="1" s="45">
      <c r="B120" s="74" t="inlineStr">
        <is>
          <t>PO-0116</t>
        </is>
      </c>
      <c r="C120" s="67" t="inlineStr">
        <is>
          <t>M2-B-02</t>
        </is>
      </c>
      <c r="D120" s="67" t="inlineStr">
        <is>
          <t>M2</t>
        </is>
      </c>
      <c r="E120" s="67" t="inlineStr">
        <is>
          <t>Bepari_Faria</t>
        </is>
      </c>
      <c r="F120" s="67" t="inlineStr">
        <is>
          <t>S05</t>
        </is>
      </c>
      <c r="G120" s="75" t="n">
        <v>17500</v>
      </c>
      <c r="H120" s="75" t="n">
        <v>18500</v>
      </c>
      <c r="I120" s="67" t="inlineStr">
        <is>
          <t>Maund</t>
        </is>
      </c>
      <c r="J120" s="76" t="n">
        <v>468.92</v>
      </c>
      <c r="K120" s="76" t="n">
        <v>495.71</v>
      </c>
      <c r="L120" s="75" t="n">
        <v>1</v>
      </c>
      <c r="M120" s="67" t="inlineStr">
        <is>
          <t>Maund</t>
        </is>
      </c>
      <c r="N120" s="76" t="n">
        <v>37.32</v>
      </c>
      <c r="O120" s="67" t="n"/>
      <c r="P120" s="68" t="n"/>
    </row>
    <row r="121" ht="19.5" customHeight="1" s="45">
      <c r="B121" s="74" t="inlineStr">
        <is>
          <t>PO-0117</t>
        </is>
      </c>
      <c r="C121" s="67" t="inlineStr">
        <is>
          <t>M2-B-02</t>
        </is>
      </c>
      <c r="D121" s="67" t="inlineStr">
        <is>
          <t>M2</t>
        </is>
      </c>
      <c r="E121" s="67" t="inlineStr">
        <is>
          <t>Bepari_Faria</t>
        </is>
      </c>
      <c r="F121" s="67" t="inlineStr">
        <is>
          <t>S07</t>
        </is>
      </c>
      <c r="G121" s="75" t="n">
        <v>15750</v>
      </c>
      <c r="H121" s="75" t="n">
        <v>16750</v>
      </c>
      <c r="I121" s="67" t="inlineStr">
        <is>
          <t>Maund</t>
        </is>
      </c>
      <c r="J121" s="76" t="n">
        <v>422.03</v>
      </c>
      <c r="K121" s="76" t="n">
        <v>448.82</v>
      </c>
      <c r="L121" s="75" t="n">
        <v>0.8</v>
      </c>
      <c r="M121" s="67" t="inlineStr">
        <is>
          <t>Maund</t>
        </is>
      </c>
      <c r="N121" s="76" t="n">
        <v>29.86</v>
      </c>
      <c r="O121" s="67" t="n"/>
      <c r="P121" s="68" t="n"/>
    </row>
    <row r="122" ht="19.5" customHeight="1" s="45">
      <c r="B122" s="74" t="inlineStr">
        <is>
          <t>PO-0118</t>
        </is>
      </c>
      <c r="C122" s="67" t="inlineStr">
        <is>
          <t>M2-B-02</t>
        </is>
      </c>
      <c r="D122" s="67" t="inlineStr">
        <is>
          <t>M2</t>
        </is>
      </c>
      <c r="E122" s="67" t="inlineStr">
        <is>
          <t>Bepari_Faria</t>
        </is>
      </c>
      <c r="F122" s="67" t="inlineStr">
        <is>
          <t>S09</t>
        </is>
      </c>
      <c r="G122" s="75" t="n">
        <v>8600</v>
      </c>
      <c r="H122" s="75" t="n">
        <v>9400</v>
      </c>
      <c r="I122" s="67" t="inlineStr">
        <is>
          <t>Maund</t>
        </is>
      </c>
      <c r="J122" s="76" t="n">
        <v>230.44</v>
      </c>
      <c r="K122" s="76" t="n">
        <v>251.88</v>
      </c>
      <c r="L122" s="75" t="n">
        <v>1.3</v>
      </c>
      <c r="M122" s="67" t="inlineStr">
        <is>
          <t>Maund</t>
        </is>
      </c>
      <c r="N122" s="76" t="n">
        <v>48.52</v>
      </c>
      <c r="O122" s="67" t="n"/>
      <c r="P122" s="68" t="n"/>
    </row>
    <row r="123" ht="19.5" customHeight="1" s="45">
      <c r="B123" s="74" t="inlineStr">
        <is>
          <t>PO-0119</t>
        </is>
      </c>
      <c r="C123" s="67" t="inlineStr">
        <is>
          <t>M2-B-02</t>
        </is>
      </c>
      <c r="D123" s="67" t="inlineStr">
        <is>
          <t>M2</t>
        </is>
      </c>
      <c r="E123" s="67" t="inlineStr">
        <is>
          <t>Bepari_Faria</t>
        </is>
      </c>
      <c r="F123" s="67" t="inlineStr">
        <is>
          <t>S08</t>
        </is>
      </c>
      <c r="G123" s="75" t="inlineStr">
        <is>
          <t>K</t>
        </is>
      </c>
      <c r="H123" s="75" t="inlineStr">
        <is>
          <t>K</t>
        </is>
      </c>
      <c r="I123" s="67" t="n"/>
      <c r="J123" s="76" t="n"/>
      <c r="K123" s="76" t="n"/>
      <c r="L123" s="75" t="n"/>
      <c r="M123" s="67" t="n"/>
      <c r="N123" s="76" t="n"/>
      <c r="O123" s="67" t="n"/>
      <c r="P123" s="68" t="inlineStr">
        <is>
          <t>Species not handled today</t>
        </is>
      </c>
    </row>
    <row r="124" ht="19.5" customHeight="1" s="45">
      <c r="B124" s="74" t="inlineStr">
        <is>
          <t>PO-0120</t>
        </is>
      </c>
      <c r="C124" s="67" t="inlineStr">
        <is>
          <t>M2-B-03</t>
        </is>
      </c>
      <c r="D124" s="67" t="inlineStr">
        <is>
          <t>M2</t>
        </is>
      </c>
      <c r="E124" s="67" t="inlineStr">
        <is>
          <t>Bepari_Faria</t>
        </is>
      </c>
      <c r="F124" s="67" t="inlineStr">
        <is>
          <t>S04</t>
        </is>
      </c>
      <c r="G124" s="75" t="n">
        <v>27000</v>
      </c>
      <c r="H124" s="75" t="n">
        <v>29250</v>
      </c>
      <c r="I124" s="67" t="inlineStr">
        <is>
          <t>Maund</t>
        </is>
      </c>
      <c r="J124" s="76" t="n">
        <v>723.47</v>
      </c>
      <c r="K124" s="76" t="n">
        <v>783.76</v>
      </c>
      <c r="L124" s="75" t="n">
        <v>1.3</v>
      </c>
      <c r="M124" s="67" t="inlineStr">
        <is>
          <t>Maund</t>
        </is>
      </c>
      <c r="N124" s="76" t="n">
        <v>48.52</v>
      </c>
      <c r="O124" s="67" t="n"/>
      <c r="P124" s="68" t="n"/>
    </row>
    <row r="125" ht="19.5" customHeight="1" s="45">
      <c r="B125" s="74" t="inlineStr">
        <is>
          <t>PO-0121</t>
        </is>
      </c>
      <c r="C125" s="67" t="inlineStr">
        <is>
          <t>M2-B-03</t>
        </is>
      </c>
      <c r="D125" s="67" t="inlineStr">
        <is>
          <t>M2</t>
        </is>
      </c>
      <c r="E125" s="67" t="inlineStr">
        <is>
          <t>Bepari_Faria</t>
        </is>
      </c>
      <c r="F125" s="67" t="inlineStr">
        <is>
          <t>S05</t>
        </is>
      </c>
      <c r="G125" s="75" t="n">
        <v>17750</v>
      </c>
      <c r="H125" s="75" t="n">
        <v>19250</v>
      </c>
      <c r="I125" s="67" t="inlineStr">
        <is>
          <t>Maund</t>
        </is>
      </c>
      <c r="J125" s="76" t="n">
        <v>475.62</v>
      </c>
      <c r="K125" s="76" t="n">
        <v>515.8099999999999</v>
      </c>
      <c r="L125" s="75" t="n">
        <v>1.7</v>
      </c>
      <c r="M125" s="67" t="inlineStr">
        <is>
          <t>Maund</t>
        </is>
      </c>
      <c r="N125" s="76" t="n">
        <v>63.44</v>
      </c>
      <c r="O125" s="67" t="n"/>
      <c r="P125" s="68" t="n"/>
    </row>
    <row r="126" ht="19.5" customHeight="1" s="45">
      <c r="B126" s="74" t="inlineStr">
        <is>
          <t>PO-0122</t>
        </is>
      </c>
      <c r="C126" s="67" t="inlineStr">
        <is>
          <t>M2-B-03</t>
        </is>
      </c>
      <c r="D126" s="67" t="inlineStr">
        <is>
          <t>M2</t>
        </is>
      </c>
      <c r="E126" s="67" t="inlineStr">
        <is>
          <t>Bepari_Faria</t>
        </is>
      </c>
      <c r="F126" s="67" t="inlineStr">
        <is>
          <t>S06</t>
        </is>
      </c>
      <c r="G126" s="75" t="n">
        <v>13750</v>
      </c>
      <c r="H126" s="75" t="n">
        <v>14750</v>
      </c>
      <c r="I126" s="67" t="inlineStr">
        <is>
          <t>Maund</t>
        </is>
      </c>
      <c r="J126" s="76" t="n">
        <v>368.44</v>
      </c>
      <c r="K126" s="76" t="n">
        <v>395.23</v>
      </c>
      <c r="L126" s="75" t="n">
        <v>1.8</v>
      </c>
      <c r="M126" s="67" t="inlineStr">
        <is>
          <t>Maund</t>
        </is>
      </c>
      <c r="N126" s="76" t="n">
        <v>67.18000000000001</v>
      </c>
      <c r="O126" s="67" t="n"/>
      <c r="P126" s="68" t="n"/>
    </row>
    <row r="127" ht="19.5" customHeight="1" s="45">
      <c r="B127" s="74" t="inlineStr">
        <is>
          <t>PO-0123</t>
        </is>
      </c>
      <c r="C127" s="67" t="inlineStr">
        <is>
          <t>M2-B-03</t>
        </is>
      </c>
      <c r="D127" s="67" t="inlineStr">
        <is>
          <t>M2</t>
        </is>
      </c>
      <c r="E127" s="67" t="inlineStr">
        <is>
          <t>Bepari_Faria</t>
        </is>
      </c>
      <c r="F127" s="67" t="inlineStr">
        <is>
          <t>S07</t>
        </is>
      </c>
      <c r="G127" s="75" t="n">
        <v>15250</v>
      </c>
      <c r="H127" s="75" t="n">
        <v>16750</v>
      </c>
      <c r="I127" s="67" t="inlineStr">
        <is>
          <t>Maund</t>
        </is>
      </c>
      <c r="J127" s="76" t="n">
        <v>408.63</v>
      </c>
      <c r="K127" s="76" t="n">
        <v>448.82</v>
      </c>
      <c r="L127" s="75" t="n">
        <v>1.8</v>
      </c>
      <c r="M127" s="67" t="inlineStr">
        <is>
          <t>Maund</t>
        </is>
      </c>
      <c r="N127" s="76" t="n">
        <v>67.18000000000001</v>
      </c>
      <c r="O127" s="67" t="n"/>
      <c r="P127" s="68" t="n"/>
    </row>
    <row r="128" ht="19.5" customHeight="1" s="45">
      <c r="B128" s="74" t="inlineStr">
        <is>
          <t>PO-0124</t>
        </is>
      </c>
      <c r="C128" s="67" t="inlineStr">
        <is>
          <t>M2-B-03</t>
        </is>
      </c>
      <c r="D128" s="67" t="inlineStr">
        <is>
          <t>M2</t>
        </is>
      </c>
      <c r="E128" s="67" t="inlineStr">
        <is>
          <t>Bepari_Faria</t>
        </is>
      </c>
      <c r="F128" s="67" t="inlineStr">
        <is>
          <t>S09</t>
        </is>
      </c>
      <c r="G128" s="75" t="n">
        <v>8200</v>
      </c>
      <c r="H128" s="75" t="n">
        <v>8900</v>
      </c>
      <c r="I128" s="67" t="inlineStr">
        <is>
          <t>Maund</t>
        </is>
      </c>
      <c r="J128" s="76" t="n">
        <v>219.72</v>
      </c>
      <c r="K128" s="76" t="n">
        <v>238.48</v>
      </c>
      <c r="L128" s="75" t="n">
        <v>1.9</v>
      </c>
      <c r="M128" s="67" t="inlineStr">
        <is>
          <t>Maund</t>
        </is>
      </c>
      <c r="N128" s="76" t="n">
        <v>70.91</v>
      </c>
      <c r="O128" s="67" t="n"/>
      <c r="P128" s="68" t="n"/>
    </row>
    <row r="129" ht="19.5" customHeight="1" s="45">
      <c r="B129" s="74" t="inlineStr">
        <is>
          <t>PO-0125</t>
        </is>
      </c>
      <c r="C129" s="67" t="inlineStr">
        <is>
          <t>M2-B-04</t>
        </is>
      </c>
      <c r="D129" s="67" t="inlineStr">
        <is>
          <t>M2</t>
        </is>
      </c>
      <c r="E129" s="67" t="inlineStr">
        <is>
          <t>Bepari_Faria</t>
        </is>
      </c>
      <c r="F129" s="67" t="inlineStr">
        <is>
          <t>S01</t>
        </is>
      </c>
      <c r="G129" s="75" t="inlineStr">
        <is>
          <t>K</t>
        </is>
      </c>
      <c r="H129" s="75" t="n">
        <v>49000</v>
      </c>
      <c r="I129" s="67" t="inlineStr">
        <is>
          <t>Maund</t>
        </is>
      </c>
      <c r="J129" s="76" t="n"/>
      <c r="K129" s="76" t="n">
        <v>1312.97</v>
      </c>
      <c r="L129" s="75" t="n">
        <v>1.6</v>
      </c>
      <c r="M129" s="67" t="inlineStr">
        <is>
          <t>Maund</t>
        </is>
      </c>
      <c r="N129" s="76" t="n">
        <v>59.71</v>
      </c>
      <c r="O129" s="67" t="n"/>
      <c r="P129" s="68" t="n"/>
    </row>
    <row r="130" ht="19.5" customHeight="1" s="45">
      <c r="B130" s="74" t="inlineStr">
        <is>
          <t>PO-0126</t>
        </is>
      </c>
      <c r="C130" s="67" t="inlineStr">
        <is>
          <t>M2-B-04</t>
        </is>
      </c>
      <c r="D130" s="67" t="inlineStr">
        <is>
          <t>M2</t>
        </is>
      </c>
      <c r="E130" s="67" t="inlineStr">
        <is>
          <t>Bepari_Faria</t>
        </is>
      </c>
      <c r="F130" s="67" t="inlineStr">
        <is>
          <t>S02</t>
        </is>
      </c>
      <c r="G130" s="75" t="n">
        <v>47250</v>
      </c>
      <c r="H130" s="75" t="n">
        <v>52500</v>
      </c>
      <c r="I130" s="67" t="inlineStr">
        <is>
          <t>Maund</t>
        </is>
      </c>
      <c r="J130" s="76" t="n">
        <v>1266.08</v>
      </c>
      <c r="K130" s="76" t="n">
        <v>1406.75</v>
      </c>
      <c r="L130" s="75" t="n">
        <v>1</v>
      </c>
      <c r="M130" s="67" t="inlineStr">
        <is>
          <t>Maund</t>
        </is>
      </c>
      <c r="N130" s="76" t="n">
        <v>37.32</v>
      </c>
      <c r="O130" s="67" t="n"/>
      <c r="P130" s="68" t="n"/>
    </row>
    <row r="131" ht="19.5" customHeight="1" s="45">
      <c r="B131" s="74" t="inlineStr">
        <is>
          <t>PO-0127</t>
        </is>
      </c>
      <c r="C131" s="67" t="inlineStr">
        <is>
          <t>M2-B-04</t>
        </is>
      </c>
      <c r="D131" s="67" t="inlineStr">
        <is>
          <t>M2</t>
        </is>
      </c>
      <c r="E131" s="67" t="inlineStr">
        <is>
          <t>Bepari_Faria</t>
        </is>
      </c>
      <c r="F131" s="67" t="inlineStr">
        <is>
          <t>S04</t>
        </is>
      </c>
      <c r="G131" s="75" t="n">
        <v>26750</v>
      </c>
      <c r="H131" s="75" t="n">
        <v>28750</v>
      </c>
      <c r="I131" s="67" t="inlineStr">
        <is>
          <t>Maund</t>
        </is>
      </c>
      <c r="J131" s="76" t="n">
        <v>716.77</v>
      </c>
      <c r="K131" s="76" t="n">
        <v>770.36</v>
      </c>
      <c r="L131" s="75" t="n">
        <v>2.1</v>
      </c>
      <c r="M131" s="67" t="inlineStr">
        <is>
          <t>Maund</t>
        </is>
      </c>
      <c r="N131" s="76" t="n">
        <v>78.37</v>
      </c>
      <c r="O131" s="67" t="n"/>
      <c r="P131" s="68" t="n"/>
    </row>
    <row r="132" ht="19.5" customHeight="1" s="45">
      <c r="B132" s="74" t="inlineStr">
        <is>
          <t>PO-0128</t>
        </is>
      </c>
      <c r="C132" s="67" t="inlineStr">
        <is>
          <t>M2-B-04</t>
        </is>
      </c>
      <c r="D132" s="67" t="inlineStr">
        <is>
          <t>M2</t>
        </is>
      </c>
      <c r="E132" s="67" t="inlineStr">
        <is>
          <t>Bepari_Faria</t>
        </is>
      </c>
      <c r="F132" s="67" t="inlineStr">
        <is>
          <t>S05</t>
        </is>
      </c>
      <c r="G132" s="75" t="n">
        <v>17750</v>
      </c>
      <c r="H132" s="75" t="n">
        <v>19000</v>
      </c>
      <c r="I132" s="67" t="inlineStr">
        <is>
          <t>Maund</t>
        </is>
      </c>
      <c r="J132" s="76" t="n">
        <v>475.62</v>
      </c>
      <c r="K132" s="76" t="n">
        <v>509.11</v>
      </c>
      <c r="L132" s="75" t="n">
        <v>1.6</v>
      </c>
      <c r="M132" s="67" t="inlineStr">
        <is>
          <t>Maund</t>
        </is>
      </c>
      <c r="N132" s="76" t="n">
        <v>59.71</v>
      </c>
      <c r="O132" s="67" t="n"/>
      <c r="P132" s="68" t="n"/>
    </row>
    <row r="133" ht="19.5" customHeight="1" s="45">
      <c r="B133" s="74" t="inlineStr">
        <is>
          <t>PO-0129</t>
        </is>
      </c>
      <c r="C133" s="67" t="inlineStr">
        <is>
          <t>M2-B-04</t>
        </is>
      </c>
      <c r="D133" s="67" t="inlineStr">
        <is>
          <t>M2</t>
        </is>
      </c>
      <c r="E133" s="67" t="inlineStr">
        <is>
          <t>Bepari_Faria</t>
        </is>
      </c>
      <c r="F133" s="67" t="inlineStr">
        <is>
          <t>S06</t>
        </is>
      </c>
      <c r="G133" s="75" t="n">
        <v>14000</v>
      </c>
      <c r="H133" s="75" t="n">
        <v>15500</v>
      </c>
      <c r="I133" s="67" t="inlineStr">
        <is>
          <t>Maund</t>
        </is>
      </c>
      <c r="J133" s="76" t="n">
        <v>375.13</v>
      </c>
      <c r="K133" s="76" t="n">
        <v>415.33</v>
      </c>
      <c r="L133" s="75" t="n">
        <v>0.9</v>
      </c>
      <c r="M133" s="67" t="inlineStr">
        <is>
          <t>Maund</t>
        </is>
      </c>
      <c r="N133" s="76" t="n">
        <v>33.59</v>
      </c>
      <c r="O133" s="67" t="n"/>
      <c r="P133" s="68" t="n"/>
    </row>
    <row r="134" ht="19.5" customHeight="1" s="45">
      <c r="B134" s="74" t="inlineStr">
        <is>
          <t>PO-0130</t>
        </is>
      </c>
      <c r="C134" s="67" t="inlineStr">
        <is>
          <t>M2-B-05</t>
        </is>
      </c>
      <c r="D134" s="67" t="inlineStr">
        <is>
          <t>M2</t>
        </is>
      </c>
      <c r="E134" s="67" t="inlineStr">
        <is>
          <t>Bepari_Faria</t>
        </is>
      </c>
      <c r="F134" s="67" t="inlineStr">
        <is>
          <t>S01</t>
        </is>
      </c>
      <c r="G134" s="75" t="n">
        <v>44250</v>
      </c>
      <c r="H134" s="75" t="n">
        <v>50250</v>
      </c>
      <c r="I134" s="67" t="inlineStr">
        <is>
          <t>Maund</t>
        </is>
      </c>
      <c r="J134" s="76" t="n">
        <v>1185.69</v>
      </c>
      <c r="K134" s="76" t="n">
        <v>1346.46</v>
      </c>
      <c r="L134" s="75" t="n">
        <v>1.7</v>
      </c>
      <c r="M134" s="67" t="inlineStr">
        <is>
          <t>Maund</t>
        </is>
      </c>
      <c r="N134" s="76" t="n">
        <v>63.44</v>
      </c>
      <c r="O134" s="67" t="n"/>
      <c r="P134" s="68" t="n"/>
    </row>
    <row r="135" ht="19.5" customHeight="1" s="45">
      <c r="B135" s="74" t="inlineStr">
        <is>
          <t>PO-0131</t>
        </is>
      </c>
      <c r="C135" s="67" t="inlineStr">
        <is>
          <t>M2-B-05</t>
        </is>
      </c>
      <c r="D135" s="67" t="inlineStr">
        <is>
          <t>M2</t>
        </is>
      </c>
      <c r="E135" s="67" t="inlineStr">
        <is>
          <t>Bepari_Faria</t>
        </is>
      </c>
      <c r="F135" s="67" t="inlineStr">
        <is>
          <t>S02</t>
        </is>
      </c>
      <c r="G135" s="75" t="n">
        <v>45750</v>
      </c>
      <c r="H135" s="75" t="n">
        <v>51250</v>
      </c>
      <c r="I135" s="67" t="inlineStr">
        <is>
          <t>Maund</t>
        </is>
      </c>
      <c r="J135" s="76" t="n">
        <v>1225.88</v>
      </c>
      <c r="K135" s="76" t="n">
        <v>1373.26</v>
      </c>
      <c r="L135" s="75" t="n">
        <v>1.3</v>
      </c>
      <c r="M135" s="67" t="inlineStr">
        <is>
          <t>Maund</t>
        </is>
      </c>
      <c r="N135" s="76" t="n">
        <v>48.52</v>
      </c>
      <c r="O135" s="67" t="n"/>
      <c r="P135" s="68" t="n"/>
    </row>
    <row r="136" ht="19.5" customHeight="1" s="45">
      <c r="B136" s="74" t="inlineStr">
        <is>
          <t>PO-0132</t>
        </is>
      </c>
      <c r="C136" s="67" t="inlineStr">
        <is>
          <t>M2-B-05</t>
        </is>
      </c>
      <c r="D136" s="67" t="inlineStr">
        <is>
          <t>M2</t>
        </is>
      </c>
      <c r="E136" s="67" t="inlineStr">
        <is>
          <t>Bepari_Faria</t>
        </is>
      </c>
      <c r="F136" s="67" t="inlineStr">
        <is>
          <t>S03</t>
        </is>
      </c>
      <c r="G136" s="75" t="n">
        <v>32000</v>
      </c>
      <c r="H136" s="75" t="n">
        <v>34500</v>
      </c>
      <c r="I136" s="67" t="inlineStr">
        <is>
          <t>Maund</t>
        </is>
      </c>
      <c r="J136" s="76" t="n">
        <v>857.45</v>
      </c>
      <c r="K136" s="76" t="n">
        <v>924.4400000000001</v>
      </c>
      <c r="L136" s="75" t="n">
        <v>1.4</v>
      </c>
      <c r="M136" s="67" t="inlineStr">
        <is>
          <t>Maund</t>
        </is>
      </c>
      <c r="N136" s="76" t="n">
        <v>52.25</v>
      </c>
      <c r="O136" s="67" t="n"/>
      <c r="P136" s="68" t="n"/>
    </row>
    <row r="137" ht="19.5" customHeight="1" s="45">
      <c r="B137" s="74" t="inlineStr">
        <is>
          <t>PO-0133</t>
        </is>
      </c>
      <c r="C137" s="67" t="inlineStr">
        <is>
          <t>M2-B-05</t>
        </is>
      </c>
      <c r="D137" s="67" t="inlineStr">
        <is>
          <t>M2</t>
        </is>
      </c>
      <c r="E137" s="67" t="inlineStr">
        <is>
          <t>Bepari_Faria</t>
        </is>
      </c>
      <c r="F137" s="67" t="inlineStr">
        <is>
          <t>S06</t>
        </is>
      </c>
      <c r="G137" s="75" t="n">
        <v>13500</v>
      </c>
      <c r="H137" s="75" t="n">
        <v>14750</v>
      </c>
      <c r="I137" s="67" t="inlineStr">
        <is>
          <t>Maund</t>
        </is>
      </c>
      <c r="J137" s="76" t="n">
        <v>361.74</v>
      </c>
      <c r="K137" s="76" t="n">
        <v>395.23</v>
      </c>
      <c r="L137" s="75" t="n">
        <v>1.6</v>
      </c>
      <c r="M137" s="67" t="inlineStr">
        <is>
          <t>Maund</t>
        </is>
      </c>
      <c r="N137" s="76" t="n">
        <v>59.71</v>
      </c>
      <c r="O137" s="67" t="n"/>
      <c r="P137" s="68" t="n"/>
    </row>
    <row r="138" ht="19.5" customHeight="1" s="45">
      <c r="B138" s="74" t="inlineStr">
        <is>
          <t>PO-0134</t>
        </is>
      </c>
      <c r="C138" s="67" t="inlineStr">
        <is>
          <t>M2-B-05</t>
        </is>
      </c>
      <c r="D138" s="67" t="inlineStr">
        <is>
          <t>M2</t>
        </is>
      </c>
      <c r="E138" s="67" t="inlineStr">
        <is>
          <t>Bepari_Faria</t>
        </is>
      </c>
      <c r="F138" s="67" t="inlineStr">
        <is>
          <t>S10</t>
        </is>
      </c>
      <c r="G138" s="75" t="n">
        <v>6900</v>
      </c>
      <c r="H138" s="75" t="n">
        <v>7500</v>
      </c>
      <c r="I138" s="67" t="inlineStr">
        <is>
          <t>Maund</t>
        </is>
      </c>
      <c r="J138" s="76" t="n">
        <v>184.89</v>
      </c>
      <c r="K138" s="76" t="n">
        <v>200.96</v>
      </c>
      <c r="L138" s="75" t="n">
        <v>1.5</v>
      </c>
      <c r="M138" s="67" t="inlineStr">
        <is>
          <t>Maund</t>
        </is>
      </c>
      <c r="N138" s="76" t="n">
        <v>55.98</v>
      </c>
      <c r="O138" s="67" t="n"/>
      <c r="P138" s="68" t="n"/>
    </row>
    <row r="139" ht="19.5" customHeight="1" s="45">
      <c r="B139" s="74" t="inlineStr">
        <is>
          <t>PO-0135</t>
        </is>
      </c>
      <c r="C139" s="67" t="inlineStr">
        <is>
          <t>M2-R-01</t>
        </is>
      </c>
      <c r="D139" s="67" t="inlineStr">
        <is>
          <t>M2</t>
        </is>
      </c>
      <c r="E139" s="67" t="inlineStr">
        <is>
          <t>Khuchra</t>
        </is>
      </c>
      <c r="F139" s="67" t="inlineStr">
        <is>
          <t>S01</t>
        </is>
      </c>
      <c r="G139" s="75" t="n">
        <v>1215</v>
      </c>
      <c r="H139" s="75" t="n">
        <v>1405</v>
      </c>
      <c r="I139" s="67" t="inlineStr">
        <is>
          <t>Kg</t>
        </is>
      </c>
      <c r="J139" s="76" t="n">
        <v>1215</v>
      </c>
      <c r="K139" s="76" t="n">
        <v>1405</v>
      </c>
      <c r="L139" s="75" t="n">
        <v>15</v>
      </c>
      <c r="M139" s="67" t="inlineStr">
        <is>
          <t>Kg</t>
        </is>
      </c>
      <c r="N139" s="76" t="n">
        <v>15</v>
      </c>
      <c r="O139" s="67" t="n"/>
      <c r="P139" s="68" t="n"/>
    </row>
    <row r="140" ht="19.5" customHeight="1" s="45">
      <c r="B140" s="74" t="inlineStr">
        <is>
          <t>PO-0136</t>
        </is>
      </c>
      <c r="C140" s="67" t="inlineStr">
        <is>
          <t>M2-R-01</t>
        </is>
      </c>
      <c r="D140" s="67" t="inlineStr">
        <is>
          <t>M2</t>
        </is>
      </c>
      <c r="E140" s="67" t="inlineStr">
        <is>
          <t>Khuchra</t>
        </is>
      </c>
      <c r="F140" s="67" t="inlineStr">
        <is>
          <t>S02</t>
        </is>
      </c>
      <c r="G140" s="75" t="n">
        <v>1400</v>
      </c>
      <c r="H140" s="75" t="n">
        <v>1630</v>
      </c>
      <c r="I140" s="67" t="inlineStr">
        <is>
          <t>Kg</t>
        </is>
      </c>
      <c r="J140" s="76" t="n">
        <v>1400</v>
      </c>
      <c r="K140" s="76" t="n">
        <v>1630</v>
      </c>
      <c r="L140" s="75" t="n">
        <v>10</v>
      </c>
      <c r="M140" s="67" t="inlineStr">
        <is>
          <t>Kg</t>
        </is>
      </c>
      <c r="N140" s="76" t="n">
        <v>10</v>
      </c>
      <c r="O140" s="67" t="n"/>
      <c r="P140" s="68" t="n"/>
    </row>
    <row r="141" ht="19.5" customHeight="1" s="45">
      <c r="B141" s="74" t="inlineStr">
        <is>
          <t>PO-0137</t>
        </is>
      </c>
      <c r="C141" s="67" t="inlineStr">
        <is>
          <t>M2-R-01</t>
        </is>
      </c>
      <c r="D141" s="67" t="inlineStr">
        <is>
          <t>M2</t>
        </is>
      </c>
      <c r="E141" s="67" t="inlineStr">
        <is>
          <t>Khuchra</t>
        </is>
      </c>
      <c r="F141" s="67" t="inlineStr">
        <is>
          <t>S03</t>
        </is>
      </c>
      <c r="G141" s="75" t="inlineStr">
        <is>
          <t>K</t>
        </is>
      </c>
      <c r="H141" s="75" t="n">
        <v>1055</v>
      </c>
      <c r="I141" s="67" t="inlineStr">
        <is>
          <t>Kg</t>
        </is>
      </c>
      <c r="J141" s="76" t="n"/>
      <c r="K141" s="76" t="n">
        <v>1055</v>
      </c>
      <c r="L141" s="75" t="n">
        <v>10</v>
      </c>
      <c r="M141" s="67" t="inlineStr">
        <is>
          <t>Kg</t>
        </is>
      </c>
      <c r="N141" s="76" t="n">
        <v>10</v>
      </c>
      <c r="O141" s="67" t="n"/>
      <c r="P141" s="68" t="n"/>
    </row>
    <row r="142" ht="19.5" customHeight="1" s="45">
      <c r="B142" s="74" t="inlineStr">
        <is>
          <t>PO-0138</t>
        </is>
      </c>
      <c r="C142" s="67" t="inlineStr">
        <is>
          <t>M2-R-01</t>
        </is>
      </c>
      <c r="D142" s="67" t="inlineStr">
        <is>
          <t>M2</t>
        </is>
      </c>
      <c r="E142" s="67" t="inlineStr">
        <is>
          <t>Khuchra</t>
        </is>
      </c>
      <c r="F142" s="67" t="inlineStr">
        <is>
          <t>S05</t>
        </is>
      </c>
      <c r="G142" s="75" t="n">
        <v>450</v>
      </c>
      <c r="H142" s="75" t="inlineStr">
        <is>
          <t>D</t>
        </is>
      </c>
      <c r="I142" s="67" t="inlineStr">
        <is>
          <t>Kg</t>
        </is>
      </c>
      <c r="J142" s="76" t="n">
        <v>450</v>
      </c>
      <c r="K142" s="76" t="n"/>
      <c r="L142" s="75" t="n">
        <v>10</v>
      </c>
      <c r="M142" s="67" t="inlineStr">
        <is>
          <t>Kg</t>
        </is>
      </c>
      <c r="N142" s="76" t="n">
        <v>10</v>
      </c>
      <c r="O142" s="67" t="inlineStr">
        <is>
          <t>PAIR-M2-03</t>
        </is>
      </c>
      <c r="P142" s="68" t="n"/>
    </row>
    <row r="143" ht="19.5" customHeight="1" s="45">
      <c r="B143" s="74" t="inlineStr">
        <is>
          <t>PO-0139</t>
        </is>
      </c>
      <c r="C143" s="67" t="inlineStr">
        <is>
          <t>M2-R-01</t>
        </is>
      </c>
      <c r="D143" s="67" t="inlineStr">
        <is>
          <t>M2</t>
        </is>
      </c>
      <c r="E143" s="67" t="inlineStr">
        <is>
          <t>Khuchra</t>
        </is>
      </c>
      <c r="F143" s="67" t="inlineStr">
        <is>
          <t>S07</t>
        </is>
      </c>
      <c r="G143" s="75" t="n">
        <v>475</v>
      </c>
      <c r="H143" s="75" t="n">
        <v>540</v>
      </c>
      <c r="I143" s="67" t="inlineStr">
        <is>
          <t>Kg</t>
        </is>
      </c>
      <c r="J143" s="76" t="n">
        <v>475</v>
      </c>
      <c r="K143" s="76" t="n">
        <v>540</v>
      </c>
      <c r="L143" s="75" t="n">
        <v>10</v>
      </c>
      <c r="M143" s="67" t="inlineStr">
        <is>
          <t>Kg</t>
        </is>
      </c>
      <c r="N143" s="76" t="n">
        <v>10</v>
      </c>
      <c r="O143" s="67" t="n"/>
      <c r="P143" s="68" t="n"/>
    </row>
    <row r="144" ht="19.5" customHeight="1" s="45">
      <c r="B144" s="74" t="inlineStr">
        <is>
          <t>PO-0140</t>
        </is>
      </c>
      <c r="C144" s="67" t="inlineStr">
        <is>
          <t>M2-R-02</t>
        </is>
      </c>
      <c r="D144" s="67" t="inlineStr">
        <is>
          <t>M2</t>
        </is>
      </c>
      <c r="E144" s="67" t="inlineStr">
        <is>
          <t>Khuchra</t>
        </is>
      </c>
      <c r="F144" s="67" t="inlineStr">
        <is>
          <t>S03</t>
        </is>
      </c>
      <c r="G144" s="75" t="n">
        <v>33250</v>
      </c>
      <c r="H144" s="75" t="inlineStr">
        <is>
          <t>K</t>
        </is>
      </c>
      <c r="I144" s="67" t="inlineStr">
        <is>
          <t>Maund</t>
        </is>
      </c>
      <c r="J144" s="76" t="n">
        <v>890.9400000000001</v>
      </c>
      <c r="K144" s="76" t="n"/>
      <c r="L144" s="75" t="n">
        <v>0.6</v>
      </c>
      <c r="M144" s="67" t="inlineStr">
        <is>
          <t>Maund</t>
        </is>
      </c>
      <c r="N144" s="76" t="n">
        <v>22.39</v>
      </c>
      <c r="O144" s="67" t="n"/>
      <c r="P144" s="68" t="n"/>
    </row>
    <row r="145" ht="19.5" customHeight="1" s="45">
      <c r="B145" s="74" t="inlineStr">
        <is>
          <t>PO-0141</t>
        </is>
      </c>
      <c r="C145" s="67" t="inlineStr">
        <is>
          <t>M2-R-02</t>
        </is>
      </c>
      <c r="D145" s="67" t="inlineStr">
        <is>
          <t>M2</t>
        </is>
      </c>
      <c r="E145" s="67" t="inlineStr">
        <is>
          <t>Khuchra</t>
        </is>
      </c>
      <c r="F145" s="67" t="inlineStr">
        <is>
          <t>S05</t>
        </is>
      </c>
      <c r="G145" s="75" t="n">
        <v>18250</v>
      </c>
      <c r="H145" s="75" t="n">
        <v>20750</v>
      </c>
      <c r="I145" s="67" t="inlineStr">
        <is>
          <t>Maund</t>
        </is>
      </c>
      <c r="J145" s="76" t="n">
        <v>489.01</v>
      </c>
      <c r="K145" s="76" t="n">
        <v>556</v>
      </c>
      <c r="L145" s="75" t="n">
        <v>0.6</v>
      </c>
      <c r="M145" s="67" t="inlineStr">
        <is>
          <t>Maund</t>
        </is>
      </c>
      <c r="N145" s="76" t="n">
        <v>22.39</v>
      </c>
      <c r="O145" s="67" t="n"/>
      <c r="P145" s="68" t="n"/>
    </row>
    <row r="146" ht="19.5" customHeight="1" s="45">
      <c r="B146" s="74" t="inlineStr">
        <is>
          <t>PO-0142</t>
        </is>
      </c>
      <c r="C146" s="67" t="inlineStr">
        <is>
          <t>M2-R-02</t>
        </is>
      </c>
      <c r="D146" s="67" t="inlineStr">
        <is>
          <t>M2</t>
        </is>
      </c>
      <c r="E146" s="67" t="inlineStr">
        <is>
          <t>Khuchra</t>
        </is>
      </c>
      <c r="F146" s="67" t="inlineStr">
        <is>
          <t>S06</t>
        </is>
      </c>
      <c r="G146" s="75" t="n">
        <v>15000</v>
      </c>
      <c r="H146" s="75" t="n">
        <v>17250</v>
      </c>
      <c r="I146" s="67" t="inlineStr">
        <is>
          <t>Maund</t>
        </is>
      </c>
      <c r="J146" s="76" t="n">
        <v>401.93</v>
      </c>
      <c r="K146" s="76" t="n">
        <v>462.22</v>
      </c>
      <c r="L146" s="75" t="n">
        <v>0.6</v>
      </c>
      <c r="M146" s="67" t="inlineStr">
        <is>
          <t>Maund</t>
        </is>
      </c>
      <c r="N146" s="76" t="n">
        <v>22.39</v>
      </c>
      <c r="O146" s="67" t="n"/>
      <c r="P146" s="68" t="n"/>
    </row>
    <row r="147" ht="19.5" customHeight="1" s="45">
      <c r="B147" s="74" t="inlineStr">
        <is>
          <t>PO-0143</t>
        </is>
      </c>
      <c r="C147" s="67" t="inlineStr">
        <is>
          <t>M2-R-02</t>
        </is>
      </c>
      <c r="D147" s="67" t="inlineStr">
        <is>
          <t>M2</t>
        </is>
      </c>
      <c r="E147" s="67" t="inlineStr">
        <is>
          <t>Khuchra</t>
        </is>
      </c>
      <c r="F147" s="67" t="inlineStr">
        <is>
          <t>S07</t>
        </is>
      </c>
      <c r="G147" s="75" t="n">
        <v>17500</v>
      </c>
      <c r="H147" s="75" t="n">
        <v>19250</v>
      </c>
      <c r="I147" s="67" t="inlineStr">
        <is>
          <t>Maund</t>
        </is>
      </c>
      <c r="J147" s="76" t="n">
        <v>468.92</v>
      </c>
      <c r="K147" s="76" t="n">
        <v>515.8099999999999</v>
      </c>
      <c r="L147" s="75" t="n">
        <v>0.4</v>
      </c>
      <c r="M147" s="67" t="inlineStr">
        <is>
          <t>Maund</t>
        </is>
      </c>
      <c r="N147" s="76" t="n">
        <v>14.93</v>
      </c>
      <c r="O147" s="67" t="n"/>
      <c r="P147" s="68" t="n"/>
    </row>
    <row r="148" ht="19.5" customHeight="1" s="45">
      <c r="B148" s="74" t="inlineStr">
        <is>
          <t>PO-0144</t>
        </is>
      </c>
      <c r="C148" s="67" t="inlineStr">
        <is>
          <t>M2-R-02</t>
        </is>
      </c>
      <c r="D148" s="67" t="inlineStr">
        <is>
          <t>M2</t>
        </is>
      </c>
      <c r="E148" s="67" t="inlineStr">
        <is>
          <t>Khuchra</t>
        </is>
      </c>
      <c r="F148" s="67" t="inlineStr">
        <is>
          <t>S10</t>
        </is>
      </c>
      <c r="G148" s="75" t="n">
        <v>7900</v>
      </c>
      <c r="H148" s="75" t="n">
        <v>9000</v>
      </c>
      <c r="I148" s="67" t="inlineStr">
        <is>
          <t>Maund</t>
        </is>
      </c>
      <c r="J148" s="76" t="n">
        <v>211.68</v>
      </c>
      <c r="K148" s="76" t="n">
        <v>241.16</v>
      </c>
      <c r="L148" s="75" t="n">
        <v>0.4</v>
      </c>
      <c r="M148" s="67" t="inlineStr">
        <is>
          <t>Maund</t>
        </is>
      </c>
      <c r="N148" s="76" t="n">
        <v>14.93</v>
      </c>
      <c r="O148" s="67" t="n"/>
      <c r="P148" s="68" t="n"/>
    </row>
    <row r="149" ht="19.5" customHeight="1" s="45">
      <c r="B149" s="74" t="inlineStr">
        <is>
          <t>PO-0145</t>
        </is>
      </c>
      <c r="C149" s="67" t="inlineStr">
        <is>
          <t>M2-R-03</t>
        </is>
      </c>
      <c r="D149" s="67" t="inlineStr">
        <is>
          <t>M2</t>
        </is>
      </c>
      <c r="E149" s="67" t="inlineStr">
        <is>
          <t>Khuchra</t>
        </is>
      </c>
      <c r="F149" s="67" t="inlineStr">
        <is>
          <t>S01</t>
        </is>
      </c>
      <c r="G149" s="75" t="n">
        <v>48500</v>
      </c>
      <c r="H149" s="75" t="n">
        <v>53750</v>
      </c>
      <c r="I149" s="67" t="inlineStr">
        <is>
          <t>Maund</t>
        </is>
      </c>
      <c r="J149" s="76" t="n">
        <v>1299.57</v>
      </c>
      <c r="K149" s="76" t="n">
        <v>1440.25</v>
      </c>
      <c r="L149" s="75" t="n">
        <v>0.3</v>
      </c>
      <c r="M149" s="67" t="inlineStr">
        <is>
          <t>Maund</t>
        </is>
      </c>
      <c r="N149" s="76" t="n">
        <v>11.2</v>
      </c>
      <c r="O149" s="67" t="n"/>
      <c r="P149" s="68" t="n"/>
    </row>
    <row r="150" ht="19.5" customHeight="1" s="45">
      <c r="B150" s="74" t="inlineStr">
        <is>
          <t>PO-0146</t>
        </is>
      </c>
      <c r="C150" s="67" t="inlineStr">
        <is>
          <t>M2-R-03</t>
        </is>
      </c>
      <c r="D150" s="67" t="inlineStr">
        <is>
          <t>M2</t>
        </is>
      </c>
      <c r="E150" s="67" t="inlineStr">
        <is>
          <t>Khuchra</t>
        </is>
      </c>
      <c r="F150" s="67" t="inlineStr">
        <is>
          <t>S03</t>
        </is>
      </c>
      <c r="G150" s="75" t="n">
        <v>32500</v>
      </c>
      <c r="H150" s="75" t="n">
        <v>38250</v>
      </c>
      <c r="I150" s="67" t="inlineStr">
        <is>
          <t>Maund</t>
        </is>
      </c>
      <c r="J150" s="76" t="n">
        <v>870.85</v>
      </c>
      <c r="K150" s="76" t="n">
        <v>1024.92</v>
      </c>
      <c r="L150" s="75" t="n">
        <v>0.5</v>
      </c>
      <c r="M150" s="67" t="inlineStr">
        <is>
          <t>Maund</t>
        </is>
      </c>
      <c r="N150" s="76" t="n">
        <v>18.66</v>
      </c>
      <c r="O150" s="67" t="inlineStr">
        <is>
          <t>PAIR-M2-01</t>
        </is>
      </c>
      <c r="P150" s="68" t="n"/>
    </row>
    <row r="151" ht="19.5" customHeight="1" s="45">
      <c r="B151" s="74" t="inlineStr">
        <is>
          <t>PO-0147</t>
        </is>
      </c>
      <c r="C151" s="67" t="inlineStr">
        <is>
          <t>M2-R-03</t>
        </is>
      </c>
      <c r="D151" s="67" t="inlineStr">
        <is>
          <t>M2</t>
        </is>
      </c>
      <c r="E151" s="67" t="inlineStr">
        <is>
          <t>Khuchra</t>
        </is>
      </c>
      <c r="F151" s="67" t="inlineStr">
        <is>
          <t>S05</t>
        </is>
      </c>
      <c r="G151" s="75" t="n">
        <v>18250</v>
      </c>
      <c r="H151" s="75" t="n">
        <v>21000</v>
      </c>
      <c r="I151" s="67" t="inlineStr">
        <is>
          <t>Maund</t>
        </is>
      </c>
      <c r="J151" s="76" t="n">
        <v>489.01</v>
      </c>
      <c r="K151" s="76" t="n">
        <v>562.7</v>
      </c>
      <c r="L151" s="75" t="n">
        <v>0.5</v>
      </c>
      <c r="M151" s="67" t="inlineStr">
        <is>
          <t>Maund</t>
        </is>
      </c>
      <c r="N151" s="76" t="n">
        <v>18.66</v>
      </c>
      <c r="O151" s="67" t="n"/>
      <c r="P151" s="68" t="n"/>
    </row>
    <row r="152" ht="19.5" customHeight="1" s="45">
      <c r="B152" s="74" t="inlineStr">
        <is>
          <t>PO-0148</t>
        </is>
      </c>
      <c r="C152" s="67" t="inlineStr">
        <is>
          <t>M2-R-03</t>
        </is>
      </c>
      <c r="D152" s="67" t="inlineStr">
        <is>
          <t>M2</t>
        </is>
      </c>
      <c r="E152" s="67" t="inlineStr">
        <is>
          <t>Khuchra</t>
        </is>
      </c>
      <c r="F152" s="67" t="inlineStr">
        <is>
          <t>S06</t>
        </is>
      </c>
      <c r="G152" s="75" t="n">
        <v>14750</v>
      </c>
      <c r="H152" s="75" t="n">
        <v>17000</v>
      </c>
      <c r="I152" s="67" t="inlineStr">
        <is>
          <t>Maund</t>
        </is>
      </c>
      <c r="J152" s="76" t="n">
        <v>395.23</v>
      </c>
      <c r="K152" s="76" t="n">
        <v>455.52</v>
      </c>
      <c r="L152" s="75" t="n">
        <v>0.6</v>
      </c>
      <c r="M152" s="67" t="inlineStr">
        <is>
          <t>Maund</t>
        </is>
      </c>
      <c r="N152" s="76" t="n">
        <v>22.39</v>
      </c>
      <c r="O152" s="67" t="n"/>
      <c r="P152" s="68" t="n"/>
    </row>
    <row r="153" ht="19.5" customHeight="1" s="45">
      <c r="B153" s="74" t="inlineStr">
        <is>
          <t>PO-0149</t>
        </is>
      </c>
      <c r="C153" s="67" t="inlineStr">
        <is>
          <t>M2-R-03</t>
        </is>
      </c>
      <c r="D153" s="67" t="inlineStr">
        <is>
          <t>M2</t>
        </is>
      </c>
      <c r="E153" s="67" t="inlineStr">
        <is>
          <t>Khuchra</t>
        </is>
      </c>
      <c r="F153" s="67" t="inlineStr">
        <is>
          <t>S07</t>
        </is>
      </c>
      <c r="G153" s="75" t="n">
        <v>17500</v>
      </c>
      <c r="H153" s="75" t="n">
        <v>19750</v>
      </c>
      <c r="I153" s="67" t="inlineStr">
        <is>
          <t>Maund</t>
        </is>
      </c>
      <c r="J153" s="76" t="n">
        <v>468.92</v>
      </c>
      <c r="K153" s="76" t="n">
        <v>529.21</v>
      </c>
      <c r="L153" s="75" t="n">
        <v>0.6</v>
      </c>
      <c r="M153" s="67" t="inlineStr">
        <is>
          <t>Maund</t>
        </is>
      </c>
      <c r="N153" s="76" t="n">
        <v>22.39</v>
      </c>
      <c r="O153" s="67" t="n"/>
      <c r="P153" s="68" t="n"/>
    </row>
    <row r="154" ht="19.5" customHeight="1" s="45">
      <c r="B154" s="74" t="inlineStr">
        <is>
          <t>PO-0150</t>
        </is>
      </c>
      <c r="C154" s="67" t="inlineStr">
        <is>
          <t>M2-R-04</t>
        </is>
      </c>
      <c r="D154" s="67" t="inlineStr">
        <is>
          <t>M2</t>
        </is>
      </c>
      <c r="E154" s="67" t="inlineStr">
        <is>
          <t>Khuchra</t>
        </is>
      </c>
      <c r="F154" s="67" t="inlineStr">
        <is>
          <t>S01</t>
        </is>
      </c>
      <c r="G154" s="75" t="n">
        <v>45000</v>
      </c>
      <c r="H154" s="75" t="n">
        <v>52000</v>
      </c>
      <c r="I154" s="67" t="inlineStr">
        <is>
          <t>Maund</t>
        </is>
      </c>
      <c r="J154" s="76" t="n">
        <v>1205.79</v>
      </c>
      <c r="K154" s="76" t="n">
        <v>1393.35</v>
      </c>
      <c r="L154" s="75" t="n">
        <v>0.7</v>
      </c>
      <c r="M154" s="67" t="inlineStr">
        <is>
          <t>Maund</t>
        </is>
      </c>
      <c r="N154" s="76" t="n">
        <v>26.12</v>
      </c>
      <c r="O154" s="67" t="n"/>
      <c r="P154" s="68" t="n"/>
    </row>
    <row r="155" ht="19.5" customHeight="1" s="45">
      <c r="B155" s="74" t="inlineStr">
        <is>
          <t>PO-0151</t>
        </is>
      </c>
      <c r="C155" s="67" t="inlineStr">
        <is>
          <t>M2-R-04</t>
        </is>
      </c>
      <c r="D155" s="67" t="inlineStr">
        <is>
          <t>M2</t>
        </is>
      </c>
      <c r="E155" s="67" t="inlineStr">
        <is>
          <t>Khuchra</t>
        </is>
      </c>
      <c r="F155" s="67" t="inlineStr">
        <is>
          <t>S02</t>
        </is>
      </c>
      <c r="G155" s="75" t="n">
        <v>51000</v>
      </c>
      <c r="H155" s="75" t="n">
        <v>57750</v>
      </c>
      <c r="I155" s="67" t="inlineStr">
        <is>
          <t>Maund</t>
        </is>
      </c>
      <c r="J155" s="76" t="n">
        <v>1366.56</v>
      </c>
      <c r="K155" s="76" t="n">
        <v>1547.43</v>
      </c>
      <c r="L155" s="75" t="n">
        <v>0.7</v>
      </c>
      <c r="M155" s="67" t="inlineStr">
        <is>
          <t>Maund</t>
        </is>
      </c>
      <c r="N155" s="76" t="n">
        <v>26.12</v>
      </c>
      <c r="O155" s="67" t="n"/>
      <c r="P155" s="68" t="n"/>
    </row>
    <row r="156" ht="19.5" customHeight="1" s="45">
      <c r="B156" s="74" t="inlineStr">
        <is>
          <t>PO-0152</t>
        </is>
      </c>
      <c r="C156" s="67" t="inlineStr">
        <is>
          <t>M2-R-04</t>
        </is>
      </c>
      <c r="D156" s="67" t="inlineStr">
        <is>
          <t>M2</t>
        </is>
      </c>
      <c r="E156" s="67" t="inlineStr">
        <is>
          <t>Khuchra</t>
        </is>
      </c>
      <c r="F156" s="67" t="inlineStr">
        <is>
          <t>S03</t>
        </is>
      </c>
      <c r="G156" s="75" t="n">
        <v>34250</v>
      </c>
      <c r="H156" s="75" t="n">
        <v>37250</v>
      </c>
      <c r="I156" s="67" t="inlineStr">
        <is>
          <t>Maund</t>
        </is>
      </c>
      <c r="J156" s="76" t="n">
        <v>917.74</v>
      </c>
      <c r="K156" s="76" t="n">
        <v>998.12</v>
      </c>
      <c r="L156" s="75" t="n">
        <v>0.5</v>
      </c>
      <c r="M156" s="67" t="inlineStr">
        <is>
          <t>Maund</t>
        </is>
      </c>
      <c r="N156" s="76" t="n">
        <v>18.66</v>
      </c>
      <c r="O156" s="67" t="n"/>
      <c r="P156" s="68" t="n"/>
    </row>
    <row r="157" ht="19.5" customHeight="1" s="45">
      <c r="B157" s="74" t="inlineStr">
        <is>
          <t>PO-0153</t>
        </is>
      </c>
      <c r="C157" s="67" t="inlineStr">
        <is>
          <t>M2-R-04</t>
        </is>
      </c>
      <c r="D157" s="67" t="inlineStr">
        <is>
          <t>M2</t>
        </is>
      </c>
      <c r="E157" s="67" t="inlineStr">
        <is>
          <t>Khuchra</t>
        </is>
      </c>
      <c r="F157" s="67" t="inlineStr">
        <is>
          <t>S05</t>
        </is>
      </c>
      <c r="G157" s="75" t="n">
        <v>18500</v>
      </c>
      <c r="H157" s="75" t="inlineStr">
        <is>
          <t>K</t>
        </is>
      </c>
      <c r="I157" s="67" t="inlineStr">
        <is>
          <t>Maund</t>
        </is>
      </c>
      <c r="J157" s="76" t="n">
        <v>495.71</v>
      </c>
      <c r="K157" s="76" t="n"/>
      <c r="L157" s="75" t="n">
        <v>0.4</v>
      </c>
      <c r="M157" s="67" t="inlineStr">
        <is>
          <t>Maund</t>
        </is>
      </c>
      <c r="N157" s="76" t="n">
        <v>14.93</v>
      </c>
      <c r="O157" s="67" t="n"/>
      <c r="P157" s="68" t="n"/>
    </row>
    <row r="158" ht="19.5" customHeight="1" s="45">
      <c r="B158" s="74" t="inlineStr">
        <is>
          <t>PO-0154</t>
        </is>
      </c>
      <c r="C158" s="67" t="inlineStr">
        <is>
          <t>M2-R-04</t>
        </is>
      </c>
      <c r="D158" s="67" t="inlineStr">
        <is>
          <t>M2</t>
        </is>
      </c>
      <c r="E158" s="67" t="inlineStr">
        <is>
          <t>Khuchra</t>
        </is>
      </c>
      <c r="F158" s="67" t="inlineStr">
        <is>
          <t>S06</t>
        </is>
      </c>
      <c r="G158" s="75" t="n">
        <v>14500</v>
      </c>
      <c r="H158" s="75" t="inlineStr">
        <is>
          <t>D</t>
        </is>
      </c>
      <c r="I158" s="67" t="inlineStr">
        <is>
          <t>Maund</t>
        </is>
      </c>
      <c r="J158" s="76" t="n">
        <v>388.53</v>
      </c>
      <c r="K158" s="76" t="n"/>
      <c r="L158" s="75" t="n">
        <v>0.4</v>
      </c>
      <c r="M158" s="67" t="inlineStr">
        <is>
          <t>Maund</t>
        </is>
      </c>
      <c r="N158" s="76" t="n">
        <v>14.93</v>
      </c>
      <c r="O158" s="67" t="n"/>
      <c r="P158" s="68" t="n"/>
    </row>
    <row r="159" ht="19.5" customHeight="1" s="45">
      <c r="B159" s="74" t="inlineStr">
        <is>
          <t>PO-0155</t>
        </is>
      </c>
      <c r="C159" s="67" t="inlineStr">
        <is>
          <t>M2-R-04</t>
        </is>
      </c>
      <c r="D159" s="67" t="inlineStr">
        <is>
          <t>M2</t>
        </is>
      </c>
      <c r="E159" s="67" t="inlineStr">
        <is>
          <t>Khuchra</t>
        </is>
      </c>
      <c r="F159" s="67" t="inlineStr">
        <is>
          <t>S08</t>
        </is>
      </c>
      <c r="G159" s="75" t="inlineStr">
        <is>
          <t>K</t>
        </is>
      </c>
      <c r="H159" s="75" t="inlineStr">
        <is>
          <t>K</t>
        </is>
      </c>
      <c r="I159" s="67" t="n"/>
      <c r="J159" s="76" t="n"/>
      <c r="K159" s="76" t="n"/>
      <c r="L159" s="75" t="n"/>
      <c r="M159" s="67" t="n"/>
      <c r="N159" s="76" t="n"/>
      <c r="O159" s="67" t="n"/>
      <c r="P159" s="68" t="inlineStr">
        <is>
          <t>Species not handled today</t>
        </is>
      </c>
    </row>
    <row r="160" ht="19.5" customHeight="1" s="45">
      <c r="B160" s="74" t="inlineStr">
        <is>
          <t>PO-0156</t>
        </is>
      </c>
      <c r="C160" s="67" t="inlineStr">
        <is>
          <t>M2-R-05</t>
        </is>
      </c>
      <c r="D160" s="67" t="inlineStr">
        <is>
          <t>M2</t>
        </is>
      </c>
      <c r="E160" s="67" t="inlineStr">
        <is>
          <t>Khuchra</t>
        </is>
      </c>
      <c r="F160" s="67" t="inlineStr">
        <is>
          <t>S01</t>
        </is>
      </c>
      <c r="G160" s="75" t="n">
        <v>45000</v>
      </c>
      <c r="H160" s="75" t="n">
        <v>57250</v>
      </c>
      <c r="I160" s="67" t="inlineStr">
        <is>
          <t>Maund</t>
        </is>
      </c>
      <c r="J160" s="76" t="n">
        <v>1205.79</v>
      </c>
      <c r="K160" s="76" t="n">
        <v>1534.03</v>
      </c>
      <c r="L160" s="75" t="n">
        <v>0.4</v>
      </c>
      <c r="M160" s="67" t="inlineStr">
        <is>
          <t>Maund</t>
        </is>
      </c>
      <c r="N160" s="76" t="n">
        <v>14.93</v>
      </c>
      <c r="O160" s="67" t="inlineStr">
        <is>
          <t>PAIR-M2-02</t>
        </is>
      </c>
      <c r="P160" s="68" t="n"/>
    </row>
    <row r="161" ht="19.5" customHeight="1" s="45">
      <c r="B161" s="74" t="inlineStr">
        <is>
          <t>PO-0157</t>
        </is>
      </c>
      <c r="C161" s="67" t="inlineStr">
        <is>
          <t>M2-R-05</t>
        </is>
      </c>
      <c r="D161" s="67" t="inlineStr">
        <is>
          <t>M2</t>
        </is>
      </c>
      <c r="E161" s="67" t="inlineStr">
        <is>
          <t>Khuchra</t>
        </is>
      </c>
      <c r="F161" s="67" t="inlineStr">
        <is>
          <t>S02</t>
        </is>
      </c>
      <c r="G161" s="75" t="n">
        <v>49750</v>
      </c>
      <c r="H161" s="75" t="n">
        <v>56250</v>
      </c>
      <c r="I161" s="67" t="inlineStr">
        <is>
          <t>Maund</t>
        </is>
      </c>
      <c r="J161" s="76" t="n">
        <v>1333.07</v>
      </c>
      <c r="K161" s="76" t="n">
        <v>1507.23</v>
      </c>
      <c r="L161" s="75" t="n">
        <v>0.6</v>
      </c>
      <c r="M161" s="67" t="inlineStr">
        <is>
          <t>Maund</t>
        </is>
      </c>
      <c r="N161" s="76" t="n">
        <v>22.39</v>
      </c>
      <c r="O161" s="67" t="n"/>
      <c r="P161" s="68" t="n"/>
    </row>
    <row r="162" ht="19.5" customHeight="1" s="45">
      <c r="B162" s="74" t="inlineStr">
        <is>
          <t>PO-0158</t>
        </is>
      </c>
      <c r="C162" s="67" t="inlineStr">
        <is>
          <t>M2-R-05</t>
        </is>
      </c>
      <c r="D162" s="67" t="inlineStr">
        <is>
          <t>M2</t>
        </is>
      </c>
      <c r="E162" s="67" t="inlineStr">
        <is>
          <t>Khuchra</t>
        </is>
      </c>
      <c r="F162" s="67" t="inlineStr">
        <is>
          <t>S03</t>
        </is>
      </c>
      <c r="G162" s="75" t="n">
        <v>34250</v>
      </c>
      <c r="H162" s="75" t="n">
        <v>38250</v>
      </c>
      <c r="I162" s="67" t="inlineStr">
        <is>
          <t>Maund</t>
        </is>
      </c>
      <c r="J162" s="76" t="n">
        <v>917.74</v>
      </c>
      <c r="K162" s="76" t="n">
        <v>1024.92</v>
      </c>
      <c r="L162" s="75" t="n">
        <v>0.6</v>
      </c>
      <c r="M162" s="67" t="inlineStr">
        <is>
          <t>Maund</t>
        </is>
      </c>
      <c r="N162" s="76" t="n">
        <v>22.39</v>
      </c>
      <c r="O162" s="67" t="n"/>
      <c r="P162" s="68" t="n"/>
    </row>
    <row r="163" ht="19.5" customHeight="1" s="45">
      <c r="B163" s="74" t="inlineStr">
        <is>
          <t>PO-0159</t>
        </is>
      </c>
      <c r="C163" s="67" t="inlineStr">
        <is>
          <t>M2-R-05</t>
        </is>
      </c>
      <c r="D163" s="67" t="inlineStr">
        <is>
          <t>M2</t>
        </is>
      </c>
      <c r="E163" s="67" t="inlineStr">
        <is>
          <t>Khuchra</t>
        </is>
      </c>
      <c r="F163" s="67" t="inlineStr">
        <is>
          <t>S05</t>
        </is>
      </c>
      <c r="G163" s="75" t="n">
        <v>18500</v>
      </c>
      <c r="H163" s="75" t="inlineStr">
        <is>
          <t>K</t>
        </is>
      </c>
      <c r="I163" s="67" t="inlineStr">
        <is>
          <t>Maund</t>
        </is>
      </c>
      <c r="J163" s="76" t="n">
        <v>495.71</v>
      </c>
      <c r="K163" s="76" t="n"/>
      <c r="L163" s="75" t="n">
        <v>0.4</v>
      </c>
      <c r="M163" s="67" t="inlineStr">
        <is>
          <t>Maund</t>
        </is>
      </c>
      <c r="N163" s="76" t="n">
        <v>14.93</v>
      </c>
      <c r="O163" s="67" t="n"/>
      <c r="P163" s="68" t="n"/>
    </row>
    <row r="164" ht="19.5" customHeight="1" s="45">
      <c r="B164" s="74" t="inlineStr">
        <is>
          <t>PO-0160</t>
        </is>
      </c>
      <c r="C164" s="67" t="inlineStr">
        <is>
          <t>M2-R-05</t>
        </is>
      </c>
      <c r="D164" s="67" t="inlineStr">
        <is>
          <t>M2</t>
        </is>
      </c>
      <c r="E164" s="67" t="inlineStr">
        <is>
          <t>Khuchra</t>
        </is>
      </c>
      <c r="F164" s="67" t="inlineStr">
        <is>
          <t>S06</t>
        </is>
      </c>
      <c r="G164" s="75" t="n">
        <v>15250</v>
      </c>
      <c r="H164" s="75" t="n">
        <v>17500</v>
      </c>
      <c r="I164" s="67" t="inlineStr">
        <is>
          <t>Maund</t>
        </is>
      </c>
      <c r="J164" s="76" t="n">
        <v>408.63</v>
      </c>
      <c r="K164" s="76" t="n">
        <v>468.92</v>
      </c>
      <c r="L164" s="75" t="n">
        <v>0.6</v>
      </c>
      <c r="M164" s="67" t="inlineStr">
        <is>
          <t>Maund</t>
        </is>
      </c>
      <c r="N164" s="76" t="n">
        <v>22.39</v>
      </c>
      <c r="O164" s="67" t="n"/>
      <c r="P164" s="68" t="n"/>
    </row>
    <row r="165" ht="19.5" customHeight="1" s="45">
      <c r="B165" s="74" t="inlineStr">
        <is>
          <t>PO-0161</t>
        </is>
      </c>
      <c r="C165" s="67" t="inlineStr">
        <is>
          <t>M3-A-01</t>
        </is>
      </c>
      <c r="D165" s="67" t="inlineStr">
        <is>
          <t>M3</t>
        </is>
      </c>
      <c r="E165" s="67" t="inlineStr">
        <is>
          <t>Aratdar</t>
        </is>
      </c>
      <c r="F165" s="67" t="inlineStr">
        <is>
          <t>S01</t>
        </is>
      </c>
      <c r="G165" s="75" t="n">
        <v>40750</v>
      </c>
      <c r="H165" s="75" t="n">
        <v>42750</v>
      </c>
      <c r="I165" s="67" t="inlineStr">
        <is>
          <t>Maund</t>
        </is>
      </c>
      <c r="J165" s="76" t="n">
        <v>1091.91</v>
      </c>
      <c r="K165" s="76" t="n">
        <v>1145.5</v>
      </c>
      <c r="L165" s="75" t="n">
        <v>4.7</v>
      </c>
      <c r="M165" s="67" t="inlineStr">
        <is>
          <t>Maund</t>
        </is>
      </c>
      <c r="N165" s="76" t="n">
        <v>175.4</v>
      </c>
      <c r="O165" s="67" t="n"/>
      <c r="P165" s="68" t="n"/>
    </row>
    <row r="166" ht="19.5" customHeight="1" s="45">
      <c r="B166" s="74" t="inlineStr">
        <is>
          <t>PO-0162</t>
        </is>
      </c>
      <c r="C166" s="67" t="inlineStr">
        <is>
          <t>M3-A-01</t>
        </is>
      </c>
      <c r="D166" s="67" t="inlineStr">
        <is>
          <t>M3</t>
        </is>
      </c>
      <c r="E166" s="67" t="inlineStr">
        <is>
          <t>Aratdar</t>
        </is>
      </c>
      <c r="F166" s="67" t="inlineStr">
        <is>
          <t>S02</t>
        </is>
      </c>
      <c r="G166" s="75" t="n">
        <v>48500</v>
      </c>
      <c r="H166" s="75" t="n">
        <v>50500</v>
      </c>
      <c r="I166" s="67" t="inlineStr">
        <is>
          <t>Maund</t>
        </is>
      </c>
      <c r="J166" s="76" t="n">
        <v>1299.57</v>
      </c>
      <c r="K166" s="76" t="n">
        <v>1353.16</v>
      </c>
      <c r="L166" s="75" t="n">
        <v>4.7</v>
      </c>
      <c r="M166" s="67" t="inlineStr">
        <is>
          <t>Maund</t>
        </is>
      </c>
      <c r="N166" s="76" t="n">
        <v>175.4</v>
      </c>
      <c r="O166" s="67" t="n"/>
      <c r="P166" s="68" t="n"/>
    </row>
    <row r="167" ht="19.5" customHeight="1" s="45">
      <c r="B167" s="74" t="inlineStr">
        <is>
          <t>PO-0163</t>
        </is>
      </c>
      <c r="C167" s="67" t="inlineStr">
        <is>
          <t>M3-A-01</t>
        </is>
      </c>
      <c r="D167" s="67" t="inlineStr">
        <is>
          <t>M3</t>
        </is>
      </c>
      <c r="E167" s="67" t="inlineStr">
        <is>
          <t>Aratdar</t>
        </is>
      </c>
      <c r="F167" s="67" t="inlineStr">
        <is>
          <t>S03</t>
        </is>
      </c>
      <c r="G167" s="75" t="n">
        <v>31000</v>
      </c>
      <c r="H167" s="75" t="n">
        <v>32500</v>
      </c>
      <c r="I167" s="67" t="inlineStr">
        <is>
          <t>Maund</t>
        </is>
      </c>
      <c r="J167" s="76" t="n">
        <v>830.65</v>
      </c>
      <c r="K167" s="76" t="n">
        <v>870.85</v>
      </c>
      <c r="L167" s="75" t="n">
        <v>3.9</v>
      </c>
      <c r="M167" s="67" t="inlineStr">
        <is>
          <t>Maund</t>
        </is>
      </c>
      <c r="N167" s="76" t="n">
        <v>145.55</v>
      </c>
      <c r="O167" s="67" t="n"/>
      <c r="P167" s="68" t="n"/>
    </row>
    <row r="168" ht="19.5" customHeight="1" s="45">
      <c r="B168" s="74" t="inlineStr">
        <is>
          <t>PO-0164</t>
        </is>
      </c>
      <c r="C168" s="67" t="inlineStr">
        <is>
          <t>M3-A-01</t>
        </is>
      </c>
      <c r="D168" s="67" t="inlineStr">
        <is>
          <t>M3</t>
        </is>
      </c>
      <c r="E168" s="67" t="inlineStr">
        <is>
          <t>Aratdar</t>
        </is>
      </c>
      <c r="F168" s="67" t="inlineStr">
        <is>
          <t>S05</t>
        </is>
      </c>
      <c r="G168" s="75" t="n">
        <v>16750</v>
      </c>
      <c r="H168" s="75" t="n">
        <v>17500</v>
      </c>
      <c r="I168" s="67" t="inlineStr">
        <is>
          <t>Maund</t>
        </is>
      </c>
      <c r="J168" s="76" t="n">
        <v>448.82</v>
      </c>
      <c r="K168" s="76" t="n">
        <v>468.92</v>
      </c>
      <c r="L168" s="75" t="n">
        <v>6.1</v>
      </c>
      <c r="M168" s="67" t="inlineStr">
        <is>
          <t>Maund</t>
        </is>
      </c>
      <c r="N168" s="76" t="n">
        <v>227.65</v>
      </c>
      <c r="O168" s="67" t="n"/>
      <c r="P168" s="68" t="n"/>
    </row>
    <row r="169" ht="19.5" customHeight="1" s="45">
      <c r="B169" s="74" t="inlineStr">
        <is>
          <t>PO-0165</t>
        </is>
      </c>
      <c r="C169" s="67" t="inlineStr">
        <is>
          <t>M3-A-01</t>
        </is>
      </c>
      <c r="D169" s="67" t="inlineStr">
        <is>
          <t>M3</t>
        </is>
      </c>
      <c r="E169" s="67" t="inlineStr">
        <is>
          <t>Aratdar</t>
        </is>
      </c>
      <c r="F169" s="67" t="inlineStr">
        <is>
          <t>S08</t>
        </is>
      </c>
      <c r="G169" s="75" t="inlineStr">
        <is>
          <t>K</t>
        </is>
      </c>
      <c r="H169" s="75" t="inlineStr">
        <is>
          <t>K</t>
        </is>
      </c>
      <c r="I169" s="67" t="n"/>
      <c r="J169" s="76" t="n"/>
      <c r="K169" s="76" t="n"/>
      <c r="L169" s="75" t="n"/>
      <c r="M169" s="67" t="n"/>
      <c r="N169" s="76" t="n"/>
      <c r="O169" s="67" t="n"/>
      <c r="P169" s="68" t="inlineStr">
        <is>
          <t>Species not handled today</t>
        </is>
      </c>
    </row>
    <row r="170" ht="19.5" customHeight="1" s="45">
      <c r="B170" s="74" t="inlineStr">
        <is>
          <t>PO-0166</t>
        </is>
      </c>
      <c r="C170" s="67" t="inlineStr">
        <is>
          <t>M3-A-01</t>
        </is>
      </c>
      <c r="D170" s="67" t="inlineStr">
        <is>
          <t>M3</t>
        </is>
      </c>
      <c r="E170" s="67" t="inlineStr">
        <is>
          <t>Aratdar</t>
        </is>
      </c>
      <c r="F170" s="67" t="inlineStr">
        <is>
          <t>S07</t>
        </is>
      </c>
      <c r="G170" s="75" t="inlineStr">
        <is>
          <t>K</t>
        </is>
      </c>
      <c r="H170" s="75" t="inlineStr">
        <is>
          <t>K</t>
        </is>
      </c>
      <c r="I170" s="67" t="n"/>
      <c r="J170" s="76" t="n"/>
      <c r="K170" s="76" t="n"/>
      <c r="L170" s="75" t="n"/>
      <c r="M170" s="67" t="n"/>
      <c r="N170" s="76" t="n"/>
      <c r="O170" s="67" t="n"/>
      <c r="P170" s="68" t="inlineStr">
        <is>
          <t>Species not handled today</t>
        </is>
      </c>
    </row>
    <row r="171" ht="19.5" customHeight="1" s="45">
      <c r="B171" s="74" t="inlineStr">
        <is>
          <t>PO-0167</t>
        </is>
      </c>
      <c r="C171" s="67" t="inlineStr">
        <is>
          <t>M3-A-02</t>
        </is>
      </c>
      <c r="D171" s="67" t="inlineStr">
        <is>
          <t>M3</t>
        </is>
      </c>
      <c r="E171" s="67" t="inlineStr">
        <is>
          <t>Aratdar</t>
        </is>
      </c>
      <c r="F171" s="67" t="inlineStr">
        <is>
          <t>S01</t>
        </is>
      </c>
      <c r="G171" s="75" t="n">
        <v>42500</v>
      </c>
      <c r="H171" s="75" t="n">
        <v>44250</v>
      </c>
      <c r="I171" s="67" t="inlineStr">
        <is>
          <t>Maund</t>
        </is>
      </c>
      <c r="J171" s="76" t="n">
        <v>1138.8</v>
      </c>
      <c r="K171" s="76" t="n">
        <v>1185.69</v>
      </c>
      <c r="L171" s="75" t="n">
        <v>3.3</v>
      </c>
      <c r="M171" s="67" t="inlineStr">
        <is>
          <t>Maund</t>
        </is>
      </c>
      <c r="N171" s="76" t="n">
        <v>123.16</v>
      </c>
      <c r="O171" s="67" t="n"/>
      <c r="P171" s="68" t="n"/>
    </row>
    <row r="172" ht="19.5" customHeight="1" s="45">
      <c r="B172" s="74" t="inlineStr">
        <is>
          <t>PO-0168</t>
        </is>
      </c>
      <c r="C172" s="67" t="inlineStr">
        <is>
          <t>M3-A-02</t>
        </is>
      </c>
      <c r="D172" s="67" t="inlineStr">
        <is>
          <t>M3</t>
        </is>
      </c>
      <c r="E172" s="67" t="inlineStr">
        <is>
          <t>Aratdar</t>
        </is>
      </c>
      <c r="F172" s="67" t="inlineStr">
        <is>
          <t>S02</t>
        </is>
      </c>
      <c r="G172" s="75" t="n">
        <v>48250</v>
      </c>
      <c r="H172" s="75" t="n">
        <v>49750</v>
      </c>
      <c r="I172" s="67" t="inlineStr">
        <is>
          <t>Maund</t>
        </is>
      </c>
      <c r="J172" s="76" t="n">
        <v>1292.87</v>
      </c>
      <c r="K172" s="76" t="n">
        <v>1333.07</v>
      </c>
      <c r="L172" s="75" t="n">
        <v>6.5</v>
      </c>
      <c r="M172" s="67" t="inlineStr">
        <is>
          <t>Maund</t>
        </is>
      </c>
      <c r="N172" s="76" t="n">
        <v>242.58</v>
      </c>
      <c r="O172" s="67" t="n"/>
      <c r="P172" s="68" t="n"/>
    </row>
    <row r="173" ht="19.5" customHeight="1" s="45">
      <c r="B173" s="74" t="inlineStr">
        <is>
          <t>PO-0169</t>
        </is>
      </c>
      <c r="C173" s="67" t="inlineStr">
        <is>
          <t>M3-A-02</t>
        </is>
      </c>
      <c r="D173" s="67" t="inlineStr">
        <is>
          <t>M3</t>
        </is>
      </c>
      <c r="E173" s="67" t="inlineStr">
        <is>
          <t>Aratdar</t>
        </is>
      </c>
      <c r="F173" s="67" t="inlineStr">
        <is>
          <t>S03</t>
        </is>
      </c>
      <c r="G173" s="75" t="n">
        <v>31250</v>
      </c>
      <c r="H173" s="75" t="n">
        <v>33000</v>
      </c>
      <c r="I173" s="67" t="inlineStr">
        <is>
          <t>Maund</t>
        </is>
      </c>
      <c r="J173" s="76" t="n">
        <v>837.35</v>
      </c>
      <c r="K173" s="76" t="n">
        <v>884.24</v>
      </c>
      <c r="L173" s="75" t="n">
        <v>4.2</v>
      </c>
      <c r="M173" s="67" t="inlineStr">
        <is>
          <t>Maund</t>
        </is>
      </c>
      <c r="N173" s="76" t="n">
        <v>156.74</v>
      </c>
      <c r="O173" s="67" t="n"/>
      <c r="P173" s="68" t="n"/>
    </row>
    <row r="174" ht="19.5" customHeight="1" s="45">
      <c r="B174" s="74" t="inlineStr">
        <is>
          <t>PO-0170</t>
        </is>
      </c>
      <c r="C174" s="67" t="inlineStr">
        <is>
          <t>M3-A-02</t>
        </is>
      </c>
      <c r="D174" s="67" t="inlineStr">
        <is>
          <t>M3</t>
        </is>
      </c>
      <c r="E174" s="67" t="inlineStr">
        <is>
          <t>Aratdar</t>
        </is>
      </c>
      <c r="F174" s="67" t="inlineStr">
        <is>
          <t>S04</t>
        </is>
      </c>
      <c r="G174" s="75" t="n">
        <v>27250</v>
      </c>
      <c r="H174" s="75" t="n">
        <v>28250</v>
      </c>
      <c r="I174" s="67" t="inlineStr">
        <is>
          <t>Maund</t>
        </is>
      </c>
      <c r="J174" s="76" t="n">
        <v>730.17</v>
      </c>
      <c r="K174" s="76" t="n">
        <v>756.97</v>
      </c>
      <c r="L174" s="75" t="n">
        <v>6.6</v>
      </c>
      <c r="M174" s="67" t="inlineStr">
        <is>
          <t>Maund</t>
        </is>
      </c>
      <c r="N174" s="76" t="n">
        <v>246.31</v>
      </c>
      <c r="O174" s="67" t="inlineStr">
        <is>
          <t>PAIR-M3-01</t>
        </is>
      </c>
      <c r="P174" s="68" t="n"/>
    </row>
    <row r="175" ht="19.5" customHeight="1" s="45">
      <c r="B175" s="74" t="inlineStr">
        <is>
          <t>PO-0171</t>
        </is>
      </c>
      <c r="C175" s="67" t="inlineStr">
        <is>
          <t>M3-A-02</t>
        </is>
      </c>
      <c r="D175" s="67" t="inlineStr">
        <is>
          <t>M3</t>
        </is>
      </c>
      <c r="E175" s="67" t="inlineStr">
        <is>
          <t>Aratdar</t>
        </is>
      </c>
      <c r="F175" s="67" t="inlineStr">
        <is>
          <t>S05</t>
        </is>
      </c>
      <c r="G175" s="75" t="n">
        <v>17500</v>
      </c>
      <c r="H175" s="75" t="n">
        <v>18250</v>
      </c>
      <c r="I175" s="67" t="inlineStr">
        <is>
          <t>Maund</t>
        </is>
      </c>
      <c r="J175" s="76" t="n">
        <v>468.92</v>
      </c>
      <c r="K175" s="76" t="n">
        <v>489.01</v>
      </c>
      <c r="L175" s="75" t="n">
        <v>6.5</v>
      </c>
      <c r="M175" s="67" t="inlineStr">
        <is>
          <t>Maund</t>
        </is>
      </c>
      <c r="N175" s="76" t="n">
        <v>242.58</v>
      </c>
      <c r="O175" s="67" t="n"/>
      <c r="P175" s="68" t="n"/>
    </row>
    <row r="176" ht="19.5" customHeight="1" s="45">
      <c r="B176" s="74" t="inlineStr">
        <is>
          <t>PO-0172</t>
        </is>
      </c>
      <c r="C176" s="67" t="inlineStr">
        <is>
          <t>M3-A-03</t>
        </is>
      </c>
      <c r="D176" s="67" t="inlineStr">
        <is>
          <t>M3</t>
        </is>
      </c>
      <c r="E176" s="67" t="inlineStr">
        <is>
          <t>Aratdar</t>
        </is>
      </c>
      <c r="F176" s="67" t="inlineStr">
        <is>
          <t>S02</t>
        </is>
      </c>
      <c r="G176" s="75" t="n">
        <v>44750</v>
      </c>
      <c r="H176" s="75" t="n">
        <v>47000</v>
      </c>
      <c r="I176" s="67" t="inlineStr">
        <is>
          <t>Maund</t>
        </is>
      </c>
      <c r="J176" s="76" t="n">
        <v>1199.09</v>
      </c>
      <c r="K176" s="76" t="n">
        <v>1259.38</v>
      </c>
      <c r="L176" s="75" t="n">
        <v>6.8</v>
      </c>
      <c r="M176" s="67" t="inlineStr">
        <is>
          <t>Maund</t>
        </is>
      </c>
      <c r="N176" s="76" t="n">
        <v>253.78</v>
      </c>
      <c r="O176" s="67" t="n"/>
      <c r="P176" s="68" t="n"/>
    </row>
    <row r="177" ht="19.5" customHeight="1" s="45">
      <c r="B177" s="74" t="inlineStr">
        <is>
          <t>PO-0173</t>
        </is>
      </c>
      <c r="C177" s="67" t="inlineStr">
        <is>
          <t>M3-A-03</t>
        </is>
      </c>
      <c r="D177" s="67" t="inlineStr">
        <is>
          <t>M3</t>
        </is>
      </c>
      <c r="E177" s="67" t="inlineStr">
        <is>
          <t>Aratdar</t>
        </is>
      </c>
      <c r="F177" s="67" t="inlineStr">
        <is>
          <t>S03</t>
        </is>
      </c>
      <c r="G177" s="75" t="n">
        <v>31750</v>
      </c>
      <c r="H177" s="75" t="n">
        <v>33500</v>
      </c>
      <c r="I177" s="67" t="inlineStr">
        <is>
          <t>Maund</t>
        </is>
      </c>
      <c r="J177" s="76" t="n">
        <v>850.75</v>
      </c>
      <c r="K177" s="76" t="n">
        <v>897.64</v>
      </c>
      <c r="L177" s="75" t="n">
        <v>6.1</v>
      </c>
      <c r="M177" s="67" t="inlineStr">
        <is>
          <t>Maund</t>
        </is>
      </c>
      <c r="N177" s="76" t="n">
        <v>227.65</v>
      </c>
      <c r="O177" s="67" t="n"/>
      <c r="P177" s="68" t="n"/>
    </row>
    <row r="178" ht="19.5" customHeight="1" s="45">
      <c r="B178" s="74" t="inlineStr">
        <is>
          <t>PO-0174</t>
        </is>
      </c>
      <c r="C178" s="67" t="inlineStr">
        <is>
          <t>M3-A-03</t>
        </is>
      </c>
      <c r="D178" s="67" t="inlineStr">
        <is>
          <t>M3</t>
        </is>
      </c>
      <c r="E178" s="67" t="inlineStr">
        <is>
          <t>Aratdar</t>
        </is>
      </c>
      <c r="F178" s="67" t="inlineStr">
        <is>
          <t>S05</t>
        </is>
      </c>
      <c r="G178" s="75" t="n">
        <v>16500</v>
      </c>
      <c r="H178" s="75" t="inlineStr">
        <is>
          <t>D</t>
        </is>
      </c>
      <c r="I178" s="67" t="inlineStr">
        <is>
          <t>Maund</t>
        </is>
      </c>
      <c r="J178" s="76" t="n">
        <v>442.12</v>
      </c>
      <c r="K178" s="76" t="n"/>
      <c r="L178" s="75" t="n">
        <v>5.6</v>
      </c>
      <c r="M178" s="67" t="inlineStr">
        <is>
          <t>Maund</t>
        </is>
      </c>
      <c r="N178" s="76" t="n">
        <v>208.99</v>
      </c>
      <c r="O178" s="67" t="n"/>
      <c r="P178" s="68" t="n"/>
    </row>
    <row r="179" ht="19.5" customHeight="1" s="45">
      <c r="B179" s="74" t="inlineStr">
        <is>
          <t>PO-0175</t>
        </is>
      </c>
      <c r="C179" s="67" t="inlineStr">
        <is>
          <t>M3-A-03</t>
        </is>
      </c>
      <c r="D179" s="67" t="inlineStr">
        <is>
          <t>M3</t>
        </is>
      </c>
      <c r="E179" s="67" t="inlineStr">
        <is>
          <t>Aratdar</t>
        </is>
      </c>
      <c r="F179" s="67" t="inlineStr">
        <is>
          <t>S06</t>
        </is>
      </c>
      <c r="G179" s="75" t="n">
        <v>13500</v>
      </c>
      <c r="H179" s="75" t="n">
        <v>14250</v>
      </c>
      <c r="I179" s="67" t="inlineStr">
        <is>
          <t>Maund</t>
        </is>
      </c>
      <c r="J179" s="76" t="n">
        <v>361.74</v>
      </c>
      <c r="K179" s="76" t="n">
        <v>381.83</v>
      </c>
      <c r="L179" s="75" t="n">
        <v>4.5</v>
      </c>
      <c r="M179" s="67" t="inlineStr">
        <is>
          <t>Maund</t>
        </is>
      </c>
      <c r="N179" s="76" t="n">
        <v>167.94</v>
      </c>
      <c r="O179" s="67" t="n"/>
      <c r="P179" s="68" t="n"/>
    </row>
    <row r="180" ht="19.5" customHeight="1" s="45">
      <c r="B180" s="74" t="inlineStr">
        <is>
          <t>PO-0176</t>
        </is>
      </c>
      <c r="C180" s="67" t="inlineStr">
        <is>
          <t>M3-A-03</t>
        </is>
      </c>
      <c r="D180" s="67" t="inlineStr">
        <is>
          <t>M3</t>
        </is>
      </c>
      <c r="E180" s="67" t="inlineStr">
        <is>
          <t>Aratdar</t>
        </is>
      </c>
      <c r="F180" s="67" t="inlineStr">
        <is>
          <t>S07</t>
        </is>
      </c>
      <c r="G180" s="75" t="n">
        <v>14500</v>
      </c>
      <c r="H180" s="75" t="n">
        <v>15250</v>
      </c>
      <c r="I180" s="67" t="inlineStr">
        <is>
          <t>Maund</t>
        </is>
      </c>
      <c r="J180" s="76" t="n">
        <v>388.53</v>
      </c>
      <c r="K180" s="76" t="n">
        <v>408.63</v>
      </c>
      <c r="L180" s="75" t="n">
        <v>3.3</v>
      </c>
      <c r="M180" s="67" t="inlineStr">
        <is>
          <t>Maund</t>
        </is>
      </c>
      <c r="N180" s="76" t="n">
        <v>123.16</v>
      </c>
      <c r="O180" s="67" t="n"/>
      <c r="P180" s="68" t="n"/>
    </row>
    <row r="181" ht="19.5" customHeight="1" s="45">
      <c r="B181" s="74" t="inlineStr">
        <is>
          <t>PO-0177</t>
        </is>
      </c>
      <c r="C181" s="67" t="inlineStr">
        <is>
          <t>M3-A-03</t>
        </is>
      </c>
      <c r="D181" s="67" t="inlineStr">
        <is>
          <t>M3</t>
        </is>
      </c>
      <c r="E181" s="67" t="inlineStr">
        <is>
          <t>Aratdar</t>
        </is>
      </c>
      <c r="F181" s="67" t="inlineStr">
        <is>
          <t>S10</t>
        </is>
      </c>
      <c r="G181" s="75" t="inlineStr">
        <is>
          <t>K</t>
        </is>
      </c>
      <c r="H181" s="75" t="inlineStr">
        <is>
          <t>K</t>
        </is>
      </c>
      <c r="I181" s="67" t="n"/>
      <c r="J181" s="76" t="n"/>
      <c r="K181" s="76" t="n"/>
      <c r="L181" s="75" t="n"/>
      <c r="M181" s="67" t="n"/>
      <c r="N181" s="76" t="n"/>
      <c r="O181" s="67" t="n"/>
      <c r="P181" s="68" t="inlineStr">
        <is>
          <t>Species not handled today</t>
        </is>
      </c>
    </row>
    <row r="182" ht="19.5" customHeight="1" s="45">
      <c r="B182" s="74" t="inlineStr">
        <is>
          <t>PO-0178</t>
        </is>
      </c>
      <c r="C182" s="67" t="inlineStr">
        <is>
          <t>M3-A-03</t>
        </is>
      </c>
      <c r="D182" s="67" t="inlineStr">
        <is>
          <t>M3</t>
        </is>
      </c>
      <c r="E182" s="67" t="inlineStr">
        <is>
          <t>Aratdar</t>
        </is>
      </c>
      <c r="F182" s="67" t="inlineStr">
        <is>
          <t>S01</t>
        </is>
      </c>
      <c r="G182" s="75" t="inlineStr">
        <is>
          <t>K</t>
        </is>
      </c>
      <c r="H182" s="75" t="inlineStr">
        <is>
          <t>K</t>
        </is>
      </c>
      <c r="I182" s="67" t="n"/>
      <c r="J182" s="76" t="n"/>
      <c r="K182" s="76" t="n"/>
      <c r="L182" s="75" t="n"/>
      <c r="M182" s="67" t="n"/>
      <c r="N182" s="76" t="n"/>
      <c r="O182" s="67" t="n"/>
      <c r="P182" s="68" t="inlineStr">
        <is>
          <t>Species not handled today</t>
        </is>
      </c>
    </row>
    <row r="183" ht="19.5" customHeight="1" s="45">
      <c r="B183" s="74" t="inlineStr">
        <is>
          <t>PO-0179</t>
        </is>
      </c>
      <c r="C183" s="67" t="inlineStr">
        <is>
          <t>M3-A-04</t>
        </is>
      </c>
      <c r="D183" s="67" t="inlineStr">
        <is>
          <t>M3</t>
        </is>
      </c>
      <c r="E183" s="67" t="inlineStr">
        <is>
          <t>Aratdar</t>
        </is>
      </c>
      <c r="F183" s="67" t="inlineStr">
        <is>
          <t>S01</t>
        </is>
      </c>
      <c r="G183" s="75" t="n">
        <v>43750</v>
      </c>
      <c r="H183" s="75" t="n">
        <v>45250</v>
      </c>
      <c r="I183" s="67" t="inlineStr">
        <is>
          <t>Maund</t>
        </is>
      </c>
      <c r="J183" s="76" t="n">
        <v>1172.29</v>
      </c>
      <c r="K183" s="76" t="n">
        <v>1212.49</v>
      </c>
      <c r="L183" s="75" t="n">
        <v>2.7</v>
      </c>
      <c r="M183" s="67" t="inlineStr">
        <is>
          <t>Maund</t>
        </is>
      </c>
      <c r="N183" s="76" t="n">
        <v>100.76</v>
      </c>
      <c r="O183" s="67" t="n"/>
      <c r="P183" s="68" t="n"/>
    </row>
    <row r="184" ht="19.5" customHeight="1" s="45">
      <c r="B184" s="74" t="inlineStr">
        <is>
          <t>PO-0180</t>
        </is>
      </c>
      <c r="C184" s="67" t="inlineStr">
        <is>
          <t>M3-A-04</t>
        </is>
      </c>
      <c r="D184" s="67" t="inlineStr">
        <is>
          <t>M3</t>
        </is>
      </c>
      <c r="E184" s="67" t="inlineStr">
        <is>
          <t>Aratdar</t>
        </is>
      </c>
      <c r="F184" s="67" t="inlineStr">
        <is>
          <t>S02</t>
        </is>
      </c>
      <c r="G184" s="75" t="n">
        <v>46000</v>
      </c>
      <c r="H184" s="75" t="n">
        <v>48500</v>
      </c>
      <c r="I184" s="67" t="inlineStr">
        <is>
          <t>Maund</t>
        </is>
      </c>
      <c r="J184" s="76" t="n">
        <v>1232.58</v>
      </c>
      <c r="K184" s="76" t="n">
        <v>1299.57</v>
      </c>
      <c r="L184" s="75" t="n">
        <v>2.7</v>
      </c>
      <c r="M184" s="67" t="inlineStr">
        <is>
          <t>Maund</t>
        </is>
      </c>
      <c r="N184" s="76" t="n">
        <v>100.76</v>
      </c>
      <c r="O184" s="67" t="n"/>
      <c r="P184" s="68" t="n"/>
    </row>
    <row r="185" ht="19.5" customHeight="1" s="45">
      <c r="B185" s="74" t="inlineStr">
        <is>
          <t>PO-0181</t>
        </is>
      </c>
      <c r="C185" s="67" t="inlineStr">
        <is>
          <t>M3-A-04</t>
        </is>
      </c>
      <c r="D185" s="67" t="inlineStr">
        <is>
          <t>M3</t>
        </is>
      </c>
      <c r="E185" s="67" t="inlineStr">
        <is>
          <t>Aratdar</t>
        </is>
      </c>
      <c r="F185" s="67" t="inlineStr">
        <is>
          <t>S03</t>
        </is>
      </c>
      <c r="G185" s="75" t="n">
        <v>29000</v>
      </c>
      <c r="H185" s="75" t="n">
        <v>30250</v>
      </c>
      <c r="I185" s="67" t="inlineStr">
        <is>
          <t>Maund</t>
        </is>
      </c>
      <c r="J185" s="76" t="n">
        <v>777.0599999999999</v>
      </c>
      <c r="K185" s="76" t="n">
        <v>810.5599999999999</v>
      </c>
      <c r="L185" s="75" t="n">
        <v>4.7</v>
      </c>
      <c r="M185" s="67" t="inlineStr">
        <is>
          <t>Maund</t>
        </is>
      </c>
      <c r="N185" s="76" t="n">
        <v>175.4</v>
      </c>
      <c r="O185" s="67" t="n"/>
      <c r="P185" s="68" t="n"/>
    </row>
    <row r="186" ht="19.5" customHeight="1" s="45">
      <c r="B186" s="74" t="inlineStr">
        <is>
          <t>PO-0182</t>
        </is>
      </c>
      <c r="C186" s="67" t="inlineStr">
        <is>
          <t>M3-A-04</t>
        </is>
      </c>
      <c r="D186" s="67" t="inlineStr">
        <is>
          <t>M3</t>
        </is>
      </c>
      <c r="E186" s="67" t="inlineStr">
        <is>
          <t>Aratdar</t>
        </is>
      </c>
      <c r="F186" s="67" t="inlineStr">
        <is>
          <t>S04</t>
        </is>
      </c>
      <c r="G186" s="75" t="inlineStr">
        <is>
          <t>K</t>
        </is>
      </c>
      <c r="H186" s="75" t="n">
        <v>25750</v>
      </c>
      <c r="I186" s="67" t="inlineStr">
        <is>
          <t>Maund</t>
        </is>
      </c>
      <c r="J186" s="76" t="n"/>
      <c r="K186" s="76" t="n">
        <v>689.98</v>
      </c>
      <c r="L186" s="75" t="n">
        <v>4.2</v>
      </c>
      <c r="M186" s="67" t="inlineStr">
        <is>
          <t>Maund</t>
        </is>
      </c>
      <c r="N186" s="76" t="n">
        <v>156.74</v>
      </c>
      <c r="O186" s="67" t="n"/>
      <c r="P186" s="68" t="n"/>
    </row>
    <row r="187" ht="19.5" customHeight="1" s="45">
      <c r="B187" s="74" t="inlineStr">
        <is>
          <t>PO-0183</t>
        </is>
      </c>
      <c r="C187" s="67" t="inlineStr">
        <is>
          <t>M3-A-04</t>
        </is>
      </c>
      <c r="D187" s="67" t="inlineStr">
        <is>
          <t>M3</t>
        </is>
      </c>
      <c r="E187" s="67" t="inlineStr">
        <is>
          <t>Aratdar</t>
        </is>
      </c>
      <c r="F187" s="67" t="inlineStr">
        <is>
          <t>S05</t>
        </is>
      </c>
      <c r="G187" s="75" t="n">
        <v>17000</v>
      </c>
      <c r="H187" s="75" t="n">
        <v>17750</v>
      </c>
      <c r="I187" s="67" t="inlineStr">
        <is>
          <t>Maund</t>
        </is>
      </c>
      <c r="J187" s="76" t="n">
        <v>455.52</v>
      </c>
      <c r="K187" s="76" t="n">
        <v>475.62</v>
      </c>
      <c r="L187" s="75" t="n">
        <v>4.3</v>
      </c>
      <c r="M187" s="67" t="inlineStr">
        <is>
          <t>Maund</t>
        </is>
      </c>
      <c r="N187" s="76" t="n">
        <v>160.48</v>
      </c>
      <c r="O187" s="67" t="n"/>
      <c r="P187" s="68" t="n"/>
    </row>
    <row r="188" ht="19.5" customHeight="1" s="45">
      <c r="B188" s="74" t="inlineStr">
        <is>
          <t>PO-0184</t>
        </is>
      </c>
      <c r="C188" s="67" t="inlineStr">
        <is>
          <t>M3-A-04</t>
        </is>
      </c>
      <c r="D188" s="67" t="inlineStr">
        <is>
          <t>M3</t>
        </is>
      </c>
      <c r="E188" s="67" t="inlineStr">
        <is>
          <t>Aratdar</t>
        </is>
      </c>
      <c r="F188" s="67" t="inlineStr">
        <is>
          <t>S06</t>
        </is>
      </c>
      <c r="G188" s="75" t="inlineStr">
        <is>
          <t>K</t>
        </is>
      </c>
      <c r="H188" s="75" t="inlineStr">
        <is>
          <t>K</t>
        </is>
      </c>
      <c r="I188" s="67" t="n"/>
      <c r="J188" s="76" t="n"/>
      <c r="K188" s="76" t="n"/>
      <c r="L188" s="75" t="n"/>
      <c r="M188" s="67" t="n"/>
      <c r="N188" s="76" t="n"/>
      <c r="O188" s="67" t="n"/>
      <c r="P188" s="68" t="inlineStr">
        <is>
          <t>Species not handled today</t>
        </is>
      </c>
    </row>
    <row r="189" ht="19.5" customHeight="1" s="45">
      <c r="B189" s="74" t="inlineStr">
        <is>
          <t>PO-0185</t>
        </is>
      </c>
      <c r="C189" s="67" t="inlineStr">
        <is>
          <t>M3-A-05</t>
        </is>
      </c>
      <c r="D189" s="67" t="inlineStr">
        <is>
          <t>M3</t>
        </is>
      </c>
      <c r="E189" s="67" t="inlineStr">
        <is>
          <t>Aratdar</t>
        </is>
      </c>
      <c r="F189" s="67" t="inlineStr">
        <is>
          <t>S01</t>
        </is>
      </c>
      <c r="G189" s="75" t="n">
        <v>42750</v>
      </c>
      <c r="H189" s="75" t="n">
        <v>44500</v>
      </c>
      <c r="I189" s="67" t="inlineStr">
        <is>
          <t>Maund</t>
        </is>
      </c>
      <c r="J189" s="76" t="n">
        <v>1145.5</v>
      </c>
      <c r="K189" s="76" t="n">
        <v>1192.39</v>
      </c>
      <c r="L189" s="75" t="n">
        <v>4.6</v>
      </c>
      <c r="M189" s="67" t="inlineStr">
        <is>
          <t>Maund</t>
        </is>
      </c>
      <c r="N189" s="76" t="n">
        <v>171.67</v>
      </c>
      <c r="O189" s="67" t="n"/>
      <c r="P189" s="68" t="n"/>
    </row>
    <row r="190" ht="19.5" customHeight="1" s="45">
      <c r="B190" s="74" t="inlineStr">
        <is>
          <t>PO-0186</t>
        </is>
      </c>
      <c r="C190" s="67" t="inlineStr">
        <is>
          <t>M3-A-05</t>
        </is>
      </c>
      <c r="D190" s="67" t="inlineStr">
        <is>
          <t>M3</t>
        </is>
      </c>
      <c r="E190" s="67" t="inlineStr">
        <is>
          <t>Aratdar</t>
        </is>
      </c>
      <c r="F190" s="67" t="inlineStr">
        <is>
          <t>S02</t>
        </is>
      </c>
      <c r="G190" s="75" t="n">
        <v>46500</v>
      </c>
      <c r="H190" s="75" t="n">
        <v>48500</v>
      </c>
      <c r="I190" s="67" t="inlineStr">
        <is>
          <t>Maund</t>
        </is>
      </c>
      <c r="J190" s="76" t="n">
        <v>1245.98</v>
      </c>
      <c r="K190" s="76" t="n">
        <v>1299.57</v>
      </c>
      <c r="L190" s="75" t="n">
        <v>3.1</v>
      </c>
      <c r="M190" s="67" t="inlineStr">
        <is>
          <t>Maund</t>
        </is>
      </c>
      <c r="N190" s="76" t="n">
        <v>115.69</v>
      </c>
      <c r="O190" s="67" t="inlineStr">
        <is>
          <t>PAIR-M3-02</t>
        </is>
      </c>
      <c r="P190" s="68" t="n"/>
    </row>
    <row r="191" ht="19.5" customHeight="1" s="45">
      <c r="B191" s="74" t="inlineStr">
        <is>
          <t>PO-0187</t>
        </is>
      </c>
      <c r="C191" s="67" t="inlineStr">
        <is>
          <t>M3-A-05</t>
        </is>
      </c>
      <c r="D191" s="67" t="inlineStr">
        <is>
          <t>M3</t>
        </is>
      </c>
      <c r="E191" s="67" t="inlineStr">
        <is>
          <t>Aratdar</t>
        </is>
      </c>
      <c r="F191" s="67" t="inlineStr">
        <is>
          <t>S03</t>
        </is>
      </c>
      <c r="G191" s="75" t="n">
        <v>31750</v>
      </c>
      <c r="H191" s="75" t="inlineStr">
        <is>
          <t>D</t>
        </is>
      </c>
      <c r="I191" s="67" t="inlineStr">
        <is>
          <t>Maund</t>
        </is>
      </c>
      <c r="J191" s="76" t="n">
        <v>850.75</v>
      </c>
      <c r="K191" s="76" t="n"/>
      <c r="L191" s="75" t="n">
        <v>3.7</v>
      </c>
      <c r="M191" s="67" t="inlineStr">
        <is>
          <t>Maund</t>
        </is>
      </c>
      <c r="N191" s="76" t="n">
        <v>138.08</v>
      </c>
      <c r="O191" s="67" t="n"/>
      <c r="P191" s="68" t="n"/>
    </row>
    <row r="192" ht="19.5" customHeight="1" s="45">
      <c r="B192" s="74" t="inlineStr">
        <is>
          <t>PO-0188</t>
        </is>
      </c>
      <c r="C192" s="67" t="inlineStr">
        <is>
          <t>M3-A-05</t>
        </is>
      </c>
      <c r="D192" s="67" t="inlineStr">
        <is>
          <t>M3</t>
        </is>
      </c>
      <c r="E192" s="67" t="inlineStr">
        <is>
          <t>Aratdar</t>
        </is>
      </c>
      <c r="F192" s="67" t="inlineStr">
        <is>
          <t>S05</t>
        </is>
      </c>
      <c r="G192" s="75" t="n">
        <v>16000</v>
      </c>
      <c r="H192" s="75" t="n">
        <v>16750</v>
      </c>
      <c r="I192" s="67" t="inlineStr">
        <is>
          <t>Maund</t>
        </is>
      </c>
      <c r="J192" s="76" t="n">
        <v>428.72</v>
      </c>
      <c r="K192" s="76" t="n">
        <v>448.82</v>
      </c>
      <c r="L192" s="75" t="n">
        <v>5.4</v>
      </c>
      <c r="M192" s="67" t="inlineStr">
        <is>
          <t>Maund</t>
        </is>
      </c>
      <c r="N192" s="76" t="n">
        <v>201.53</v>
      </c>
      <c r="O192" s="67" t="n"/>
      <c r="P192" s="68" t="n"/>
    </row>
    <row r="193" ht="19.5" customHeight="1" s="45">
      <c r="B193" s="74" t="inlineStr">
        <is>
          <t>PO-0189</t>
        </is>
      </c>
      <c r="C193" s="67" t="inlineStr">
        <is>
          <t>M3-A-05</t>
        </is>
      </c>
      <c r="D193" s="67" t="inlineStr">
        <is>
          <t>M3</t>
        </is>
      </c>
      <c r="E193" s="67" t="inlineStr">
        <is>
          <t>Aratdar</t>
        </is>
      </c>
      <c r="F193" s="67" t="inlineStr">
        <is>
          <t>S06</t>
        </is>
      </c>
      <c r="G193" s="75" t="n">
        <v>13000</v>
      </c>
      <c r="H193" s="75" t="n">
        <v>13500</v>
      </c>
      <c r="I193" s="67" t="inlineStr">
        <is>
          <t>Maund</t>
        </is>
      </c>
      <c r="J193" s="76" t="n">
        <v>348.34</v>
      </c>
      <c r="K193" s="76" t="n">
        <v>361.74</v>
      </c>
      <c r="L193" s="75" t="n">
        <v>7.5</v>
      </c>
      <c r="M193" s="67" t="inlineStr">
        <is>
          <t>Maund</t>
        </is>
      </c>
      <c r="N193" s="76" t="n">
        <v>279.9</v>
      </c>
      <c r="O193" s="67" t="n"/>
      <c r="P193" s="68" t="n"/>
    </row>
    <row r="194" ht="19.5" customHeight="1" s="45">
      <c r="B194" s="74" t="inlineStr">
        <is>
          <t>PO-0190</t>
        </is>
      </c>
      <c r="C194" s="67" t="inlineStr">
        <is>
          <t>M3-B-01</t>
        </is>
      </c>
      <c r="D194" s="67" t="inlineStr">
        <is>
          <t>M3</t>
        </is>
      </c>
      <c r="E194" s="67" t="inlineStr">
        <is>
          <t>Bepari_Faria</t>
        </is>
      </c>
      <c r="F194" s="67" t="inlineStr">
        <is>
          <t>S01</t>
        </is>
      </c>
      <c r="G194" s="75" t="n">
        <v>43000</v>
      </c>
      <c r="H194" s="75" t="n">
        <v>47000</v>
      </c>
      <c r="I194" s="67" t="inlineStr">
        <is>
          <t>Maund</t>
        </is>
      </c>
      <c r="J194" s="76" t="n">
        <v>1152.2</v>
      </c>
      <c r="K194" s="76" t="n">
        <v>1259.38</v>
      </c>
      <c r="L194" s="75" t="n">
        <v>0.6</v>
      </c>
      <c r="M194" s="67" t="inlineStr">
        <is>
          <t>Maund</t>
        </is>
      </c>
      <c r="N194" s="76" t="n">
        <v>22.39</v>
      </c>
      <c r="O194" s="67" t="n"/>
      <c r="P194" s="68" t="n"/>
    </row>
    <row r="195" ht="19.5" customHeight="1" s="45">
      <c r="B195" s="74" t="inlineStr">
        <is>
          <t>PO-0191</t>
        </is>
      </c>
      <c r="C195" s="67" t="inlineStr">
        <is>
          <t>M3-B-01</t>
        </is>
      </c>
      <c r="D195" s="67" t="inlineStr">
        <is>
          <t>M3</t>
        </is>
      </c>
      <c r="E195" s="67" t="inlineStr">
        <is>
          <t>Bepari_Faria</t>
        </is>
      </c>
      <c r="F195" s="67" t="inlineStr">
        <is>
          <t>S02</t>
        </is>
      </c>
      <c r="G195" s="75" t="n">
        <v>51000</v>
      </c>
      <c r="H195" s="75" t="inlineStr">
        <is>
          <t>D</t>
        </is>
      </c>
      <c r="I195" s="67" t="inlineStr">
        <is>
          <t>Maund</t>
        </is>
      </c>
      <c r="J195" s="76" t="n">
        <v>1366.56</v>
      </c>
      <c r="K195" s="76" t="n"/>
      <c r="L195" s="75" t="n">
        <v>0.5</v>
      </c>
      <c r="M195" s="67" t="inlineStr">
        <is>
          <t>Maund</t>
        </is>
      </c>
      <c r="N195" s="76" t="n">
        <v>18.66</v>
      </c>
      <c r="O195" s="67" t="n"/>
      <c r="P195" s="68" t="n"/>
    </row>
    <row r="196" ht="19.5" customHeight="1" s="45">
      <c r="B196" s="74" t="inlineStr">
        <is>
          <t>PO-0192</t>
        </is>
      </c>
      <c r="C196" s="67" t="inlineStr">
        <is>
          <t>M3-B-01</t>
        </is>
      </c>
      <c r="D196" s="67" t="inlineStr">
        <is>
          <t>M3</t>
        </is>
      </c>
      <c r="E196" s="67" t="inlineStr">
        <is>
          <t>Bepari_Faria</t>
        </is>
      </c>
      <c r="F196" s="67" t="inlineStr">
        <is>
          <t>S05</t>
        </is>
      </c>
      <c r="G196" s="75" t="n">
        <v>17250</v>
      </c>
      <c r="H196" s="75" t="n">
        <v>18750</v>
      </c>
      <c r="I196" s="67" t="inlineStr">
        <is>
          <t>Maund</t>
        </is>
      </c>
      <c r="J196" s="76" t="n">
        <v>462.22</v>
      </c>
      <c r="K196" s="76" t="n">
        <v>502.41</v>
      </c>
      <c r="L196" s="75" t="n">
        <v>0.9</v>
      </c>
      <c r="M196" s="67" t="inlineStr">
        <is>
          <t>Maund</t>
        </is>
      </c>
      <c r="N196" s="76" t="n">
        <v>33.59</v>
      </c>
      <c r="O196" s="67" t="n"/>
      <c r="P196" s="68" t="n"/>
    </row>
    <row r="197" ht="19.5" customHeight="1" s="45">
      <c r="B197" s="74" t="inlineStr">
        <is>
          <t>PO-0193</t>
        </is>
      </c>
      <c r="C197" s="67" t="inlineStr">
        <is>
          <t>M3-B-01</t>
        </is>
      </c>
      <c r="D197" s="67" t="inlineStr">
        <is>
          <t>M3</t>
        </is>
      </c>
      <c r="E197" s="67" t="inlineStr">
        <is>
          <t>Bepari_Faria</t>
        </is>
      </c>
      <c r="F197" s="67" t="inlineStr">
        <is>
          <t>S06</t>
        </is>
      </c>
      <c r="G197" s="75" t="n">
        <v>14250</v>
      </c>
      <c r="H197" s="75" t="n">
        <v>15750</v>
      </c>
      <c r="I197" s="67" t="inlineStr">
        <is>
          <t>Maund</t>
        </is>
      </c>
      <c r="J197" s="76" t="n">
        <v>381.83</v>
      </c>
      <c r="K197" s="76" t="n">
        <v>422.03</v>
      </c>
      <c r="L197" s="75" t="n">
        <v>0.9</v>
      </c>
      <c r="M197" s="67" t="inlineStr">
        <is>
          <t>Maund</t>
        </is>
      </c>
      <c r="N197" s="76" t="n">
        <v>33.59</v>
      </c>
      <c r="O197" s="67" t="n"/>
      <c r="P197" s="68" t="n"/>
    </row>
    <row r="198" ht="19.5" customHeight="1" s="45">
      <c r="B198" s="74" t="inlineStr">
        <is>
          <t>PO-0194</t>
        </is>
      </c>
      <c r="C198" s="67" t="inlineStr">
        <is>
          <t>M3-B-01</t>
        </is>
      </c>
      <c r="D198" s="67" t="inlineStr">
        <is>
          <t>M3</t>
        </is>
      </c>
      <c r="E198" s="67" t="inlineStr">
        <is>
          <t>Bepari_Faria</t>
        </is>
      </c>
      <c r="F198" s="67" t="inlineStr">
        <is>
          <t>S07</t>
        </is>
      </c>
      <c r="G198" s="75" t="n">
        <v>15250</v>
      </c>
      <c r="H198" s="75" t="n">
        <v>16500</v>
      </c>
      <c r="I198" s="67" t="inlineStr">
        <is>
          <t>Maund</t>
        </is>
      </c>
      <c r="J198" s="76" t="n">
        <v>408.63</v>
      </c>
      <c r="K198" s="76" t="n">
        <v>442.12</v>
      </c>
      <c r="L198" s="75" t="n">
        <v>0.9</v>
      </c>
      <c r="M198" s="67" t="inlineStr">
        <is>
          <t>Maund</t>
        </is>
      </c>
      <c r="N198" s="76" t="n">
        <v>33.59</v>
      </c>
      <c r="O198" s="67" t="n"/>
      <c r="P198" s="68" t="n"/>
    </row>
    <row r="199" ht="19.5" customHeight="1" s="45">
      <c r="B199" s="74" t="inlineStr">
        <is>
          <t>PO-0195</t>
        </is>
      </c>
      <c r="C199" s="67" t="inlineStr">
        <is>
          <t>M3-B-02</t>
        </is>
      </c>
      <c r="D199" s="67" t="inlineStr">
        <is>
          <t>M3</t>
        </is>
      </c>
      <c r="E199" s="67" t="inlineStr">
        <is>
          <t>Bepari_Faria</t>
        </is>
      </c>
      <c r="F199" s="67" t="inlineStr">
        <is>
          <t>S01</t>
        </is>
      </c>
      <c r="G199" s="75" t="n">
        <v>44000</v>
      </c>
      <c r="H199" s="75" t="n">
        <v>47500</v>
      </c>
      <c r="I199" s="67" t="inlineStr">
        <is>
          <t>Maund</t>
        </is>
      </c>
      <c r="J199" s="76" t="n">
        <v>1178.99</v>
      </c>
      <c r="K199" s="76" t="n">
        <v>1272.78</v>
      </c>
      <c r="L199" s="75" t="n">
        <v>0.6</v>
      </c>
      <c r="M199" s="67" t="inlineStr">
        <is>
          <t>Maund</t>
        </is>
      </c>
      <c r="N199" s="76" t="n">
        <v>22.39</v>
      </c>
      <c r="O199" s="67" t="n"/>
      <c r="P199" s="68" t="n"/>
    </row>
    <row r="200" ht="19.5" customHeight="1" s="45">
      <c r="B200" s="74" t="inlineStr">
        <is>
          <t>PO-0196</t>
        </is>
      </c>
      <c r="C200" s="67" t="inlineStr">
        <is>
          <t>M3-B-02</t>
        </is>
      </c>
      <c r="D200" s="67" t="inlineStr">
        <is>
          <t>M3</t>
        </is>
      </c>
      <c r="E200" s="67" t="inlineStr">
        <is>
          <t>Bepari_Faria</t>
        </is>
      </c>
      <c r="F200" s="67" t="inlineStr">
        <is>
          <t>S02</t>
        </is>
      </c>
      <c r="G200" s="75" t="n">
        <v>45500</v>
      </c>
      <c r="H200" s="75" t="n">
        <v>49500</v>
      </c>
      <c r="I200" s="67" t="inlineStr">
        <is>
          <t>Maund</t>
        </is>
      </c>
      <c r="J200" s="76" t="n">
        <v>1219.19</v>
      </c>
      <c r="K200" s="76" t="n">
        <v>1326.37</v>
      </c>
      <c r="L200" s="75" t="n">
        <v>0.5</v>
      </c>
      <c r="M200" s="67" t="inlineStr">
        <is>
          <t>Maund</t>
        </is>
      </c>
      <c r="N200" s="76" t="n">
        <v>18.66</v>
      </c>
      <c r="O200" s="67" t="n"/>
      <c r="P200" s="68" t="n"/>
    </row>
    <row r="201" ht="19.5" customHeight="1" s="45">
      <c r="B201" s="74" t="inlineStr">
        <is>
          <t>PO-0197</t>
        </is>
      </c>
      <c r="C201" s="67" t="inlineStr">
        <is>
          <t>M3-B-02</t>
        </is>
      </c>
      <c r="D201" s="67" t="inlineStr">
        <is>
          <t>M3</t>
        </is>
      </c>
      <c r="E201" s="67" t="inlineStr">
        <is>
          <t>Bepari_Faria</t>
        </is>
      </c>
      <c r="F201" s="67" t="inlineStr">
        <is>
          <t>S03</t>
        </is>
      </c>
      <c r="G201" s="75" t="n">
        <v>30750</v>
      </c>
      <c r="H201" s="75" t="n">
        <v>33250</v>
      </c>
      <c r="I201" s="67" t="inlineStr">
        <is>
          <t>Maund</t>
        </is>
      </c>
      <c r="J201" s="76" t="n">
        <v>823.95</v>
      </c>
      <c r="K201" s="76" t="n">
        <v>890.9400000000001</v>
      </c>
      <c r="L201" s="75" t="n">
        <v>0.6</v>
      </c>
      <c r="M201" s="67" t="inlineStr">
        <is>
          <t>Maund</t>
        </is>
      </c>
      <c r="N201" s="76" t="n">
        <v>22.39</v>
      </c>
      <c r="O201" s="67" t="n"/>
      <c r="P201" s="68" t="n"/>
    </row>
    <row r="202" ht="19.5" customHeight="1" s="45">
      <c r="B202" s="74" t="inlineStr">
        <is>
          <t>PO-0198</t>
        </is>
      </c>
      <c r="C202" s="67" t="inlineStr">
        <is>
          <t>M3-B-02</t>
        </is>
      </c>
      <c r="D202" s="67" t="inlineStr">
        <is>
          <t>M3</t>
        </is>
      </c>
      <c r="E202" s="67" t="inlineStr">
        <is>
          <t>Bepari_Faria</t>
        </is>
      </c>
      <c r="F202" s="67" t="inlineStr">
        <is>
          <t>S04</t>
        </is>
      </c>
      <c r="G202" s="75" t="n">
        <v>27500</v>
      </c>
      <c r="H202" s="75" t="n">
        <v>30250</v>
      </c>
      <c r="I202" s="67" t="inlineStr">
        <is>
          <t>Maund</t>
        </is>
      </c>
      <c r="J202" s="76" t="n">
        <v>736.87</v>
      </c>
      <c r="K202" s="76" t="n">
        <v>810.5599999999999</v>
      </c>
      <c r="L202" s="75" t="n">
        <v>0.8</v>
      </c>
      <c r="M202" s="67" t="inlineStr">
        <is>
          <t>Maund</t>
        </is>
      </c>
      <c r="N202" s="76" t="n">
        <v>29.86</v>
      </c>
      <c r="O202" s="67" t="n"/>
      <c r="P202" s="68" t="n"/>
    </row>
    <row r="203" ht="19.5" customHeight="1" s="45">
      <c r="B203" s="74" t="inlineStr">
        <is>
          <t>PO-0199</t>
        </is>
      </c>
      <c r="C203" s="67" t="inlineStr">
        <is>
          <t>M3-B-02</t>
        </is>
      </c>
      <c r="D203" s="67" t="inlineStr">
        <is>
          <t>M3</t>
        </is>
      </c>
      <c r="E203" s="67" t="inlineStr">
        <is>
          <t>Bepari_Faria</t>
        </is>
      </c>
      <c r="F203" s="67" t="inlineStr">
        <is>
          <t>S05</t>
        </is>
      </c>
      <c r="G203" s="75" t="n">
        <v>18000</v>
      </c>
      <c r="H203" s="75" t="n">
        <v>20250</v>
      </c>
      <c r="I203" s="67" t="inlineStr">
        <is>
          <t>Maund</t>
        </is>
      </c>
      <c r="J203" s="76" t="n">
        <v>482.32</v>
      </c>
      <c r="K203" s="76" t="n">
        <v>542.6</v>
      </c>
      <c r="L203" s="75" t="n">
        <v>1.2</v>
      </c>
      <c r="M203" s="67" t="inlineStr">
        <is>
          <t>Maund</t>
        </is>
      </c>
      <c r="N203" s="76" t="n">
        <v>44.78</v>
      </c>
      <c r="O203" s="67" t="n"/>
      <c r="P203" s="68" t="n"/>
    </row>
    <row r="204" ht="19.5" customHeight="1" s="45">
      <c r="B204" s="74" t="inlineStr">
        <is>
          <t>PO-0200</t>
        </is>
      </c>
      <c r="C204" s="67" t="inlineStr">
        <is>
          <t>M3-B-03</t>
        </is>
      </c>
      <c r="D204" s="67" t="inlineStr">
        <is>
          <t>M3</t>
        </is>
      </c>
      <c r="E204" s="67" t="inlineStr">
        <is>
          <t>Bepari_Faria</t>
        </is>
      </c>
      <c r="F204" s="67" t="inlineStr">
        <is>
          <t>S01</t>
        </is>
      </c>
      <c r="G204" s="75" t="n">
        <v>46250</v>
      </c>
      <c r="H204" s="75" t="n">
        <v>50000</v>
      </c>
      <c r="I204" s="67" t="inlineStr">
        <is>
          <t>Maund</t>
        </is>
      </c>
      <c r="J204" s="76" t="n">
        <v>1239.28</v>
      </c>
      <c r="K204" s="76" t="n">
        <v>1339.76</v>
      </c>
      <c r="L204" s="75" t="n">
        <v>0.8</v>
      </c>
      <c r="M204" s="67" t="inlineStr">
        <is>
          <t>Maund</t>
        </is>
      </c>
      <c r="N204" s="76" t="n">
        <v>29.86</v>
      </c>
      <c r="O204" s="67" t="n"/>
      <c r="P204" s="68" t="n"/>
    </row>
    <row r="205" ht="19.5" customHeight="1" s="45">
      <c r="B205" s="74" t="inlineStr">
        <is>
          <t>PO-0201</t>
        </is>
      </c>
      <c r="C205" s="67" t="inlineStr">
        <is>
          <t>M3-B-03</t>
        </is>
      </c>
      <c r="D205" s="67" t="inlineStr">
        <is>
          <t>M3</t>
        </is>
      </c>
      <c r="E205" s="67" t="inlineStr">
        <is>
          <t>Bepari_Faria</t>
        </is>
      </c>
      <c r="F205" s="67" t="inlineStr">
        <is>
          <t>S03</t>
        </is>
      </c>
      <c r="G205" s="75" t="n">
        <v>31000</v>
      </c>
      <c r="H205" s="75" t="n">
        <v>34000</v>
      </c>
      <c r="I205" s="67" t="inlineStr">
        <is>
          <t>Maund</t>
        </is>
      </c>
      <c r="J205" s="76" t="n">
        <v>830.65</v>
      </c>
      <c r="K205" s="76" t="n">
        <v>911.04</v>
      </c>
      <c r="L205" s="75" t="n">
        <v>1.1</v>
      </c>
      <c r="M205" s="67" t="inlineStr">
        <is>
          <t>Maund</t>
        </is>
      </c>
      <c r="N205" s="76" t="n">
        <v>41.05</v>
      </c>
      <c r="O205" s="67" t="n"/>
      <c r="P205" s="68" t="n"/>
    </row>
    <row r="206" ht="19.5" customHeight="1" s="45">
      <c r="B206" s="74" t="inlineStr">
        <is>
          <t>PO-0202</t>
        </is>
      </c>
      <c r="C206" s="67" t="inlineStr">
        <is>
          <t>M3-B-03</t>
        </is>
      </c>
      <c r="D206" s="67" t="inlineStr">
        <is>
          <t>M3</t>
        </is>
      </c>
      <c r="E206" s="67" t="inlineStr">
        <is>
          <t>Bepari_Faria</t>
        </is>
      </c>
      <c r="F206" s="67" t="inlineStr">
        <is>
          <t>S04</t>
        </is>
      </c>
      <c r="G206" s="75" t="n">
        <v>27500</v>
      </c>
      <c r="H206" s="75" t="n">
        <v>30500</v>
      </c>
      <c r="I206" s="67" t="inlineStr">
        <is>
          <t>Maund</t>
        </is>
      </c>
      <c r="J206" s="76" t="n">
        <v>736.87</v>
      </c>
      <c r="K206" s="76" t="n">
        <v>817.26</v>
      </c>
      <c r="L206" s="75" t="n">
        <v>0.7</v>
      </c>
      <c r="M206" s="67" t="inlineStr">
        <is>
          <t>Maund</t>
        </is>
      </c>
      <c r="N206" s="76" t="n">
        <v>26.12</v>
      </c>
      <c r="O206" s="67" t="n"/>
      <c r="P206" s="68" t="n"/>
    </row>
    <row r="207" ht="19.5" customHeight="1" s="45">
      <c r="B207" s="74" t="inlineStr">
        <is>
          <t>PO-0203</t>
        </is>
      </c>
      <c r="C207" s="67" t="inlineStr">
        <is>
          <t>M3-B-03</t>
        </is>
      </c>
      <c r="D207" s="67" t="inlineStr">
        <is>
          <t>M3</t>
        </is>
      </c>
      <c r="E207" s="67" t="inlineStr">
        <is>
          <t>Bepari_Faria</t>
        </is>
      </c>
      <c r="F207" s="67" t="inlineStr">
        <is>
          <t>S05</t>
        </is>
      </c>
      <c r="G207" s="75" t="n">
        <v>16500</v>
      </c>
      <c r="H207" s="75" t="n">
        <v>18250</v>
      </c>
      <c r="I207" s="67" t="inlineStr">
        <is>
          <t>Maund</t>
        </is>
      </c>
      <c r="J207" s="76" t="n">
        <v>442.12</v>
      </c>
      <c r="K207" s="76" t="n">
        <v>489.01</v>
      </c>
      <c r="L207" s="75" t="n">
        <v>1.1</v>
      </c>
      <c r="M207" s="67" t="inlineStr">
        <is>
          <t>Maund</t>
        </is>
      </c>
      <c r="N207" s="76" t="n">
        <v>41.05</v>
      </c>
      <c r="O207" s="67" t="n"/>
      <c r="P207" s="68" t="n"/>
    </row>
    <row r="208" ht="19.5" customHeight="1" s="45">
      <c r="B208" s="74" t="inlineStr">
        <is>
          <t>PO-0204</t>
        </is>
      </c>
      <c r="C208" s="67" t="inlineStr">
        <is>
          <t>M3-B-03</t>
        </is>
      </c>
      <c r="D208" s="67" t="inlineStr">
        <is>
          <t>M3</t>
        </is>
      </c>
      <c r="E208" s="67" t="inlineStr">
        <is>
          <t>Bepari_Faria</t>
        </is>
      </c>
      <c r="F208" s="67" t="inlineStr">
        <is>
          <t>S06</t>
        </is>
      </c>
      <c r="G208" s="75" t="n">
        <v>14250</v>
      </c>
      <c r="H208" s="75" t="n">
        <v>15500</v>
      </c>
      <c r="I208" s="67" t="inlineStr">
        <is>
          <t>Maund</t>
        </is>
      </c>
      <c r="J208" s="76" t="n">
        <v>381.83</v>
      </c>
      <c r="K208" s="76" t="n">
        <v>415.33</v>
      </c>
      <c r="L208" s="75" t="n">
        <v>0.8</v>
      </c>
      <c r="M208" s="67" t="inlineStr">
        <is>
          <t>Maund</t>
        </is>
      </c>
      <c r="N208" s="76" t="n">
        <v>29.86</v>
      </c>
      <c r="O208" s="67" t="n"/>
      <c r="P208" s="68" t="n"/>
    </row>
    <row r="209" ht="19.5" customHeight="1" s="45">
      <c r="B209" s="74" t="inlineStr">
        <is>
          <t>PO-0205</t>
        </is>
      </c>
      <c r="C209" s="67" t="inlineStr">
        <is>
          <t>M3-B-04</t>
        </is>
      </c>
      <c r="D209" s="67" t="inlineStr">
        <is>
          <t>M3</t>
        </is>
      </c>
      <c r="E209" s="67" t="inlineStr">
        <is>
          <t>Bepari_Faria</t>
        </is>
      </c>
      <c r="F209" s="67" t="inlineStr">
        <is>
          <t>S01</t>
        </is>
      </c>
      <c r="G209" s="75" t="n">
        <v>43250</v>
      </c>
      <c r="H209" s="75" t="n">
        <v>47750</v>
      </c>
      <c r="I209" s="67" t="inlineStr">
        <is>
          <t>Maund</t>
        </is>
      </c>
      <c r="J209" s="76" t="n">
        <v>1158.9</v>
      </c>
      <c r="K209" s="76" t="n">
        <v>1279.47</v>
      </c>
      <c r="L209" s="75" t="n">
        <v>0.9</v>
      </c>
      <c r="M209" s="67" t="inlineStr">
        <is>
          <t>Maund</t>
        </is>
      </c>
      <c r="N209" s="76" t="n">
        <v>33.59</v>
      </c>
      <c r="O209" s="67" t="n"/>
      <c r="P209" s="68" t="n"/>
    </row>
    <row r="210" ht="19.5" customHeight="1" s="45">
      <c r="B210" s="74" t="inlineStr">
        <is>
          <t>PO-0206</t>
        </is>
      </c>
      <c r="C210" s="67" t="inlineStr">
        <is>
          <t>M3-B-04</t>
        </is>
      </c>
      <c r="D210" s="67" t="inlineStr">
        <is>
          <t>M3</t>
        </is>
      </c>
      <c r="E210" s="67" t="inlineStr">
        <is>
          <t>Bepari_Faria</t>
        </is>
      </c>
      <c r="F210" s="67" t="inlineStr">
        <is>
          <t>S02</t>
        </is>
      </c>
      <c r="G210" s="75" t="n">
        <v>44500</v>
      </c>
      <c r="H210" s="75" t="n">
        <v>49500</v>
      </c>
      <c r="I210" s="67" t="inlineStr">
        <is>
          <t>Maund</t>
        </is>
      </c>
      <c r="J210" s="76" t="n">
        <v>1192.39</v>
      </c>
      <c r="K210" s="76" t="n">
        <v>1326.37</v>
      </c>
      <c r="L210" s="75" t="n">
        <v>0.5</v>
      </c>
      <c r="M210" s="67" t="inlineStr">
        <is>
          <t>Maund</t>
        </is>
      </c>
      <c r="N210" s="76" t="n">
        <v>18.66</v>
      </c>
      <c r="O210" s="67" t="n"/>
      <c r="P210" s="68" t="n"/>
    </row>
    <row r="211" ht="19.5" customHeight="1" s="45">
      <c r="B211" s="74" t="inlineStr">
        <is>
          <t>PO-0207</t>
        </is>
      </c>
      <c r="C211" s="67" t="inlineStr">
        <is>
          <t>M3-B-04</t>
        </is>
      </c>
      <c r="D211" s="67" t="inlineStr">
        <is>
          <t>M3</t>
        </is>
      </c>
      <c r="E211" s="67" t="inlineStr">
        <is>
          <t>Bepari_Faria</t>
        </is>
      </c>
      <c r="F211" s="67" t="inlineStr">
        <is>
          <t>S03</t>
        </is>
      </c>
      <c r="G211" s="75" t="n">
        <v>32500</v>
      </c>
      <c r="H211" s="75" t="n">
        <v>35500</v>
      </c>
      <c r="I211" s="67" t="inlineStr">
        <is>
          <t>Maund</t>
        </is>
      </c>
      <c r="J211" s="76" t="n">
        <v>870.85</v>
      </c>
      <c r="K211" s="76" t="n">
        <v>951.23</v>
      </c>
      <c r="L211" s="75" t="n">
        <v>1</v>
      </c>
      <c r="M211" s="67" t="inlineStr">
        <is>
          <t>Maund</t>
        </is>
      </c>
      <c r="N211" s="76" t="n">
        <v>37.32</v>
      </c>
      <c r="O211" s="67" t="n"/>
      <c r="P211" s="68" t="n"/>
    </row>
    <row r="212" ht="19.5" customHeight="1" s="45">
      <c r="B212" s="74" t="inlineStr">
        <is>
          <t>PO-0208</t>
        </is>
      </c>
      <c r="C212" s="67" t="inlineStr">
        <is>
          <t>M3-B-04</t>
        </is>
      </c>
      <c r="D212" s="67" t="inlineStr">
        <is>
          <t>M3</t>
        </is>
      </c>
      <c r="E212" s="67" t="inlineStr">
        <is>
          <t>Bepari_Faria</t>
        </is>
      </c>
      <c r="F212" s="67" t="inlineStr">
        <is>
          <t>S06</t>
        </is>
      </c>
      <c r="G212" s="75" t="n">
        <v>13250</v>
      </c>
      <c r="H212" s="75" t="n">
        <v>14250</v>
      </c>
      <c r="I212" s="67" t="inlineStr">
        <is>
          <t>Maund</t>
        </is>
      </c>
      <c r="J212" s="76" t="n">
        <v>355.04</v>
      </c>
      <c r="K212" s="76" t="n">
        <v>381.83</v>
      </c>
      <c r="L212" s="75" t="n">
        <v>1</v>
      </c>
      <c r="M212" s="67" t="inlineStr">
        <is>
          <t>Maund</t>
        </is>
      </c>
      <c r="N212" s="76" t="n">
        <v>37.32</v>
      </c>
      <c r="O212" s="67" t="n"/>
      <c r="P212" s="68" t="n"/>
    </row>
    <row r="213" ht="19.5" customHeight="1" s="45">
      <c r="B213" s="74" t="inlineStr">
        <is>
          <t>PO-0209</t>
        </is>
      </c>
      <c r="C213" s="67" t="inlineStr">
        <is>
          <t>M3-B-04</t>
        </is>
      </c>
      <c r="D213" s="67" t="inlineStr">
        <is>
          <t>M3</t>
        </is>
      </c>
      <c r="E213" s="67" t="inlineStr">
        <is>
          <t>Bepari_Faria</t>
        </is>
      </c>
      <c r="F213" s="67" t="inlineStr">
        <is>
          <t>S10</t>
        </is>
      </c>
      <c r="G213" s="75" t="n">
        <v>6800</v>
      </c>
      <c r="H213" s="75" t="n">
        <v>7500</v>
      </c>
      <c r="I213" s="67" t="inlineStr">
        <is>
          <t>Maund</t>
        </is>
      </c>
      <c r="J213" s="76" t="n">
        <v>182.21</v>
      </c>
      <c r="K213" s="76" t="n">
        <v>200.96</v>
      </c>
      <c r="L213" s="75" t="n">
        <v>0.5</v>
      </c>
      <c r="M213" s="67" t="inlineStr">
        <is>
          <t>Maund</t>
        </is>
      </c>
      <c r="N213" s="76" t="n">
        <v>18.66</v>
      </c>
      <c r="O213" s="67" t="n"/>
      <c r="P213" s="68" t="n"/>
    </row>
    <row r="214" ht="19.5" customHeight="1" s="45">
      <c r="B214" s="74" t="inlineStr">
        <is>
          <t>PO-0210</t>
        </is>
      </c>
      <c r="C214" s="67" t="inlineStr">
        <is>
          <t>M3-B-04</t>
        </is>
      </c>
      <c r="D214" s="67" t="inlineStr">
        <is>
          <t>M3</t>
        </is>
      </c>
      <c r="E214" s="67" t="inlineStr">
        <is>
          <t>Bepari_Faria</t>
        </is>
      </c>
      <c r="F214" s="67" t="inlineStr">
        <is>
          <t>S08</t>
        </is>
      </c>
      <c r="G214" s="75" t="inlineStr">
        <is>
          <t>K</t>
        </is>
      </c>
      <c r="H214" s="75" t="inlineStr">
        <is>
          <t>K</t>
        </is>
      </c>
      <c r="I214" s="67" t="n"/>
      <c r="J214" s="76" t="n"/>
      <c r="K214" s="76" t="n"/>
      <c r="L214" s="75" t="n"/>
      <c r="M214" s="67" t="n"/>
      <c r="N214" s="76" t="n"/>
      <c r="O214" s="67" t="n"/>
      <c r="P214" s="68" t="inlineStr">
        <is>
          <t>Species not handled today</t>
        </is>
      </c>
    </row>
    <row r="215" ht="19.5" customHeight="1" s="45">
      <c r="B215" s="74" t="inlineStr">
        <is>
          <t>PO-0211</t>
        </is>
      </c>
      <c r="C215" s="67" t="inlineStr">
        <is>
          <t>M3-B-04</t>
        </is>
      </c>
      <c r="D215" s="67" t="inlineStr">
        <is>
          <t>M3</t>
        </is>
      </c>
      <c r="E215" s="67" t="inlineStr">
        <is>
          <t>Bepari_Faria</t>
        </is>
      </c>
      <c r="F215" s="67" t="inlineStr">
        <is>
          <t>S04</t>
        </is>
      </c>
      <c r="G215" s="75" t="inlineStr">
        <is>
          <t>K</t>
        </is>
      </c>
      <c r="H215" s="75" t="inlineStr">
        <is>
          <t>K</t>
        </is>
      </c>
      <c r="I215" s="67" t="n"/>
      <c r="J215" s="76" t="n"/>
      <c r="K215" s="76" t="n"/>
      <c r="L215" s="75" t="n"/>
      <c r="M215" s="67" t="n"/>
      <c r="N215" s="76" t="n"/>
      <c r="O215" s="67" t="n"/>
      <c r="P215" s="68" t="inlineStr">
        <is>
          <t>Species not handled today</t>
        </is>
      </c>
    </row>
    <row r="216" ht="19.5" customHeight="1" s="45">
      <c r="B216" s="74" t="inlineStr">
        <is>
          <t>PO-0212</t>
        </is>
      </c>
      <c r="C216" s="67" t="inlineStr">
        <is>
          <t>M3-B-05</t>
        </is>
      </c>
      <c r="D216" s="67" t="inlineStr">
        <is>
          <t>M3</t>
        </is>
      </c>
      <c r="E216" s="67" t="inlineStr">
        <is>
          <t>Bepari_Faria</t>
        </is>
      </c>
      <c r="F216" s="67" t="inlineStr">
        <is>
          <t>S01</t>
        </is>
      </c>
      <c r="G216" s="75" t="n">
        <v>41750</v>
      </c>
      <c r="H216" s="75" t="n">
        <v>46750</v>
      </c>
      <c r="I216" s="67" t="inlineStr">
        <is>
          <t>Maund</t>
        </is>
      </c>
      <c r="J216" s="76" t="n">
        <v>1118.7</v>
      </c>
      <c r="K216" s="76" t="n">
        <v>1252.68</v>
      </c>
      <c r="L216" s="75" t="n">
        <v>0.7</v>
      </c>
      <c r="M216" s="67" t="inlineStr">
        <is>
          <t>Maund</t>
        </is>
      </c>
      <c r="N216" s="76" t="n">
        <v>26.12</v>
      </c>
      <c r="O216" s="67" t="n"/>
      <c r="P216" s="68" t="n"/>
    </row>
    <row r="217" ht="19.5" customHeight="1" s="45">
      <c r="B217" s="74" t="inlineStr">
        <is>
          <t>PO-0213</t>
        </is>
      </c>
      <c r="C217" s="67" t="inlineStr">
        <is>
          <t>M3-B-05</t>
        </is>
      </c>
      <c r="D217" s="67" t="inlineStr">
        <is>
          <t>M3</t>
        </is>
      </c>
      <c r="E217" s="67" t="inlineStr">
        <is>
          <t>Bepari_Faria</t>
        </is>
      </c>
      <c r="F217" s="67" t="inlineStr">
        <is>
          <t>S02</t>
        </is>
      </c>
      <c r="G217" s="75" t="n">
        <v>47250</v>
      </c>
      <c r="H217" s="75" t="n">
        <v>51750</v>
      </c>
      <c r="I217" s="67" t="inlineStr">
        <is>
          <t>Maund</t>
        </is>
      </c>
      <c r="J217" s="76" t="n">
        <v>1266.08</v>
      </c>
      <c r="K217" s="76" t="n">
        <v>1386.66</v>
      </c>
      <c r="L217" s="75" t="n">
        <v>0.9</v>
      </c>
      <c r="M217" s="67" t="inlineStr">
        <is>
          <t>Maund</t>
        </is>
      </c>
      <c r="N217" s="76" t="n">
        <v>33.59</v>
      </c>
      <c r="O217" s="67" t="n"/>
      <c r="P217" s="68" t="n"/>
    </row>
    <row r="218" ht="19.5" customHeight="1" s="45">
      <c r="B218" s="74" t="inlineStr">
        <is>
          <t>PO-0214</t>
        </is>
      </c>
      <c r="C218" s="67" t="inlineStr">
        <is>
          <t>M3-B-05</t>
        </is>
      </c>
      <c r="D218" s="67" t="inlineStr">
        <is>
          <t>M3</t>
        </is>
      </c>
      <c r="E218" s="67" t="inlineStr">
        <is>
          <t>Bepari_Faria</t>
        </is>
      </c>
      <c r="F218" s="67" t="inlineStr">
        <is>
          <t>S03</t>
        </is>
      </c>
      <c r="G218" s="75" t="n">
        <v>30000</v>
      </c>
      <c r="H218" s="75" t="n">
        <v>32250</v>
      </c>
      <c r="I218" s="67" t="inlineStr">
        <is>
          <t>Maund</t>
        </is>
      </c>
      <c r="J218" s="76" t="n">
        <v>803.86</v>
      </c>
      <c r="K218" s="76" t="n">
        <v>864.15</v>
      </c>
      <c r="L218" s="75" t="n">
        <v>0.9</v>
      </c>
      <c r="M218" s="67" t="inlineStr">
        <is>
          <t>Maund</t>
        </is>
      </c>
      <c r="N218" s="76" t="n">
        <v>33.59</v>
      </c>
      <c r="O218" s="67" t="n"/>
      <c r="P218" s="68" t="n"/>
    </row>
    <row r="219" ht="19.5" customHeight="1" s="45">
      <c r="B219" s="74" t="inlineStr">
        <is>
          <t>PO-0215</t>
        </is>
      </c>
      <c r="C219" s="67" t="inlineStr">
        <is>
          <t>M3-B-05</t>
        </is>
      </c>
      <c r="D219" s="67" t="inlineStr">
        <is>
          <t>M3</t>
        </is>
      </c>
      <c r="E219" s="67" t="inlineStr">
        <is>
          <t>Bepari_Faria</t>
        </is>
      </c>
      <c r="F219" s="67" t="inlineStr">
        <is>
          <t>S04</t>
        </is>
      </c>
      <c r="G219" s="75" t="n">
        <v>27000</v>
      </c>
      <c r="H219" s="75" t="n">
        <v>29750</v>
      </c>
      <c r="I219" s="67" t="inlineStr">
        <is>
          <t>Maund</t>
        </is>
      </c>
      <c r="J219" s="76" t="n">
        <v>723.47</v>
      </c>
      <c r="K219" s="76" t="n">
        <v>797.16</v>
      </c>
      <c r="L219" s="75" t="n">
        <v>0.6</v>
      </c>
      <c r="M219" s="67" t="inlineStr">
        <is>
          <t>Maund</t>
        </is>
      </c>
      <c r="N219" s="76" t="n">
        <v>22.39</v>
      </c>
      <c r="O219" s="67" t="n"/>
      <c r="P219" s="68" t="n"/>
    </row>
    <row r="220" ht="19.5" customHeight="1" s="45">
      <c r="B220" s="74" t="inlineStr">
        <is>
          <t>PO-0216</t>
        </is>
      </c>
      <c r="C220" s="67" t="inlineStr">
        <is>
          <t>M3-B-05</t>
        </is>
      </c>
      <c r="D220" s="67" t="inlineStr">
        <is>
          <t>M3</t>
        </is>
      </c>
      <c r="E220" s="67" t="inlineStr">
        <is>
          <t>Bepari_Faria</t>
        </is>
      </c>
      <c r="F220" s="67" t="inlineStr">
        <is>
          <t>S05</t>
        </is>
      </c>
      <c r="G220" s="75" t="n">
        <v>16500</v>
      </c>
      <c r="H220" s="75" t="n">
        <v>18500</v>
      </c>
      <c r="I220" s="67" t="inlineStr">
        <is>
          <t>Maund</t>
        </is>
      </c>
      <c r="J220" s="76" t="n">
        <v>442.12</v>
      </c>
      <c r="K220" s="76" t="n">
        <v>495.71</v>
      </c>
      <c r="L220" s="75" t="n">
        <v>0.7</v>
      </c>
      <c r="M220" s="67" t="inlineStr">
        <is>
          <t>Maund</t>
        </is>
      </c>
      <c r="N220" s="76" t="n">
        <v>26.12</v>
      </c>
      <c r="O220" s="67" t="n"/>
      <c r="P220" s="68" t="n"/>
    </row>
    <row r="221" ht="19.5" customHeight="1" s="45">
      <c r="B221" s="74" t="inlineStr">
        <is>
          <t>PO-0217</t>
        </is>
      </c>
      <c r="C221" s="67" t="inlineStr">
        <is>
          <t>M3-B-05</t>
        </is>
      </c>
      <c r="D221" s="67" t="inlineStr">
        <is>
          <t>M3</t>
        </is>
      </c>
      <c r="E221" s="67" t="inlineStr">
        <is>
          <t>Bepari_Faria</t>
        </is>
      </c>
      <c r="F221" s="67" t="inlineStr">
        <is>
          <t>S10</t>
        </is>
      </c>
      <c r="G221" s="75" t="inlineStr">
        <is>
          <t>K</t>
        </is>
      </c>
      <c r="H221" s="75" t="inlineStr">
        <is>
          <t>K</t>
        </is>
      </c>
      <c r="I221" s="67" t="n"/>
      <c r="J221" s="76" t="n"/>
      <c r="K221" s="76" t="n"/>
      <c r="L221" s="75" t="n"/>
      <c r="M221" s="67" t="n"/>
      <c r="N221" s="76" t="n"/>
      <c r="O221" s="67" t="n"/>
      <c r="P221" s="68" t="inlineStr">
        <is>
          <t>Species not handled today</t>
        </is>
      </c>
    </row>
    <row r="222" ht="19.5" customHeight="1" s="45">
      <c r="B222" s="74" t="inlineStr">
        <is>
          <t>PO-0218</t>
        </is>
      </c>
      <c r="C222" s="67" t="inlineStr">
        <is>
          <t>M3-R-01</t>
        </is>
      </c>
      <c r="D222" s="67" t="inlineStr">
        <is>
          <t>M3</t>
        </is>
      </c>
      <c r="E222" s="67" t="inlineStr">
        <is>
          <t>Khuchra</t>
        </is>
      </c>
      <c r="F222" s="67" t="inlineStr">
        <is>
          <t>S03</t>
        </is>
      </c>
      <c r="G222" s="75" t="n">
        <v>895</v>
      </c>
      <c r="H222" s="75" t="n">
        <v>1030</v>
      </c>
      <c r="I222" s="67" t="inlineStr">
        <is>
          <t>Kg</t>
        </is>
      </c>
      <c r="J222" s="76" t="n">
        <v>895</v>
      </c>
      <c r="K222" s="76" t="n">
        <v>1030</v>
      </c>
      <c r="L222" s="75" t="n">
        <v>25</v>
      </c>
      <c r="M222" s="67" t="inlineStr">
        <is>
          <t>Kg</t>
        </is>
      </c>
      <c r="N222" s="76" t="n">
        <v>25</v>
      </c>
      <c r="O222" s="67" t="n"/>
      <c r="P222" s="68" t="n"/>
    </row>
    <row r="223" ht="19.5" customHeight="1" s="45">
      <c r="B223" s="74" t="inlineStr">
        <is>
          <t>PO-0219</t>
        </is>
      </c>
      <c r="C223" s="67" t="inlineStr">
        <is>
          <t>M3-R-01</t>
        </is>
      </c>
      <c r="D223" s="67" t="inlineStr">
        <is>
          <t>M3</t>
        </is>
      </c>
      <c r="E223" s="67" t="inlineStr">
        <is>
          <t>Khuchra</t>
        </is>
      </c>
      <c r="F223" s="67" t="inlineStr">
        <is>
          <t>S05</t>
        </is>
      </c>
      <c r="G223" s="75" t="n">
        <v>515</v>
      </c>
      <c r="H223" s="75" t="n">
        <v>585</v>
      </c>
      <c r="I223" s="67" t="inlineStr">
        <is>
          <t>Kg</t>
        </is>
      </c>
      <c r="J223" s="76" t="n">
        <v>515</v>
      </c>
      <c r="K223" s="76" t="n">
        <v>585</v>
      </c>
      <c r="L223" s="75" t="n">
        <v>40</v>
      </c>
      <c r="M223" s="67" t="inlineStr">
        <is>
          <t>Kg</t>
        </is>
      </c>
      <c r="N223" s="76" t="n">
        <v>40</v>
      </c>
      <c r="O223" s="67" t="n"/>
      <c r="P223" s="68" t="n"/>
    </row>
    <row r="224" ht="19.5" customHeight="1" s="45">
      <c r="B224" s="74" t="inlineStr">
        <is>
          <t>PO-0220</t>
        </is>
      </c>
      <c r="C224" s="67" t="inlineStr">
        <is>
          <t>M3-R-01</t>
        </is>
      </c>
      <c r="D224" s="67" t="inlineStr">
        <is>
          <t>M3</t>
        </is>
      </c>
      <c r="E224" s="67" t="inlineStr">
        <is>
          <t>Khuchra</t>
        </is>
      </c>
      <c r="F224" s="67" t="inlineStr">
        <is>
          <t>S06</t>
        </is>
      </c>
      <c r="G224" s="75" t="n">
        <v>405</v>
      </c>
      <c r="H224" s="75" t="n">
        <v>460</v>
      </c>
      <c r="I224" s="67" t="inlineStr">
        <is>
          <t>Kg</t>
        </is>
      </c>
      <c r="J224" s="76" t="n">
        <v>405</v>
      </c>
      <c r="K224" s="76" t="n">
        <v>460</v>
      </c>
      <c r="L224" s="75" t="n">
        <v>40</v>
      </c>
      <c r="M224" s="67" t="inlineStr">
        <is>
          <t>Kg</t>
        </is>
      </c>
      <c r="N224" s="76" t="n">
        <v>40</v>
      </c>
      <c r="O224" s="67" t="n"/>
      <c r="P224" s="68" t="n"/>
    </row>
    <row r="225" ht="19.5" customHeight="1" s="45">
      <c r="B225" s="74" t="inlineStr">
        <is>
          <t>PO-0221</t>
        </is>
      </c>
      <c r="C225" s="67" t="inlineStr">
        <is>
          <t>M3-R-01</t>
        </is>
      </c>
      <c r="D225" s="67" t="inlineStr">
        <is>
          <t>M3</t>
        </is>
      </c>
      <c r="E225" s="67" t="inlineStr">
        <is>
          <t>Khuchra</t>
        </is>
      </c>
      <c r="F225" s="67" t="inlineStr">
        <is>
          <t>S10</t>
        </is>
      </c>
      <c r="G225" s="75" t="n">
        <v>210</v>
      </c>
      <c r="H225" s="75" t="n">
        <v>235</v>
      </c>
      <c r="I225" s="67" t="inlineStr">
        <is>
          <t>Kg</t>
        </is>
      </c>
      <c r="J225" s="76" t="n">
        <v>210</v>
      </c>
      <c r="K225" s="76" t="n">
        <v>235</v>
      </c>
      <c r="L225" s="75" t="n">
        <v>30</v>
      </c>
      <c r="M225" s="67" t="inlineStr">
        <is>
          <t>Kg</t>
        </is>
      </c>
      <c r="N225" s="76" t="n">
        <v>30</v>
      </c>
      <c r="O225" s="67" t="n"/>
      <c r="P225" s="68" t="n"/>
    </row>
    <row r="226" ht="19.5" customHeight="1" s="45">
      <c r="B226" s="74" t="inlineStr">
        <is>
          <t>PO-0222</t>
        </is>
      </c>
      <c r="C226" s="67" t="inlineStr">
        <is>
          <t>M3-R-02</t>
        </is>
      </c>
      <c r="D226" s="67" t="inlineStr">
        <is>
          <t>M3</t>
        </is>
      </c>
      <c r="E226" s="67" t="inlineStr">
        <is>
          <t>Khuchra</t>
        </is>
      </c>
      <c r="F226" s="67" t="inlineStr">
        <is>
          <t>S01</t>
        </is>
      </c>
      <c r="G226" s="75" t="n">
        <v>47750</v>
      </c>
      <c r="H226" s="75" t="n">
        <v>52000</v>
      </c>
      <c r="I226" s="67" t="inlineStr">
        <is>
          <t>Maund</t>
        </is>
      </c>
      <c r="J226" s="76" t="n">
        <v>1279.47</v>
      </c>
      <c r="K226" s="76" t="n">
        <v>1393.35</v>
      </c>
      <c r="L226" s="75" t="n">
        <v>0.4</v>
      </c>
      <c r="M226" s="67" t="inlineStr">
        <is>
          <t>Maund</t>
        </is>
      </c>
      <c r="N226" s="76" t="n">
        <v>14.93</v>
      </c>
      <c r="O226" s="67" t="n"/>
      <c r="P226" s="68" t="n"/>
    </row>
    <row r="227" ht="19.5" customHeight="1" s="45">
      <c r="B227" s="74" t="inlineStr">
        <is>
          <t>PO-0223</t>
        </is>
      </c>
      <c r="C227" s="67" t="inlineStr">
        <is>
          <t>M3-R-02</t>
        </is>
      </c>
      <c r="D227" s="67" t="inlineStr">
        <is>
          <t>M3</t>
        </is>
      </c>
      <c r="E227" s="67" t="inlineStr">
        <is>
          <t>Khuchra</t>
        </is>
      </c>
      <c r="F227" s="67" t="inlineStr">
        <is>
          <t>S02</t>
        </is>
      </c>
      <c r="G227" s="75" t="n">
        <v>51250</v>
      </c>
      <c r="H227" s="75" t="n">
        <v>59000</v>
      </c>
      <c r="I227" s="67" t="inlineStr">
        <is>
          <t>Maund</t>
        </is>
      </c>
      <c r="J227" s="76" t="n">
        <v>1373.26</v>
      </c>
      <c r="K227" s="76" t="n">
        <v>1580.92</v>
      </c>
      <c r="L227" s="75" t="n">
        <v>0.4</v>
      </c>
      <c r="M227" s="67" t="inlineStr">
        <is>
          <t>Maund</t>
        </is>
      </c>
      <c r="N227" s="76" t="n">
        <v>14.93</v>
      </c>
      <c r="O227" s="67" t="n"/>
      <c r="P227" s="68" t="n"/>
    </row>
    <row r="228" ht="19.5" customHeight="1" s="45">
      <c r="B228" s="74" t="inlineStr">
        <is>
          <t>PO-0224</t>
        </is>
      </c>
      <c r="C228" s="67" t="inlineStr">
        <is>
          <t>M3-R-02</t>
        </is>
      </c>
      <c r="D228" s="67" t="inlineStr">
        <is>
          <t>M3</t>
        </is>
      </c>
      <c r="E228" s="67" t="inlineStr">
        <is>
          <t>Khuchra</t>
        </is>
      </c>
      <c r="F228" s="67" t="inlineStr">
        <is>
          <t>S03</t>
        </is>
      </c>
      <c r="G228" s="75" t="n">
        <v>34500</v>
      </c>
      <c r="H228" s="75" t="n">
        <v>40750</v>
      </c>
      <c r="I228" s="67" t="inlineStr">
        <is>
          <t>Maund</t>
        </is>
      </c>
      <c r="J228" s="76" t="n">
        <v>924.4400000000001</v>
      </c>
      <c r="K228" s="76" t="n">
        <v>1091.91</v>
      </c>
      <c r="L228" s="75" t="n">
        <v>0.4</v>
      </c>
      <c r="M228" s="67" t="inlineStr">
        <is>
          <t>Maund</t>
        </is>
      </c>
      <c r="N228" s="76" t="n">
        <v>14.93</v>
      </c>
      <c r="O228" s="67" t="n"/>
      <c r="P228" s="68" t="n"/>
    </row>
    <row r="229" ht="19.5" customHeight="1" s="45">
      <c r="B229" s="74" t="inlineStr">
        <is>
          <t>PO-0225</t>
        </is>
      </c>
      <c r="C229" s="67" t="inlineStr">
        <is>
          <t>M3-R-02</t>
        </is>
      </c>
      <c r="D229" s="67" t="inlineStr">
        <is>
          <t>M3</t>
        </is>
      </c>
      <c r="E229" s="67" t="inlineStr">
        <is>
          <t>Khuchra</t>
        </is>
      </c>
      <c r="F229" s="67" t="inlineStr">
        <is>
          <t>S04</t>
        </is>
      </c>
      <c r="G229" s="75" t="n">
        <v>30250</v>
      </c>
      <c r="H229" s="75" t="n">
        <v>35000</v>
      </c>
      <c r="I229" s="67" t="inlineStr">
        <is>
          <t>Maund</t>
        </is>
      </c>
      <c r="J229" s="76" t="n">
        <v>810.5599999999999</v>
      </c>
      <c r="K229" s="76" t="n">
        <v>937.83</v>
      </c>
      <c r="L229" s="75" t="n">
        <v>0.4</v>
      </c>
      <c r="M229" s="67" t="inlineStr">
        <is>
          <t>Maund</t>
        </is>
      </c>
      <c r="N229" s="76" t="n">
        <v>14.93</v>
      </c>
      <c r="O229" s="67" t="n"/>
      <c r="P229" s="68" t="n"/>
    </row>
    <row r="230" ht="19.5" customHeight="1" s="45">
      <c r="B230" s="74" t="inlineStr">
        <is>
          <t>PO-0226</t>
        </is>
      </c>
      <c r="C230" s="67" t="inlineStr">
        <is>
          <t>M3-R-02</t>
        </is>
      </c>
      <c r="D230" s="67" t="inlineStr">
        <is>
          <t>M3</t>
        </is>
      </c>
      <c r="E230" s="67" t="inlineStr">
        <is>
          <t>Khuchra</t>
        </is>
      </c>
      <c r="F230" s="67" t="inlineStr">
        <is>
          <t>S05</t>
        </is>
      </c>
      <c r="G230" s="75" t="n">
        <v>18750</v>
      </c>
      <c r="H230" s="75" t="n">
        <v>21500</v>
      </c>
      <c r="I230" s="67" t="inlineStr">
        <is>
          <t>Maund</t>
        </is>
      </c>
      <c r="J230" s="76" t="n">
        <v>502.41</v>
      </c>
      <c r="K230" s="76" t="n">
        <v>576.1</v>
      </c>
      <c r="L230" s="75" t="n">
        <v>0.2</v>
      </c>
      <c r="M230" s="67" t="inlineStr">
        <is>
          <t>Maund</t>
        </is>
      </c>
      <c r="N230" s="76" t="n">
        <v>7.46</v>
      </c>
      <c r="O230" s="67" t="n"/>
      <c r="P230" s="68" t="n"/>
    </row>
    <row r="231" ht="19.5" customHeight="1" s="45">
      <c r="B231" s="74" t="inlineStr">
        <is>
          <t>PO-0227</t>
        </is>
      </c>
      <c r="C231" s="67" t="inlineStr">
        <is>
          <t>M3-R-03</t>
        </is>
      </c>
      <c r="D231" s="67" t="inlineStr">
        <is>
          <t>M3</t>
        </is>
      </c>
      <c r="E231" s="67" t="inlineStr">
        <is>
          <t>Khuchra</t>
        </is>
      </c>
      <c r="F231" s="67" t="inlineStr">
        <is>
          <t>S01</t>
        </is>
      </c>
      <c r="G231" s="75" t="n">
        <v>1330</v>
      </c>
      <c r="H231" s="75" t="n">
        <v>1495</v>
      </c>
      <c r="I231" s="67" t="inlineStr">
        <is>
          <t>Kg</t>
        </is>
      </c>
      <c r="J231" s="76" t="n">
        <v>1330</v>
      </c>
      <c r="K231" s="76" t="n">
        <v>1495</v>
      </c>
      <c r="L231" s="75" t="n">
        <v>20</v>
      </c>
      <c r="M231" s="67" t="inlineStr">
        <is>
          <t>Kg</t>
        </is>
      </c>
      <c r="N231" s="76" t="n">
        <v>20</v>
      </c>
      <c r="O231" s="67" t="n"/>
      <c r="P231" s="68" t="n"/>
    </row>
    <row r="232" ht="19.5" customHeight="1" s="45">
      <c r="B232" s="74" t="inlineStr">
        <is>
          <t>PO-0228</t>
        </is>
      </c>
      <c r="C232" s="67" t="inlineStr">
        <is>
          <t>M3-R-03</t>
        </is>
      </c>
      <c r="D232" s="67" t="inlineStr">
        <is>
          <t>M3</t>
        </is>
      </c>
      <c r="E232" s="67" t="inlineStr">
        <is>
          <t>Khuchra</t>
        </is>
      </c>
      <c r="F232" s="67" t="inlineStr">
        <is>
          <t>S02</t>
        </is>
      </c>
      <c r="G232" s="75" t="n">
        <v>1410</v>
      </c>
      <c r="H232" s="75" t="n">
        <v>1550</v>
      </c>
      <c r="I232" s="67" t="inlineStr">
        <is>
          <t>Kg</t>
        </is>
      </c>
      <c r="J232" s="76" t="n">
        <v>1410</v>
      </c>
      <c r="K232" s="76" t="n">
        <v>1550</v>
      </c>
      <c r="L232" s="75" t="n">
        <v>25</v>
      </c>
      <c r="M232" s="67" t="inlineStr">
        <is>
          <t>Kg</t>
        </is>
      </c>
      <c r="N232" s="76" t="n">
        <v>25</v>
      </c>
      <c r="O232" s="67" t="n"/>
      <c r="P232" s="68" t="n"/>
    </row>
    <row r="233" ht="19.5" customHeight="1" s="45">
      <c r="B233" s="74" t="inlineStr">
        <is>
          <t>PO-0229</t>
        </is>
      </c>
      <c r="C233" s="67" t="inlineStr">
        <is>
          <t>M3-R-03</t>
        </is>
      </c>
      <c r="D233" s="67" t="inlineStr">
        <is>
          <t>M3</t>
        </is>
      </c>
      <c r="E233" s="67" t="inlineStr">
        <is>
          <t>Khuchra</t>
        </is>
      </c>
      <c r="F233" s="67" t="inlineStr">
        <is>
          <t>S03</t>
        </is>
      </c>
      <c r="G233" s="75" t="n">
        <v>905</v>
      </c>
      <c r="H233" s="75" t="n">
        <v>1010</v>
      </c>
      <c r="I233" s="67" t="inlineStr">
        <is>
          <t>Kg</t>
        </is>
      </c>
      <c r="J233" s="76" t="n">
        <v>905</v>
      </c>
      <c r="K233" s="76" t="n">
        <v>1010</v>
      </c>
      <c r="L233" s="75" t="n">
        <v>35</v>
      </c>
      <c r="M233" s="67" t="inlineStr">
        <is>
          <t>Kg</t>
        </is>
      </c>
      <c r="N233" s="76" t="n">
        <v>35</v>
      </c>
      <c r="O233" s="67" t="n"/>
      <c r="P233" s="68" t="n"/>
    </row>
    <row r="234" ht="19.5" customHeight="1" s="45">
      <c r="B234" s="74" t="inlineStr">
        <is>
          <t>PO-0230</t>
        </is>
      </c>
      <c r="C234" s="67" t="inlineStr">
        <is>
          <t>M3-R-03</t>
        </is>
      </c>
      <c r="D234" s="67" t="inlineStr">
        <is>
          <t>M3</t>
        </is>
      </c>
      <c r="E234" s="67" t="inlineStr">
        <is>
          <t>Khuchra</t>
        </is>
      </c>
      <c r="F234" s="67" t="inlineStr">
        <is>
          <t>S04</t>
        </is>
      </c>
      <c r="G234" s="75" t="n">
        <v>760</v>
      </c>
      <c r="H234" s="75" t="n">
        <v>900</v>
      </c>
      <c r="I234" s="67" t="inlineStr">
        <is>
          <t>Kg</t>
        </is>
      </c>
      <c r="J234" s="76" t="n">
        <v>760</v>
      </c>
      <c r="K234" s="76" t="n">
        <v>900</v>
      </c>
      <c r="L234" s="75" t="n">
        <v>35</v>
      </c>
      <c r="M234" s="67" t="inlineStr">
        <is>
          <t>Kg</t>
        </is>
      </c>
      <c r="N234" s="76" t="n">
        <v>35</v>
      </c>
      <c r="O234" s="67" t="inlineStr">
        <is>
          <t>PAIR-M3-01</t>
        </is>
      </c>
      <c r="P234" s="68" t="n"/>
    </row>
    <row r="235" ht="19.5" customHeight="1" s="45">
      <c r="B235" s="74" t="inlineStr">
        <is>
          <t>PO-0231</t>
        </is>
      </c>
      <c r="C235" s="67" t="inlineStr">
        <is>
          <t>M3-R-03</t>
        </is>
      </c>
      <c r="D235" s="67" t="inlineStr">
        <is>
          <t>M3</t>
        </is>
      </c>
      <c r="E235" s="67" t="inlineStr">
        <is>
          <t>Khuchra</t>
        </is>
      </c>
      <c r="F235" s="67" t="inlineStr">
        <is>
          <t>S05</t>
        </is>
      </c>
      <c r="G235" s="75" t="n">
        <v>520</v>
      </c>
      <c r="H235" s="75" t="inlineStr">
        <is>
          <t>K</t>
        </is>
      </c>
      <c r="I235" s="67" t="inlineStr">
        <is>
          <t>Kg</t>
        </is>
      </c>
      <c r="J235" s="76" t="n">
        <v>520</v>
      </c>
      <c r="K235" s="76" t="n"/>
      <c r="L235" s="75" t="n">
        <v>15</v>
      </c>
      <c r="M235" s="67" t="inlineStr">
        <is>
          <t>Kg</t>
        </is>
      </c>
      <c r="N235" s="76" t="n">
        <v>15</v>
      </c>
      <c r="O235" s="67" t="n"/>
      <c r="P235" s="68" t="n"/>
    </row>
    <row r="236" ht="19.5" customHeight="1" s="45">
      <c r="B236" s="74" t="inlineStr">
        <is>
          <t>PO-0232</t>
        </is>
      </c>
      <c r="C236" s="67" t="inlineStr">
        <is>
          <t>M3-R-03</t>
        </is>
      </c>
      <c r="D236" s="67" t="inlineStr">
        <is>
          <t>M3</t>
        </is>
      </c>
      <c r="E236" s="67" t="inlineStr">
        <is>
          <t>Khuchra</t>
        </is>
      </c>
      <c r="F236" s="67" t="inlineStr">
        <is>
          <t>S09</t>
        </is>
      </c>
      <c r="G236" s="75" t="inlineStr">
        <is>
          <t>K</t>
        </is>
      </c>
      <c r="H236" s="75" t="inlineStr">
        <is>
          <t>K</t>
        </is>
      </c>
      <c r="I236" s="67" t="n"/>
      <c r="J236" s="76" t="n"/>
      <c r="K236" s="76" t="n"/>
      <c r="L236" s="75" t="n"/>
      <c r="M236" s="67" t="n"/>
      <c r="N236" s="76" t="n"/>
      <c r="O236" s="67" t="n"/>
      <c r="P236" s="68" t="inlineStr">
        <is>
          <t>Species not handled today</t>
        </is>
      </c>
    </row>
    <row r="237" ht="19.5" customHeight="1" s="45">
      <c r="B237" s="74" t="inlineStr">
        <is>
          <t>PO-0233</t>
        </is>
      </c>
      <c r="C237" s="67" t="inlineStr">
        <is>
          <t>M3-R-03</t>
        </is>
      </c>
      <c r="D237" s="67" t="inlineStr">
        <is>
          <t>M3</t>
        </is>
      </c>
      <c r="E237" s="67" t="inlineStr">
        <is>
          <t>Khuchra</t>
        </is>
      </c>
      <c r="F237" s="67" t="inlineStr">
        <is>
          <t>S07</t>
        </is>
      </c>
      <c r="G237" s="75" t="inlineStr">
        <is>
          <t>K</t>
        </is>
      </c>
      <c r="H237" s="75" t="inlineStr">
        <is>
          <t>K</t>
        </is>
      </c>
      <c r="I237" s="67" t="n"/>
      <c r="J237" s="76" t="n"/>
      <c r="K237" s="76" t="n"/>
      <c r="L237" s="75" t="n"/>
      <c r="M237" s="67" t="n"/>
      <c r="N237" s="76" t="n"/>
      <c r="O237" s="67" t="n"/>
      <c r="P237" s="68" t="inlineStr">
        <is>
          <t>Species not handled today</t>
        </is>
      </c>
    </row>
    <row r="238" ht="19.5" customHeight="1" s="45">
      <c r="B238" s="74" t="inlineStr">
        <is>
          <t>PO-0234</t>
        </is>
      </c>
      <c r="C238" s="67" t="inlineStr">
        <is>
          <t>M3-R-04</t>
        </is>
      </c>
      <c r="D238" s="67" t="inlineStr">
        <is>
          <t>M3</t>
        </is>
      </c>
      <c r="E238" s="67" t="inlineStr">
        <is>
          <t>Khuchra</t>
        </is>
      </c>
      <c r="F238" s="67" t="inlineStr">
        <is>
          <t>S06</t>
        </is>
      </c>
      <c r="G238" s="75" t="inlineStr">
        <is>
          <t>K</t>
        </is>
      </c>
      <c r="H238" s="75" t="n">
        <v>450</v>
      </c>
      <c r="I238" s="67" t="inlineStr">
        <is>
          <t>Kg</t>
        </is>
      </c>
      <c r="J238" s="76" t="n"/>
      <c r="K238" s="76" t="n">
        <v>450</v>
      </c>
      <c r="L238" s="75" t="n">
        <v>35</v>
      </c>
      <c r="M238" s="67" t="inlineStr">
        <is>
          <t>Kg</t>
        </is>
      </c>
      <c r="N238" s="76" t="n">
        <v>35</v>
      </c>
      <c r="O238" s="67" t="n"/>
      <c r="P238" s="68" t="n"/>
    </row>
    <row r="239" ht="19.5" customHeight="1" s="45">
      <c r="B239" s="74" t="inlineStr">
        <is>
          <t>PO-0235</t>
        </is>
      </c>
      <c r="C239" s="67" t="inlineStr">
        <is>
          <t>M3-R-04</t>
        </is>
      </c>
      <c r="D239" s="67" t="inlineStr">
        <is>
          <t>M3</t>
        </is>
      </c>
      <c r="E239" s="67" t="inlineStr">
        <is>
          <t>Khuchra</t>
        </is>
      </c>
      <c r="F239" s="67" t="inlineStr">
        <is>
          <t>S03</t>
        </is>
      </c>
      <c r="G239" s="75" t="n">
        <v>880</v>
      </c>
      <c r="H239" s="75" t="n">
        <v>1025</v>
      </c>
      <c r="I239" s="67" t="inlineStr">
        <is>
          <t>Kg</t>
        </is>
      </c>
      <c r="J239" s="76" t="n">
        <v>880</v>
      </c>
      <c r="K239" s="76" t="n">
        <v>1025</v>
      </c>
      <c r="L239" s="75" t="n">
        <v>25</v>
      </c>
      <c r="M239" s="67" t="inlineStr">
        <is>
          <t>Kg</t>
        </is>
      </c>
      <c r="N239" s="76" t="n">
        <v>25</v>
      </c>
      <c r="O239" s="67" t="n"/>
      <c r="P239" s="68" t="n"/>
    </row>
    <row r="240" ht="19.5" customHeight="1" s="45">
      <c r="B240" s="74" t="inlineStr">
        <is>
          <t>PO-0236</t>
        </is>
      </c>
      <c r="C240" s="67" t="inlineStr">
        <is>
          <t>M3-R-04</t>
        </is>
      </c>
      <c r="D240" s="67" t="inlineStr">
        <is>
          <t>M3</t>
        </is>
      </c>
      <c r="E240" s="67" t="inlineStr">
        <is>
          <t>Khuchra</t>
        </is>
      </c>
      <c r="F240" s="67" t="inlineStr">
        <is>
          <t>S02</t>
        </is>
      </c>
      <c r="G240" s="75" t="n">
        <v>1300</v>
      </c>
      <c r="H240" s="75" t="n">
        <v>1670</v>
      </c>
      <c r="I240" s="67" t="inlineStr">
        <is>
          <t>Kg</t>
        </is>
      </c>
      <c r="J240" s="76" t="n">
        <v>1300</v>
      </c>
      <c r="K240" s="76" t="n">
        <v>1670</v>
      </c>
      <c r="L240" s="75" t="n">
        <v>25</v>
      </c>
      <c r="M240" s="67" t="inlineStr">
        <is>
          <t>Kg</t>
        </is>
      </c>
      <c r="N240" s="76" t="n">
        <v>25</v>
      </c>
      <c r="O240" s="67" t="inlineStr">
        <is>
          <t>PAIR-M3-02</t>
        </is>
      </c>
      <c r="P240" s="68" t="n"/>
    </row>
    <row r="241" ht="19.5" customHeight="1" s="45">
      <c r="B241" s="74" t="inlineStr">
        <is>
          <t>PO-0237</t>
        </is>
      </c>
      <c r="C241" s="67" t="inlineStr">
        <is>
          <t>M3-R-04</t>
        </is>
      </c>
      <c r="D241" s="67" t="inlineStr">
        <is>
          <t>M3</t>
        </is>
      </c>
      <c r="E241" s="67" t="inlineStr">
        <is>
          <t>Khuchra</t>
        </is>
      </c>
      <c r="F241" s="67" t="inlineStr">
        <is>
          <t>S04</t>
        </is>
      </c>
      <c r="G241" s="75" t="n">
        <v>770</v>
      </c>
      <c r="H241" s="75" t="n">
        <v>890</v>
      </c>
      <c r="I241" s="67" t="inlineStr">
        <is>
          <t>Kg</t>
        </is>
      </c>
      <c r="J241" s="76" t="n">
        <v>770</v>
      </c>
      <c r="K241" s="76" t="n">
        <v>890</v>
      </c>
      <c r="L241" s="75" t="n">
        <v>40</v>
      </c>
      <c r="M241" s="67" t="inlineStr">
        <is>
          <t>Kg</t>
        </is>
      </c>
      <c r="N241" s="76" t="n">
        <v>40</v>
      </c>
      <c r="O241" s="67" t="n"/>
      <c r="P241" s="68" t="n"/>
    </row>
    <row r="242" ht="19.5" customHeight="1" s="45">
      <c r="B242" s="74" t="inlineStr">
        <is>
          <t>PO-0238</t>
        </is>
      </c>
      <c r="C242" s="67" t="inlineStr">
        <is>
          <t>M3-R-05</t>
        </is>
      </c>
      <c r="D242" s="67" t="inlineStr">
        <is>
          <t>M3</t>
        </is>
      </c>
      <c r="E242" s="67" t="inlineStr">
        <is>
          <t>Khuchra</t>
        </is>
      </c>
      <c r="F242" s="67" t="inlineStr">
        <is>
          <t>S01</t>
        </is>
      </c>
      <c r="G242" s="75" t="n">
        <v>1285</v>
      </c>
      <c r="H242" s="75" t="n">
        <v>1460</v>
      </c>
      <c r="I242" s="67" t="inlineStr">
        <is>
          <t>Kg</t>
        </is>
      </c>
      <c r="J242" s="76" t="n">
        <v>1285</v>
      </c>
      <c r="K242" s="76" t="n">
        <v>1460</v>
      </c>
      <c r="L242" s="75" t="n">
        <v>30</v>
      </c>
      <c r="M242" s="67" t="inlineStr">
        <is>
          <t>Kg</t>
        </is>
      </c>
      <c r="N242" s="76" t="n">
        <v>30</v>
      </c>
      <c r="O242" s="67" t="n"/>
      <c r="P242" s="68" t="n"/>
    </row>
    <row r="243" ht="19.5" customHeight="1" s="45">
      <c r="B243" s="74" t="inlineStr">
        <is>
          <t>PO-0239</t>
        </is>
      </c>
      <c r="C243" s="67" t="inlineStr">
        <is>
          <t>M3-R-05</t>
        </is>
      </c>
      <c r="D243" s="67" t="inlineStr">
        <is>
          <t>M3</t>
        </is>
      </c>
      <c r="E243" s="67" t="inlineStr">
        <is>
          <t>Khuchra</t>
        </is>
      </c>
      <c r="F243" s="67" t="inlineStr">
        <is>
          <t>S02</t>
        </is>
      </c>
      <c r="G243" s="75" t="n">
        <v>1355</v>
      </c>
      <c r="H243" s="75" t="n">
        <v>1555</v>
      </c>
      <c r="I243" s="67" t="inlineStr">
        <is>
          <t>Kg</t>
        </is>
      </c>
      <c r="J243" s="76" t="n">
        <v>1355</v>
      </c>
      <c r="K243" s="76" t="n">
        <v>1555</v>
      </c>
      <c r="L243" s="75" t="n">
        <v>25</v>
      </c>
      <c r="M243" s="67" t="inlineStr">
        <is>
          <t>Kg</t>
        </is>
      </c>
      <c r="N243" s="76" t="n">
        <v>25</v>
      </c>
      <c r="O243" s="67" t="n"/>
      <c r="P243" s="68" t="n"/>
    </row>
    <row r="244" ht="19.5" customHeight="1" s="45">
      <c r="B244" s="74" t="inlineStr">
        <is>
          <t>PO-0240</t>
        </is>
      </c>
      <c r="C244" s="67" t="inlineStr">
        <is>
          <t>M3-R-05</t>
        </is>
      </c>
      <c r="D244" s="67" t="inlineStr">
        <is>
          <t>M3</t>
        </is>
      </c>
      <c r="E244" s="67" t="inlineStr">
        <is>
          <t>Khuchra</t>
        </is>
      </c>
      <c r="F244" s="67" t="inlineStr">
        <is>
          <t>S03</t>
        </is>
      </c>
      <c r="G244" s="75" t="n">
        <v>940</v>
      </c>
      <c r="H244" s="75" t="n">
        <v>1070</v>
      </c>
      <c r="I244" s="67" t="inlineStr">
        <is>
          <t>Kg</t>
        </is>
      </c>
      <c r="J244" s="76" t="n">
        <v>940</v>
      </c>
      <c r="K244" s="76" t="n">
        <v>1070</v>
      </c>
      <c r="L244" s="75" t="n">
        <v>25</v>
      </c>
      <c r="M244" s="67" t="inlineStr">
        <is>
          <t>Kg</t>
        </is>
      </c>
      <c r="N244" s="76" t="n">
        <v>25</v>
      </c>
      <c r="O244" s="67" t="n"/>
      <c r="P244" s="68" t="n"/>
    </row>
    <row r="245" ht="19.5" customHeight="1" s="45">
      <c r="B245" s="74" t="inlineStr">
        <is>
          <t>PO-0241</t>
        </is>
      </c>
      <c r="C245" s="67" t="inlineStr">
        <is>
          <t>M3-R-05</t>
        </is>
      </c>
      <c r="D245" s="67" t="inlineStr">
        <is>
          <t>M3</t>
        </is>
      </c>
      <c r="E245" s="67" t="inlineStr">
        <is>
          <t>Khuchra</t>
        </is>
      </c>
      <c r="F245" s="67" t="inlineStr">
        <is>
          <t>S04</t>
        </is>
      </c>
      <c r="G245" s="75" t="n">
        <v>790</v>
      </c>
      <c r="H245" s="75" t="n">
        <v>910</v>
      </c>
      <c r="I245" s="67" t="inlineStr">
        <is>
          <t>Kg</t>
        </is>
      </c>
      <c r="J245" s="76" t="n">
        <v>790</v>
      </c>
      <c r="K245" s="76" t="n">
        <v>910</v>
      </c>
      <c r="L245" s="75" t="n">
        <v>15</v>
      </c>
      <c r="M245" s="67" t="inlineStr">
        <is>
          <t>Kg</t>
        </is>
      </c>
      <c r="N245" s="76" t="n">
        <v>15</v>
      </c>
      <c r="O245" s="67" t="n"/>
      <c r="P245" s="68" t="n"/>
    </row>
    <row r="246" ht="19.5" customHeight="1" s="45">
      <c r="B246" s="74" t="inlineStr">
        <is>
          <t>PO-0242</t>
        </is>
      </c>
      <c r="C246" s="67" t="inlineStr">
        <is>
          <t>M3-R-05</t>
        </is>
      </c>
      <c r="D246" s="67" t="inlineStr">
        <is>
          <t>M3</t>
        </is>
      </c>
      <c r="E246" s="67" t="inlineStr">
        <is>
          <t>Khuchra</t>
        </is>
      </c>
      <c r="F246" s="67" t="inlineStr">
        <is>
          <t>S05</t>
        </is>
      </c>
      <c r="G246" s="75" t="n">
        <v>515</v>
      </c>
      <c r="H246" s="75" t="n">
        <v>590</v>
      </c>
      <c r="I246" s="67" t="inlineStr">
        <is>
          <t>Kg</t>
        </is>
      </c>
      <c r="J246" s="76" t="n">
        <v>515</v>
      </c>
      <c r="K246" s="76" t="n">
        <v>590</v>
      </c>
      <c r="L246" s="75" t="n">
        <v>30</v>
      </c>
      <c r="M246" s="67" t="inlineStr">
        <is>
          <t>Kg</t>
        </is>
      </c>
      <c r="N246" s="76" t="n">
        <v>30</v>
      </c>
      <c r="O246" s="67" t="n"/>
      <c r="P246" s="68" t="n"/>
    </row>
    <row r="247" ht="19.5" customHeight="1" s="45">
      <c r="B247" s="74" t="inlineStr">
        <is>
          <t>PO-0243</t>
        </is>
      </c>
      <c r="C247" s="67" t="inlineStr">
        <is>
          <t>M3-R-05</t>
        </is>
      </c>
      <c r="D247" s="67" t="inlineStr">
        <is>
          <t>M3</t>
        </is>
      </c>
      <c r="E247" s="67" t="inlineStr">
        <is>
          <t>Khuchra</t>
        </is>
      </c>
      <c r="F247" s="67" t="inlineStr">
        <is>
          <t>S08</t>
        </is>
      </c>
      <c r="G247" s="75" t="inlineStr">
        <is>
          <t>K</t>
        </is>
      </c>
      <c r="H247" s="75" t="inlineStr">
        <is>
          <t>K</t>
        </is>
      </c>
      <c r="I247" s="67" t="n"/>
      <c r="J247" s="76" t="n"/>
      <c r="K247" s="76" t="n"/>
      <c r="L247" s="75" t="n"/>
      <c r="M247" s="67" t="n"/>
      <c r="N247" s="76" t="n"/>
      <c r="O247" s="67" t="n"/>
      <c r="P247" s="68" t="inlineStr">
        <is>
          <t>Species not handled today</t>
        </is>
      </c>
    </row>
    <row r="248" ht="19.5" customHeight="1" s="45">
      <c r="B248" s="74" t="inlineStr">
        <is>
          <t>PO-0244</t>
        </is>
      </c>
      <c r="C248" s="67" t="inlineStr">
        <is>
          <t>M4-A-01</t>
        </is>
      </c>
      <c r="D248" s="67" t="inlineStr">
        <is>
          <t>M4</t>
        </is>
      </c>
      <c r="E248" s="67" t="inlineStr">
        <is>
          <t>Aratdar</t>
        </is>
      </c>
      <c r="F248" s="67" t="inlineStr">
        <is>
          <t>S01</t>
        </is>
      </c>
      <c r="G248" s="75" t="n">
        <v>43250</v>
      </c>
      <c r="H248" s="75" t="n">
        <v>45000</v>
      </c>
      <c r="I248" s="67" t="inlineStr">
        <is>
          <t>Maund</t>
        </is>
      </c>
      <c r="J248" s="76" t="n">
        <v>1158.9</v>
      </c>
      <c r="K248" s="76" t="n">
        <v>1205.79</v>
      </c>
      <c r="L248" s="75" t="n">
        <v>3.4</v>
      </c>
      <c r="M248" s="67" t="inlineStr">
        <is>
          <t>Maund</t>
        </is>
      </c>
      <c r="N248" s="76" t="n">
        <v>126.89</v>
      </c>
      <c r="O248" s="67" t="n"/>
      <c r="P248" s="68" t="n"/>
    </row>
    <row r="249" ht="19.5" customHeight="1" s="45">
      <c r="B249" s="74" t="inlineStr">
        <is>
          <t>PO-0245</t>
        </is>
      </c>
      <c r="C249" s="67" t="inlineStr">
        <is>
          <t>M4-A-01</t>
        </is>
      </c>
      <c r="D249" s="67" t="inlineStr">
        <is>
          <t>M4</t>
        </is>
      </c>
      <c r="E249" s="67" t="inlineStr">
        <is>
          <t>Aratdar</t>
        </is>
      </c>
      <c r="F249" s="67" t="inlineStr">
        <is>
          <t>S02</t>
        </is>
      </c>
      <c r="G249" s="75" t="n">
        <v>43250</v>
      </c>
      <c r="H249" s="75" t="n">
        <v>45250</v>
      </c>
      <c r="I249" s="67" t="inlineStr">
        <is>
          <t>Maund</t>
        </is>
      </c>
      <c r="J249" s="76" t="n">
        <v>1158.9</v>
      </c>
      <c r="K249" s="76" t="n">
        <v>1212.49</v>
      </c>
      <c r="L249" s="75" t="n">
        <v>3.6</v>
      </c>
      <c r="M249" s="67" t="inlineStr">
        <is>
          <t>Maund</t>
        </is>
      </c>
      <c r="N249" s="76" t="n">
        <v>134.35</v>
      </c>
      <c r="O249" s="67" t="inlineStr">
        <is>
          <t>PAIR-M4-01</t>
        </is>
      </c>
      <c r="P249" s="68" t="n"/>
    </row>
    <row r="250" ht="19.5" customHeight="1" s="45">
      <c r="B250" s="74" t="inlineStr">
        <is>
          <t>PO-0246</t>
        </is>
      </c>
      <c r="C250" s="67" t="inlineStr">
        <is>
          <t>M4-A-01</t>
        </is>
      </c>
      <c r="D250" s="67" t="inlineStr">
        <is>
          <t>M4</t>
        </is>
      </c>
      <c r="E250" s="67" t="inlineStr">
        <is>
          <t>Aratdar</t>
        </is>
      </c>
      <c r="F250" s="67" t="inlineStr">
        <is>
          <t>S03</t>
        </is>
      </c>
      <c r="G250" s="75" t="n">
        <v>30250</v>
      </c>
      <c r="H250" s="75" t="n">
        <v>31500</v>
      </c>
      <c r="I250" s="67" t="inlineStr">
        <is>
          <t>Maund</t>
        </is>
      </c>
      <c r="J250" s="76" t="n">
        <v>810.5599999999999</v>
      </c>
      <c r="K250" s="76" t="n">
        <v>844.05</v>
      </c>
      <c r="L250" s="75" t="n">
        <v>5.5</v>
      </c>
      <c r="M250" s="67" t="inlineStr">
        <is>
          <t>Maund</t>
        </is>
      </c>
      <c r="N250" s="76" t="n">
        <v>205.26</v>
      </c>
      <c r="O250" s="67" t="n"/>
      <c r="P250" s="68" t="n"/>
    </row>
    <row r="251" ht="19.5" customHeight="1" s="45">
      <c r="B251" s="74" t="inlineStr">
        <is>
          <t>PO-0247</t>
        </is>
      </c>
      <c r="C251" s="67" t="inlineStr">
        <is>
          <t>M4-A-01</t>
        </is>
      </c>
      <c r="D251" s="67" t="inlineStr">
        <is>
          <t>M4</t>
        </is>
      </c>
      <c r="E251" s="67" t="inlineStr">
        <is>
          <t>Aratdar</t>
        </is>
      </c>
      <c r="F251" s="67" t="inlineStr">
        <is>
          <t>S06</t>
        </is>
      </c>
      <c r="G251" s="75" t="n">
        <v>12250</v>
      </c>
      <c r="H251" s="75" t="n">
        <v>12750</v>
      </c>
      <c r="I251" s="67" t="inlineStr">
        <is>
          <t>Maund</t>
        </is>
      </c>
      <c r="J251" s="76" t="n">
        <v>328.24</v>
      </c>
      <c r="K251" s="76" t="n">
        <v>341.64</v>
      </c>
      <c r="L251" s="75" t="n">
        <v>8.1</v>
      </c>
      <c r="M251" s="67" t="inlineStr">
        <is>
          <t>Maund</t>
        </is>
      </c>
      <c r="N251" s="76" t="n">
        <v>302.29</v>
      </c>
      <c r="O251" s="67" t="n"/>
      <c r="P251" s="68" t="n"/>
    </row>
    <row r="252" ht="19.5" customHeight="1" s="45">
      <c r="B252" s="74" t="inlineStr">
        <is>
          <t>PO-0248</t>
        </is>
      </c>
      <c r="C252" s="67" t="inlineStr">
        <is>
          <t>M4-A-01</t>
        </is>
      </c>
      <c r="D252" s="67" t="inlineStr">
        <is>
          <t>M4</t>
        </is>
      </c>
      <c r="E252" s="67" t="inlineStr">
        <is>
          <t>Aratdar</t>
        </is>
      </c>
      <c r="F252" s="67" t="inlineStr">
        <is>
          <t>S07</t>
        </is>
      </c>
      <c r="G252" s="75" t="n">
        <v>15000</v>
      </c>
      <c r="H252" s="75" t="n">
        <v>15750</v>
      </c>
      <c r="I252" s="67" t="inlineStr">
        <is>
          <t>Maund</t>
        </is>
      </c>
      <c r="J252" s="76" t="n">
        <v>401.93</v>
      </c>
      <c r="K252" s="76" t="n">
        <v>422.03</v>
      </c>
      <c r="L252" s="75" t="n">
        <v>5.1</v>
      </c>
      <c r="M252" s="67" t="inlineStr">
        <is>
          <t>Maund</t>
        </is>
      </c>
      <c r="N252" s="76" t="n">
        <v>190.33</v>
      </c>
      <c r="O252" s="67" t="n"/>
      <c r="P252" s="68" t="n"/>
    </row>
    <row r="253" ht="19.5" customHeight="1" s="45">
      <c r="B253" s="74" t="inlineStr">
        <is>
          <t>PO-0249</t>
        </is>
      </c>
      <c r="C253" s="67" t="inlineStr">
        <is>
          <t>M4-A-02</t>
        </is>
      </c>
      <c r="D253" s="67" t="inlineStr">
        <is>
          <t>M4</t>
        </is>
      </c>
      <c r="E253" s="67" t="inlineStr">
        <is>
          <t>Aratdar</t>
        </is>
      </c>
      <c r="F253" s="67" t="inlineStr">
        <is>
          <t>S02</t>
        </is>
      </c>
      <c r="G253" s="75" t="n">
        <v>43500</v>
      </c>
      <c r="H253" s="75" t="n">
        <v>45000</v>
      </c>
      <c r="I253" s="67" t="inlineStr">
        <is>
          <t>Maund</t>
        </is>
      </c>
      <c r="J253" s="76" t="n">
        <v>1165.59</v>
      </c>
      <c r="K253" s="76" t="n">
        <v>1205.79</v>
      </c>
      <c r="L253" s="75" t="n">
        <v>7.5</v>
      </c>
      <c r="M253" s="67" t="inlineStr">
        <is>
          <t>Maund</t>
        </is>
      </c>
      <c r="N253" s="76" t="n">
        <v>279.9</v>
      </c>
      <c r="O253" s="67" t="inlineStr">
        <is>
          <t>PAIR-M4-03</t>
        </is>
      </c>
      <c r="P253" s="68" t="n"/>
    </row>
    <row r="254" ht="19.5" customHeight="1" s="45">
      <c r="B254" s="74" t="inlineStr">
        <is>
          <t>PO-0250</t>
        </is>
      </c>
      <c r="C254" s="67" t="inlineStr">
        <is>
          <t>M4-A-02</t>
        </is>
      </c>
      <c r="D254" s="67" t="inlineStr">
        <is>
          <t>M4</t>
        </is>
      </c>
      <c r="E254" s="67" t="inlineStr">
        <is>
          <t>Aratdar</t>
        </is>
      </c>
      <c r="F254" s="67" t="inlineStr">
        <is>
          <t>S03</t>
        </is>
      </c>
      <c r="G254" s="75" t="n">
        <v>29750</v>
      </c>
      <c r="H254" s="75" t="n">
        <v>30750</v>
      </c>
      <c r="I254" s="67" t="inlineStr">
        <is>
          <t>Maund</t>
        </is>
      </c>
      <c r="J254" s="76" t="n">
        <v>797.16</v>
      </c>
      <c r="K254" s="76" t="n">
        <v>823.95</v>
      </c>
      <c r="L254" s="75" t="n">
        <v>8.1</v>
      </c>
      <c r="M254" s="67" t="inlineStr">
        <is>
          <t>Maund</t>
        </is>
      </c>
      <c r="N254" s="76" t="n">
        <v>302.29</v>
      </c>
      <c r="O254" s="67" t="n"/>
      <c r="P254" s="68" t="n"/>
    </row>
    <row r="255" ht="19.5" customHeight="1" s="45">
      <c r="B255" s="74" t="inlineStr">
        <is>
          <t>PO-0251</t>
        </is>
      </c>
      <c r="C255" s="67" t="inlineStr">
        <is>
          <t>M4-A-02</t>
        </is>
      </c>
      <c r="D255" s="67" t="inlineStr">
        <is>
          <t>M4</t>
        </is>
      </c>
      <c r="E255" s="67" t="inlineStr">
        <is>
          <t>Aratdar</t>
        </is>
      </c>
      <c r="F255" s="67" t="inlineStr">
        <is>
          <t>S05</t>
        </is>
      </c>
      <c r="G255" s="75" t="n">
        <v>17250</v>
      </c>
      <c r="H255" s="75" t="inlineStr">
        <is>
          <t>D</t>
        </is>
      </c>
      <c r="I255" s="67" t="inlineStr">
        <is>
          <t>Maund</t>
        </is>
      </c>
      <c r="J255" s="76" t="n">
        <v>462.22</v>
      </c>
      <c r="K255" s="76" t="n"/>
      <c r="L255" s="75" t="n">
        <v>5.9</v>
      </c>
      <c r="M255" s="67" t="inlineStr">
        <is>
          <t>Maund</t>
        </is>
      </c>
      <c r="N255" s="76" t="n">
        <v>220.19</v>
      </c>
      <c r="O255" s="67" t="n"/>
      <c r="P255" s="68" t="n"/>
    </row>
    <row r="256" ht="19.5" customHeight="1" s="45">
      <c r="B256" s="74" t="inlineStr">
        <is>
          <t>PO-0252</t>
        </is>
      </c>
      <c r="C256" s="67" t="inlineStr">
        <is>
          <t>M4-A-02</t>
        </is>
      </c>
      <c r="D256" s="67" t="inlineStr">
        <is>
          <t>M4</t>
        </is>
      </c>
      <c r="E256" s="67" t="inlineStr">
        <is>
          <t>Aratdar</t>
        </is>
      </c>
      <c r="F256" s="67" t="inlineStr">
        <is>
          <t>S06</t>
        </is>
      </c>
      <c r="G256" s="75" t="n">
        <v>12750</v>
      </c>
      <c r="H256" s="75" t="n">
        <v>13500</v>
      </c>
      <c r="I256" s="67" t="inlineStr">
        <is>
          <t>Maund</t>
        </is>
      </c>
      <c r="J256" s="76" t="n">
        <v>341.64</v>
      </c>
      <c r="K256" s="76" t="n">
        <v>361.74</v>
      </c>
      <c r="L256" s="75" t="n">
        <v>4.2</v>
      </c>
      <c r="M256" s="67" t="inlineStr">
        <is>
          <t>Maund</t>
        </is>
      </c>
      <c r="N256" s="76" t="n">
        <v>156.74</v>
      </c>
      <c r="O256" s="67" t="n"/>
      <c r="P256" s="68" t="n"/>
    </row>
    <row r="257" ht="19.5" customHeight="1" s="45">
      <c r="B257" s="74" t="inlineStr">
        <is>
          <t>PO-0253</t>
        </is>
      </c>
      <c r="C257" s="67" t="inlineStr">
        <is>
          <t>M4-A-02</t>
        </is>
      </c>
      <c r="D257" s="67" t="inlineStr">
        <is>
          <t>M4</t>
        </is>
      </c>
      <c r="E257" s="67" t="inlineStr">
        <is>
          <t>Aratdar</t>
        </is>
      </c>
      <c r="F257" s="67" t="inlineStr">
        <is>
          <t>S07</t>
        </is>
      </c>
      <c r="G257" s="75" t="n">
        <v>15000</v>
      </c>
      <c r="H257" s="75" t="n">
        <v>15500</v>
      </c>
      <c r="I257" s="67" t="inlineStr">
        <is>
          <t>Maund</t>
        </is>
      </c>
      <c r="J257" s="76" t="n">
        <v>401.93</v>
      </c>
      <c r="K257" s="76" t="n">
        <v>415.33</v>
      </c>
      <c r="L257" s="75" t="n">
        <v>3.8</v>
      </c>
      <c r="M257" s="67" t="inlineStr">
        <is>
          <t>Maund</t>
        </is>
      </c>
      <c r="N257" s="76" t="n">
        <v>141.82</v>
      </c>
      <c r="O257" s="67" t="n"/>
      <c r="P257" s="68" t="n"/>
    </row>
    <row r="258" ht="19.5" customHeight="1" s="45">
      <c r="B258" s="74" t="inlineStr">
        <is>
          <t>PO-0254</t>
        </is>
      </c>
      <c r="C258" s="67" t="inlineStr">
        <is>
          <t>M4-A-02</t>
        </is>
      </c>
      <c r="D258" s="67" t="inlineStr">
        <is>
          <t>M4</t>
        </is>
      </c>
      <c r="E258" s="67" t="inlineStr">
        <is>
          <t>Aratdar</t>
        </is>
      </c>
      <c r="F258" s="67" t="inlineStr">
        <is>
          <t>S09</t>
        </is>
      </c>
      <c r="G258" s="75" t="inlineStr">
        <is>
          <t>K</t>
        </is>
      </c>
      <c r="H258" s="75" t="inlineStr">
        <is>
          <t>K</t>
        </is>
      </c>
      <c r="I258" s="67" t="n"/>
      <c r="J258" s="76" t="n"/>
      <c r="K258" s="76" t="n"/>
      <c r="L258" s="75" t="n"/>
      <c r="M258" s="67" t="n"/>
      <c r="N258" s="76" t="n"/>
      <c r="O258" s="67" t="n"/>
      <c r="P258" s="68" t="inlineStr">
        <is>
          <t>Species not handled today</t>
        </is>
      </c>
    </row>
    <row r="259" ht="19.5" customHeight="1" s="45">
      <c r="B259" s="74" t="inlineStr">
        <is>
          <t>PO-0255</t>
        </is>
      </c>
      <c r="C259" s="67" t="inlineStr">
        <is>
          <t>M4-A-02</t>
        </is>
      </c>
      <c r="D259" s="67" t="inlineStr">
        <is>
          <t>M4</t>
        </is>
      </c>
      <c r="E259" s="67" t="inlineStr">
        <is>
          <t>Aratdar</t>
        </is>
      </c>
      <c r="F259" s="67" t="inlineStr">
        <is>
          <t>S08</t>
        </is>
      </c>
      <c r="G259" s="75" t="inlineStr">
        <is>
          <t>K</t>
        </is>
      </c>
      <c r="H259" s="75" t="inlineStr">
        <is>
          <t>K</t>
        </is>
      </c>
      <c r="I259" s="67" t="n"/>
      <c r="J259" s="76" t="n"/>
      <c r="K259" s="76" t="n"/>
      <c r="L259" s="75" t="n"/>
      <c r="M259" s="67" t="n"/>
      <c r="N259" s="76" t="n"/>
      <c r="O259" s="67" t="n"/>
      <c r="P259" s="68" t="inlineStr">
        <is>
          <t>Species not handled today</t>
        </is>
      </c>
    </row>
    <row r="260" ht="19.5" customHeight="1" s="45">
      <c r="B260" s="74" t="inlineStr">
        <is>
          <t>PO-0256</t>
        </is>
      </c>
      <c r="C260" s="67" t="inlineStr">
        <is>
          <t>M4-A-03</t>
        </is>
      </c>
      <c r="D260" s="67" t="inlineStr">
        <is>
          <t>M4</t>
        </is>
      </c>
      <c r="E260" s="67" t="inlineStr">
        <is>
          <t>Aratdar</t>
        </is>
      </c>
      <c r="F260" s="67" t="inlineStr">
        <is>
          <t>S01</t>
        </is>
      </c>
      <c r="G260" s="75" t="n">
        <v>40000</v>
      </c>
      <c r="H260" s="75" t="n">
        <v>41750</v>
      </c>
      <c r="I260" s="67" t="inlineStr">
        <is>
          <t>Maund</t>
        </is>
      </c>
      <c r="J260" s="76" t="n">
        <v>1071.81</v>
      </c>
      <c r="K260" s="76" t="n">
        <v>1118.7</v>
      </c>
      <c r="L260" s="75" t="n">
        <v>1.9</v>
      </c>
      <c r="M260" s="67" t="inlineStr">
        <is>
          <t>Maund</t>
        </is>
      </c>
      <c r="N260" s="76" t="n">
        <v>70.91</v>
      </c>
      <c r="O260" s="67" t="n"/>
      <c r="P260" s="68" t="n"/>
    </row>
    <row r="261" ht="19.5" customHeight="1" s="45">
      <c r="B261" s="74" t="inlineStr">
        <is>
          <t>PO-0257</t>
        </is>
      </c>
      <c r="C261" s="67" t="inlineStr">
        <is>
          <t>M4-A-03</t>
        </is>
      </c>
      <c r="D261" s="67" t="inlineStr">
        <is>
          <t>M4</t>
        </is>
      </c>
      <c r="E261" s="67" t="inlineStr">
        <is>
          <t>Aratdar</t>
        </is>
      </c>
      <c r="F261" s="67" t="inlineStr">
        <is>
          <t>S02</t>
        </is>
      </c>
      <c r="G261" s="75" t="n">
        <v>46250</v>
      </c>
      <c r="H261" s="75" t="n">
        <v>48750</v>
      </c>
      <c r="I261" s="67" t="inlineStr">
        <is>
          <t>Maund</t>
        </is>
      </c>
      <c r="J261" s="76" t="n">
        <v>1239.28</v>
      </c>
      <c r="K261" s="76" t="n">
        <v>1306.27</v>
      </c>
      <c r="L261" s="75" t="n">
        <v>1.1</v>
      </c>
      <c r="M261" s="67" t="inlineStr">
        <is>
          <t>Maund</t>
        </is>
      </c>
      <c r="N261" s="76" t="n">
        <v>41.05</v>
      </c>
      <c r="O261" s="67" t="n"/>
      <c r="P261" s="68" t="n"/>
    </row>
    <row r="262" ht="19.5" customHeight="1" s="45">
      <c r="B262" s="74" t="inlineStr">
        <is>
          <t>PO-0258</t>
        </is>
      </c>
      <c r="C262" s="67" t="inlineStr">
        <is>
          <t>M4-A-03</t>
        </is>
      </c>
      <c r="D262" s="67" t="inlineStr">
        <is>
          <t>M4</t>
        </is>
      </c>
      <c r="E262" s="67" t="inlineStr">
        <is>
          <t>Aratdar</t>
        </is>
      </c>
      <c r="F262" s="67" t="inlineStr">
        <is>
          <t>S04</t>
        </is>
      </c>
      <c r="G262" s="75" t="n">
        <v>27000</v>
      </c>
      <c r="H262" s="75" t="n">
        <v>28000</v>
      </c>
      <c r="I262" s="67" t="inlineStr">
        <is>
          <t>Maund</t>
        </is>
      </c>
      <c r="J262" s="76" t="n">
        <v>723.47</v>
      </c>
      <c r="K262" s="76" t="n">
        <v>750.27</v>
      </c>
      <c r="L262" s="75" t="n">
        <v>1.4</v>
      </c>
      <c r="M262" s="67" t="inlineStr">
        <is>
          <t>Maund</t>
        </is>
      </c>
      <c r="N262" s="76" t="n">
        <v>52.25</v>
      </c>
      <c r="O262" s="67" t="n"/>
      <c r="P262" s="68" t="n"/>
    </row>
    <row r="263" ht="19.5" customHeight="1" s="45">
      <c r="B263" s="74" t="inlineStr">
        <is>
          <t>PO-0259</t>
        </is>
      </c>
      <c r="C263" s="67" t="inlineStr">
        <is>
          <t>M4-A-03</t>
        </is>
      </c>
      <c r="D263" s="67" t="inlineStr">
        <is>
          <t>M4</t>
        </is>
      </c>
      <c r="E263" s="67" t="inlineStr">
        <is>
          <t>Aratdar</t>
        </is>
      </c>
      <c r="F263" s="67" t="inlineStr">
        <is>
          <t>S05</t>
        </is>
      </c>
      <c r="G263" s="75" t="n">
        <v>16750</v>
      </c>
      <c r="H263" s="75" t="n">
        <v>17500</v>
      </c>
      <c r="I263" s="67" t="inlineStr">
        <is>
          <t>Maund</t>
        </is>
      </c>
      <c r="J263" s="76" t="n">
        <v>448.82</v>
      </c>
      <c r="K263" s="76" t="n">
        <v>468.92</v>
      </c>
      <c r="L263" s="75" t="n">
        <v>2.3</v>
      </c>
      <c r="M263" s="67" t="inlineStr">
        <is>
          <t>Maund</t>
        </is>
      </c>
      <c r="N263" s="76" t="n">
        <v>85.84</v>
      </c>
      <c r="O263" s="67" t="n"/>
      <c r="P263" s="68" t="n"/>
    </row>
    <row r="264" ht="19.5" customHeight="1" s="45">
      <c r="B264" s="74" t="inlineStr">
        <is>
          <t>PO-0260</t>
        </is>
      </c>
      <c r="C264" s="67" t="inlineStr">
        <is>
          <t>M4-A-03</t>
        </is>
      </c>
      <c r="D264" s="67" t="inlineStr">
        <is>
          <t>M4</t>
        </is>
      </c>
      <c r="E264" s="67" t="inlineStr">
        <is>
          <t>Aratdar</t>
        </is>
      </c>
      <c r="F264" s="67" t="inlineStr">
        <is>
          <t>S06</t>
        </is>
      </c>
      <c r="G264" s="75" t="n">
        <v>12500</v>
      </c>
      <c r="H264" s="75" t="inlineStr">
        <is>
          <t>D</t>
        </is>
      </c>
      <c r="I264" s="67" t="inlineStr">
        <is>
          <t>Maund</t>
        </is>
      </c>
      <c r="J264" s="76" t="n">
        <v>334.94</v>
      </c>
      <c r="K264" s="76" t="n"/>
      <c r="L264" s="75" t="n">
        <v>1.8</v>
      </c>
      <c r="M264" s="67" t="inlineStr">
        <is>
          <t>Maund</t>
        </is>
      </c>
      <c r="N264" s="76" t="n">
        <v>67.18000000000001</v>
      </c>
      <c r="O264" s="67" t="inlineStr">
        <is>
          <t>PAIR-M4-02</t>
        </is>
      </c>
      <c r="P264" s="68" t="n"/>
    </row>
    <row r="265" ht="19.5" customHeight="1" s="45">
      <c r="B265" s="74" t="inlineStr">
        <is>
          <t>PO-0261</t>
        </is>
      </c>
      <c r="C265" s="67" t="inlineStr">
        <is>
          <t>M4-A-04</t>
        </is>
      </c>
      <c r="D265" s="67" t="inlineStr">
        <is>
          <t>M4</t>
        </is>
      </c>
      <c r="E265" s="67" t="inlineStr">
        <is>
          <t>Aratdar</t>
        </is>
      </c>
      <c r="F265" s="67" t="inlineStr">
        <is>
          <t>S01</t>
        </is>
      </c>
      <c r="G265" s="75" t="n">
        <v>42750</v>
      </c>
      <c r="H265" s="75" t="n">
        <v>44500</v>
      </c>
      <c r="I265" s="67" t="inlineStr">
        <is>
          <t>Maund</t>
        </is>
      </c>
      <c r="J265" s="76" t="n">
        <v>1145.5</v>
      </c>
      <c r="K265" s="76" t="n">
        <v>1192.39</v>
      </c>
      <c r="L265" s="75" t="n">
        <v>5</v>
      </c>
      <c r="M265" s="67" t="inlineStr">
        <is>
          <t>Maund</t>
        </is>
      </c>
      <c r="N265" s="76" t="n">
        <v>186.6</v>
      </c>
      <c r="O265" s="67" t="n"/>
      <c r="P265" s="68" t="n"/>
    </row>
    <row r="266" ht="19.5" customHeight="1" s="45">
      <c r="B266" s="74" t="inlineStr">
        <is>
          <t>PO-0262</t>
        </is>
      </c>
      <c r="C266" s="67" t="inlineStr">
        <is>
          <t>M4-A-04</t>
        </is>
      </c>
      <c r="D266" s="67" t="inlineStr">
        <is>
          <t>M4</t>
        </is>
      </c>
      <c r="E266" s="67" t="inlineStr">
        <is>
          <t>Aratdar</t>
        </is>
      </c>
      <c r="F266" s="67" t="inlineStr">
        <is>
          <t>S05</t>
        </is>
      </c>
      <c r="G266" s="75" t="n">
        <v>16750</v>
      </c>
      <c r="H266" s="75" t="n">
        <v>17500</v>
      </c>
      <c r="I266" s="67" t="inlineStr">
        <is>
          <t>Maund</t>
        </is>
      </c>
      <c r="J266" s="76" t="n">
        <v>448.82</v>
      </c>
      <c r="K266" s="76" t="n">
        <v>468.92</v>
      </c>
      <c r="L266" s="75" t="n">
        <v>6</v>
      </c>
      <c r="M266" s="67" t="inlineStr">
        <is>
          <t>Maund</t>
        </is>
      </c>
      <c r="N266" s="76" t="n">
        <v>223.92</v>
      </c>
      <c r="O266" s="67" t="n"/>
      <c r="P266" s="68" t="n"/>
    </row>
    <row r="267" ht="19.5" customHeight="1" s="45">
      <c r="B267" s="74" t="inlineStr">
        <is>
          <t>PO-0263</t>
        </is>
      </c>
      <c r="C267" s="67" t="inlineStr">
        <is>
          <t>M4-A-04</t>
        </is>
      </c>
      <c r="D267" s="67" t="inlineStr">
        <is>
          <t>M4</t>
        </is>
      </c>
      <c r="E267" s="67" t="inlineStr">
        <is>
          <t>Aratdar</t>
        </is>
      </c>
      <c r="F267" s="67" t="inlineStr">
        <is>
          <t>S06</t>
        </is>
      </c>
      <c r="G267" s="75" t="n">
        <v>13250</v>
      </c>
      <c r="H267" s="75" t="n">
        <v>14000</v>
      </c>
      <c r="I267" s="67" t="inlineStr">
        <is>
          <t>Maund</t>
        </is>
      </c>
      <c r="J267" s="76" t="n">
        <v>355.04</v>
      </c>
      <c r="K267" s="76" t="n">
        <v>375.13</v>
      </c>
      <c r="L267" s="75" t="n">
        <v>5.7</v>
      </c>
      <c r="M267" s="67" t="inlineStr">
        <is>
          <t>Maund</t>
        </is>
      </c>
      <c r="N267" s="76" t="n">
        <v>212.72</v>
      </c>
      <c r="O267" s="67" t="n"/>
      <c r="P267" s="68" t="n"/>
    </row>
    <row r="268" ht="19.5" customHeight="1" s="45">
      <c r="B268" s="74" t="inlineStr">
        <is>
          <t>PO-0264</t>
        </is>
      </c>
      <c r="C268" s="67" t="inlineStr">
        <is>
          <t>M4-A-04</t>
        </is>
      </c>
      <c r="D268" s="67" t="inlineStr">
        <is>
          <t>M4</t>
        </is>
      </c>
      <c r="E268" s="67" t="inlineStr">
        <is>
          <t>Aratdar</t>
        </is>
      </c>
      <c r="F268" s="67" t="inlineStr">
        <is>
          <t>S07</t>
        </is>
      </c>
      <c r="G268" s="75" t="n">
        <v>15250</v>
      </c>
      <c r="H268" s="75" t="n">
        <v>16250</v>
      </c>
      <c r="I268" s="67" t="inlineStr">
        <is>
          <t>Maund</t>
        </is>
      </c>
      <c r="J268" s="76" t="n">
        <v>408.63</v>
      </c>
      <c r="K268" s="76" t="n">
        <v>435.42</v>
      </c>
      <c r="L268" s="75" t="n">
        <v>2.7</v>
      </c>
      <c r="M268" s="67" t="inlineStr">
        <is>
          <t>Maund</t>
        </is>
      </c>
      <c r="N268" s="76" t="n">
        <v>100.76</v>
      </c>
      <c r="O268" s="67" t="n"/>
      <c r="P268" s="68" t="n"/>
    </row>
    <row r="269" ht="19.5" customHeight="1" s="45">
      <c r="B269" s="74" t="inlineStr">
        <is>
          <t>PO-0265</t>
        </is>
      </c>
      <c r="C269" s="67" t="inlineStr">
        <is>
          <t>M4-A-04</t>
        </is>
      </c>
      <c r="D269" s="67" t="inlineStr">
        <is>
          <t>M4</t>
        </is>
      </c>
      <c r="E269" s="67" t="inlineStr">
        <is>
          <t>Aratdar</t>
        </is>
      </c>
      <c r="F269" s="67" t="inlineStr">
        <is>
          <t>S09</t>
        </is>
      </c>
      <c r="G269" s="75" t="n">
        <v>7800</v>
      </c>
      <c r="H269" s="75" t="n">
        <v>8100</v>
      </c>
      <c r="I269" s="67" t="inlineStr">
        <is>
          <t>Maund</t>
        </is>
      </c>
      <c r="J269" s="76" t="n">
        <v>209</v>
      </c>
      <c r="K269" s="76" t="n">
        <v>217.04</v>
      </c>
      <c r="L269" s="75" t="n">
        <v>4</v>
      </c>
      <c r="M269" s="67" t="inlineStr">
        <is>
          <t>Maund</t>
        </is>
      </c>
      <c r="N269" s="76" t="n">
        <v>149.28</v>
      </c>
      <c r="O269" s="67" t="n"/>
      <c r="P269" s="68" t="n"/>
    </row>
    <row r="270" ht="19.5" customHeight="1" s="45">
      <c r="B270" s="74" t="inlineStr">
        <is>
          <t>PO-0266</t>
        </is>
      </c>
      <c r="C270" s="67" t="inlineStr">
        <is>
          <t>M4-A-05</t>
        </is>
      </c>
      <c r="D270" s="67" t="inlineStr">
        <is>
          <t>M4</t>
        </is>
      </c>
      <c r="E270" s="67" t="inlineStr">
        <is>
          <t>Aratdar</t>
        </is>
      </c>
      <c r="F270" s="67" t="inlineStr">
        <is>
          <t>S01</t>
        </is>
      </c>
      <c r="G270" s="75" t="n">
        <v>39250</v>
      </c>
      <c r="H270" s="75" t="n">
        <v>41000</v>
      </c>
      <c r="I270" s="67" t="inlineStr">
        <is>
          <t>Maund</t>
        </is>
      </c>
      <c r="J270" s="76" t="n">
        <v>1051.71</v>
      </c>
      <c r="K270" s="76" t="n">
        <v>1098.61</v>
      </c>
      <c r="L270" s="75" t="n">
        <v>4.1</v>
      </c>
      <c r="M270" s="67" t="inlineStr">
        <is>
          <t>Maund</t>
        </is>
      </c>
      <c r="N270" s="76" t="n">
        <v>153.01</v>
      </c>
      <c r="O270" s="67" t="n"/>
      <c r="P270" s="68" t="n"/>
    </row>
    <row r="271" ht="19.5" customHeight="1" s="45">
      <c r="B271" s="74" t="inlineStr">
        <is>
          <t>PO-0267</t>
        </is>
      </c>
      <c r="C271" s="67" t="inlineStr">
        <is>
          <t>M4-A-05</t>
        </is>
      </c>
      <c r="D271" s="67" t="inlineStr">
        <is>
          <t>M4</t>
        </is>
      </c>
      <c r="E271" s="67" t="inlineStr">
        <is>
          <t>Aratdar</t>
        </is>
      </c>
      <c r="F271" s="67" t="inlineStr">
        <is>
          <t>S02</t>
        </is>
      </c>
      <c r="G271" s="75" t="n">
        <v>42500</v>
      </c>
      <c r="H271" s="75" t="n">
        <v>44250</v>
      </c>
      <c r="I271" s="67" t="inlineStr">
        <is>
          <t>Maund</t>
        </is>
      </c>
      <c r="J271" s="76" t="n">
        <v>1138.8</v>
      </c>
      <c r="K271" s="76" t="n">
        <v>1185.69</v>
      </c>
      <c r="L271" s="75" t="n">
        <v>4.7</v>
      </c>
      <c r="M271" s="67" t="inlineStr">
        <is>
          <t>Maund</t>
        </is>
      </c>
      <c r="N271" s="76" t="n">
        <v>175.4</v>
      </c>
      <c r="O271" s="67" t="n"/>
      <c r="P271" s="68" t="n"/>
    </row>
    <row r="272" ht="19.5" customHeight="1" s="45">
      <c r="B272" s="74" t="inlineStr">
        <is>
          <t>PO-0268</t>
        </is>
      </c>
      <c r="C272" s="67" t="inlineStr">
        <is>
          <t>M4-A-05</t>
        </is>
      </c>
      <c r="D272" s="67" t="inlineStr">
        <is>
          <t>M4</t>
        </is>
      </c>
      <c r="E272" s="67" t="inlineStr">
        <is>
          <t>Aratdar</t>
        </is>
      </c>
      <c r="F272" s="67" t="inlineStr">
        <is>
          <t>S04</t>
        </is>
      </c>
      <c r="G272" s="75" t="n">
        <v>25000</v>
      </c>
      <c r="H272" s="75" t="n">
        <v>26250</v>
      </c>
      <c r="I272" s="67" t="inlineStr">
        <is>
          <t>Maund</t>
        </is>
      </c>
      <c r="J272" s="76" t="n">
        <v>669.88</v>
      </c>
      <c r="K272" s="76" t="n">
        <v>703.38</v>
      </c>
      <c r="L272" s="75" t="n">
        <v>4.8</v>
      </c>
      <c r="M272" s="67" t="inlineStr">
        <is>
          <t>Maund</t>
        </is>
      </c>
      <c r="N272" s="76" t="n">
        <v>179.14</v>
      </c>
      <c r="O272" s="67" t="n"/>
      <c r="P272" s="68" t="n"/>
    </row>
    <row r="273" ht="19.5" customHeight="1" s="45">
      <c r="B273" s="74" t="inlineStr">
        <is>
          <t>PO-0269</t>
        </is>
      </c>
      <c r="C273" s="67" t="inlineStr">
        <is>
          <t>M4-A-05</t>
        </is>
      </c>
      <c r="D273" s="67" t="inlineStr">
        <is>
          <t>M4</t>
        </is>
      </c>
      <c r="E273" s="67" t="inlineStr">
        <is>
          <t>Aratdar</t>
        </is>
      </c>
      <c r="F273" s="67" t="inlineStr">
        <is>
          <t>S05</t>
        </is>
      </c>
      <c r="G273" s="75" t="n">
        <v>15250</v>
      </c>
      <c r="H273" s="75" t="n">
        <v>16250</v>
      </c>
      <c r="I273" s="67" t="inlineStr">
        <is>
          <t>Maund</t>
        </is>
      </c>
      <c r="J273" s="76" t="n">
        <v>408.63</v>
      </c>
      <c r="K273" s="76" t="n">
        <v>435.42</v>
      </c>
      <c r="L273" s="75" t="n">
        <v>4.5</v>
      </c>
      <c r="M273" s="67" t="inlineStr">
        <is>
          <t>Maund</t>
        </is>
      </c>
      <c r="N273" s="76" t="n">
        <v>167.94</v>
      </c>
      <c r="O273" s="67" t="n"/>
      <c r="P273" s="68" t="n"/>
    </row>
    <row r="274" ht="19.5" customHeight="1" s="45">
      <c r="B274" s="74" t="inlineStr">
        <is>
          <t>PO-0270</t>
        </is>
      </c>
      <c r="C274" s="67" t="inlineStr">
        <is>
          <t>M4-A-05</t>
        </is>
      </c>
      <c r="D274" s="67" t="inlineStr">
        <is>
          <t>M4</t>
        </is>
      </c>
      <c r="E274" s="67" t="inlineStr">
        <is>
          <t>Aratdar</t>
        </is>
      </c>
      <c r="F274" s="67" t="inlineStr">
        <is>
          <t>S06</t>
        </is>
      </c>
      <c r="G274" s="75" t="n">
        <v>12250</v>
      </c>
      <c r="H274" s="75" t="n">
        <v>12750</v>
      </c>
      <c r="I274" s="67" t="inlineStr">
        <is>
          <t>Maund</t>
        </is>
      </c>
      <c r="J274" s="76" t="n">
        <v>328.24</v>
      </c>
      <c r="K274" s="76" t="n">
        <v>341.64</v>
      </c>
      <c r="L274" s="75" t="n">
        <v>3.6</v>
      </c>
      <c r="M274" s="67" t="inlineStr">
        <is>
          <t>Maund</t>
        </is>
      </c>
      <c r="N274" s="76" t="n">
        <v>134.35</v>
      </c>
      <c r="O274" s="67" t="n"/>
      <c r="P274" s="68" t="n"/>
    </row>
    <row r="275" ht="19.5" customHeight="1" s="45">
      <c r="B275" s="74" t="inlineStr">
        <is>
          <t>PO-0271</t>
        </is>
      </c>
      <c r="C275" s="67" t="inlineStr">
        <is>
          <t>M4-B-01</t>
        </is>
      </c>
      <c r="D275" s="67" t="inlineStr">
        <is>
          <t>M4</t>
        </is>
      </c>
      <c r="E275" s="67" t="inlineStr">
        <is>
          <t>Bepari_Faria</t>
        </is>
      </c>
      <c r="F275" s="67" t="inlineStr">
        <is>
          <t>S01</t>
        </is>
      </c>
      <c r="G275" s="75" t="n">
        <v>42750</v>
      </c>
      <c r="H275" s="75" t="n">
        <v>46750</v>
      </c>
      <c r="I275" s="67" t="inlineStr">
        <is>
          <t>Maund</t>
        </is>
      </c>
      <c r="J275" s="76" t="n">
        <v>1145.5</v>
      </c>
      <c r="K275" s="76" t="n">
        <v>1252.68</v>
      </c>
      <c r="L275" s="75" t="n">
        <v>1</v>
      </c>
      <c r="M275" s="67" t="inlineStr">
        <is>
          <t>Maund</t>
        </is>
      </c>
      <c r="N275" s="76" t="n">
        <v>37.32</v>
      </c>
      <c r="O275" s="67" t="n"/>
      <c r="P275" s="68" t="n"/>
    </row>
    <row r="276" ht="19.5" customHeight="1" s="45">
      <c r="B276" s="74" t="inlineStr">
        <is>
          <t>PO-0272</t>
        </is>
      </c>
      <c r="C276" s="67" t="inlineStr">
        <is>
          <t>M4-B-01</t>
        </is>
      </c>
      <c r="D276" s="67" t="inlineStr">
        <is>
          <t>M4</t>
        </is>
      </c>
      <c r="E276" s="67" t="inlineStr">
        <is>
          <t>Bepari_Faria</t>
        </is>
      </c>
      <c r="F276" s="67" t="inlineStr">
        <is>
          <t>S02</t>
        </is>
      </c>
      <c r="G276" s="75" t="n">
        <v>49000</v>
      </c>
      <c r="H276" s="75" t="n">
        <v>53500</v>
      </c>
      <c r="I276" s="67" t="inlineStr">
        <is>
          <t>Maund</t>
        </is>
      </c>
      <c r="J276" s="76" t="n">
        <v>1312.97</v>
      </c>
      <c r="K276" s="76" t="n">
        <v>1433.55</v>
      </c>
      <c r="L276" s="75" t="n">
        <v>1.3</v>
      </c>
      <c r="M276" s="67" t="inlineStr">
        <is>
          <t>Maund</t>
        </is>
      </c>
      <c r="N276" s="76" t="n">
        <v>48.52</v>
      </c>
      <c r="O276" s="67" t="n"/>
      <c r="P276" s="68" t="n"/>
    </row>
    <row r="277" ht="19.5" customHeight="1" s="45">
      <c r="B277" s="74" t="inlineStr">
        <is>
          <t>PO-0273</t>
        </is>
      </c>
      <c r="C277" s="67" t="inlineStr">
        <is>
          <t>M4-B-01</t>
        </is>
      </c>
      <c r="D277" s="67" t="inlineStr">
        <is>
          <t>M4</t>
        </is>
      </c>
      <c r="E277" s="67" t="inlineStr">
        <is>
          <t>Bepari_Faria</t>
        </is>
      </c>
      <c r="F277" s="67" t="inlineStr">
        <is>
          <t>S03</t>
        </is>
      </c>
      <c r="G277" s="75" t="n">
        <v>32250</v>
      </c>
      <c r="H277" s="75" t="n">
        <v>36000</v>
      </c>
      <c r="I277" s="67" t="inlineStr">
        <is>
          <t>Maund</t>
        </is>
      </c>
      <c r="J277" s="76" t="n">
        <v>864.15</v>
      </c>
      <c r="K277" s="76" t="n">
        <v>964.63</v>
      </c>
      <c r="L277" s="75" t="n">
        <v>1.8</v>
      </c>
      <c r="M277" s="67" t="inlineStr">
        <is>
          <t>Maund</t>
        </is>
      </c>
      <c r="N277" s="76" t="n">
        <v>67.18000000000001</v>
      </c>
      <c r="O277" s="67" t="n"/>
      <c r="P277" s="68" t="n"/>
    </row>
    <row r="278" ht="19.5" customHeight="1" s="45">
      <c r="B278" s="74" t="inlineStr">
        <is>
          <t>PO-0274</t>
        </is>
      </c>
      <c r="C278" s="67" t="inlineStr">
        <is>
          <t>M4-B-01</t>
        </is>
      </c>
      <c r="D278" s="67" t="inlineStr">
        <is>
          <t>M4</t>
        </is>
      </c>
      <c r="E278" s="67" t="inlineStr">
        <is>
          <t>Bepari_Faria</t>
        </is>
      </c>
      <c r="F278" s="67" t="inlineStr">
        <is>
          <t>S05</t>
        </is>
      </c>
      <c r="G278" s="75" t="n">
        <v>17500</v>
      </c>
      <c r="H278" s="75" t="n">
        <v>19750</v>
      </c>
      <c r="I278" s="67" t="inlineStr">
        <is>
          <t>Maund</t>
        </is>
      </c>
      <c r="J278" s="76" t="n">
        <v>468.92</v>
      </c>
      <c r="K278" s="76" t="n">
        <v>529.21</v>
      </c>
      <c r="L278" s="75" t="n">
        <v>1</v>
      </c>
      <c r="M278" s="67" t="inlineStr">
        <is>
          <t>Maund</t>
        </is>
      </c>
      <c r="N278" s="76" t="n">
        <v>37.32</v>
      </c>
      <c r="O278" s="67" t="n"/>
      <c r="P278" s="68" t="n"/>
    </row>
    <row r="279" ht="19.5" customHeight="1" s="45">
      <c r="B279" s="74" t="inlineStr">
        <is>
          <t>PO-0275</t>
        </is>
      </c>
      <c r="C279" s="67" t="inlineStr">
        <is>
          <t>M4-B-01</t>
        </is>
      </c>
      <c r="D279" s="67" t="inlineStr">
        <is>
          <t>M4</t>
        </is>
      </c>
      <c r="E279" s="67" t="inlineStr">
        <is>
          <t>Bepari_Faria</t>
        </is>
      </c>
      <c r="F279" s="67" t="inlineStr">
        <is>
          <t>S06</t>
        </is>
      </c>
      <c r="G279" s="75" t="n">
        <v>12750</v>
      </c>
      <c r="H279" s="75" t="n">
        <v>14250</v>
      </c>
      <c r="I279" s="67" t="inlineStr">
        <is>
          <t>Maund</t>
        </is>
      </c>
      <c r="J279" s="76" t="n">
        <v>341.64</v>
      </c>
      <c r="K279" s="76" t="n">
        <v>381.83</v>
      </c>
      <c r="L279" s="75" t="n">
        <v>1.7</v>
      </c>
      <c r="M279" s="67" t="inlineStr">
        <is>
          <t>Maund</t>
        </is>
      </c>
      <c r="N279" s="76" t="n">
        <v>63.44</v>
      </c>
      <c r="O279" s="67" t="n"/>
      <c r="P279" s="68" t="n"/>
    </row>
    <row r="280" ht="19.5" customHeight="1" s="45">
      <c r="B280" s="74" t="inlineStr">
        <is>
          <t>PO-0276</t>
        </is>
      </c>
      <c r="C280" s="67" t="inlineStr">
        <is>
          <t>M4-B-01</t>
        </is>
      </c>
      <c r="D280" s="67" t="inlineStr">
        <is>
          <t>M4</t>
        </is>
      </c>
      <c r="E280" s="67" t="inlineStr">
        <is>
          <t>Bepari_Faria</t>
        </is>
      </c>
      <c r="F280" s="67" t="inlineStr">
        <is>
          <t>S07</t>
        </is>
      </c>
      <c r="G280" s="75" t="inlineStr">
        <is>
          <t>K</t>
        </is>
      </c>
      <c r="H280" s="75" t="inlineStr">
        <is>
          <t>K</t>
        </is>
      </c>
      <c r="I280" s="67" t="n"/>
      <c r="J280" s="76" t="n"/>
      <c r="K280" s="76" t="n"/>
      <c r="L280" s="75" t="n"/>
      <c r="M280" s="67" t="n"/>
      <c r="N280" s="76" t="n"/>
      <c r="O280" s="67" t="n"/>
      <c r="P280" s="68" t="inlineStr">
        <is>
          <t>Species not handled today</t>
        </is>
      </c>
    </row>
    <row r="281" ht="19.5" customHeight="1" s="45">
      <c r="B281" s="74" t="inlineStr">
        <is>
          <t>PO-0277</t>
        </is>
      </c>
      <c r="C281" s="67" t="inlineStr">
        <is>
          <t>M4-B-01</t>
        </is>
      </c>
      <c r="D281" s="67" t="inlineStr">
        <is>
          <t>M4</t>
        </is>
      </c>
      <c r="E281" s="67" t="inlineStr">
        <is>
          <t>Bepari_Faria</t>
        </is>
      </c>
      <c r="F281" s="67" t="inlineStr">
        <is>
          <t>S08</t>
        </is>
      </c>
      <c r="G281" s="75" t="inlineStr">
        <is>
          <t>K</t>
        </is>
      </c>
      <c r="H281" s="75" t="inlineStr">
        <is>
          <t>K</t>
        </is>
      </c>
      <c r="I281" s="67" t="n"/>
      <c r="J281" s="76" t="n"/>
      <c r="K281" s="76" t="n"/>
      <c r="L281" s="75" t="n"/>
      <c r="M281" s="67" t="n"/>
      <c r="N281" s="76" t="n"/>
      <c r="O281" s="67" t="n"/>
      <c r="P281" s="68" t="inlineStr">
        <is>
          <t>Species not handled today</t>
        </is>
      </c>
    </row>
    <row r="282" ht="19.5" customHeight="1" s="45">
      <c r="B282" s="74" t="inlineStr">
        <is>
          <t>PO-0278</t>
        </is>
      </c>
      <c r="C282" s="67" t="inlineStr">
        <is>
          <t>M4-B-02</t>
        </is>
      </c>
      <c r="D282" s="67" t="inlineStr">
        <is>
          <t>M4</t>
        </is>
      </c>
      <c r="E282" s="67" t="inlineStr">
        <is>
          <t>Bepari_Faria</t>
        </is>
      </c>
      <c r="F282" s="67" t="inlineStr">
        <is>
          <t>S02</t>
        </is>
      </c>
      <c r="G282" s="75" t="n">
        <v>48500</v>
      </c>
      <c r="H282" s="75" t="n">
        <v>52750</v>
      </c>
      <c r="I282" s="67" t="inlineStr">
        <is>
          <t>Maund</t>
        </is>
      </c>
      <c r="J282" s="76" t="n">
        <v>1299.57</v>
      </c>
      <c r="K282" s="76" t="n">
        <v>1413.45</v>
      </c>
      <c r="L282" s="75" t="n">
        <v>0.8</v>
      </c>
      <c r="M282" s="67" t="inlineStr">
        <is>
          <t>Maund</t>
        </is>
      </c>
      <c r="N282" s="76" t="n">
        <v>29.86</v>
      </c>
      <c r="O282" s="67" t="n"/>
      <c r="P282" s="68" t="n"/>
    </row>
    <row r="283" ht="19.5" customHeight="1" s="45">
      <c r="B283" s="74" t="inlineStr">
        <is>
          <t>PO-0279</t>
        </is>
      </c>
      <c r="C283" s="67" t="inlineStr">
        <is>
          <t>M4-B-02</t>
        </is>
      </c>
      <c r="D283" s="67" t="inlineStr">
        <is>
          <t>M4</t>
        </is>
      </c>
      <c r="E283" s="67" t="inlineStr">
        <is>
          <t>Bepari_Faria</t>
        </is>
      </c>
      <c r="F283" s="67" t="inlineStr">
        <is>
          <t>S04</t>
        </is>
      </c>
      <c r="G283" s="75" t="n">
        <v>26250</v>
      </c>
      <c r="H283" s="75" t="n">
        <v>28750</v>
      </c>
      <c r="I283" s="67" t="inlineStr">
        <is>
          <t>Maund</t>
        </is>
      </c>
      <c r="J283" s="76" t="n">
        <v>703.38</v>
      </c>
      <c r="K283" s="76" t="n">
        <v>770.36</v>
      </c>
      <c r="L283" s="75" t="n">
        <v>0.5</v>
      </c>
      <c r="M283" s="67" t="inlineStr">
        <is>
          <t>Maund</t>
        </is>
      </c>
      <c r="N283" s="76" t="n">
        <v>18.66</v>
      </c>
      <c r="O283" s="67" t="n"/>
      <c r="P283" s="68" t="n"/>
    </row>
    <row r="284" ht="19.5" customHeight="1" s="45">
      <c r="B284" s="74" t="inlineStr">
        <is>
          <t>PO-0280</t>
        </is>
      </c>
      <c r="C284" s="67" t="inlineStr">
        <is>
          <t>M4-B-02</t>
        </is>
      </c>
      <c r="D284" s="67" t="inlineStr">
        <is>
          <t>M4</t>
        </is>
      </c>
      <c r="E284" s="67" t="inlineStr">
        <is>
          <t>Bepari_Faria</t>
        </is>
      </c>
      <c r="F284" s="67" t="inlineStr">
        <is>
          <t>S05</t>
        </is>
      </c>
      <c r="G284" s="75" t="n">
        <v>16500</v>
      </c>
      <c r="H284" s="75" t="n">
        <v>18500</v>
      </c>
      <c r="I284" s="67" t="inlineStr">
        <is>
          <t>Maund</t>
        </is>
      </c>
      <c r="J284" s="76" t="n">
        <v>442.12</v>
      </c>
      <c r="K284" s="76" t="n">
        <v>495.71</v>
      </c>
      <c r="L284" s="75" t="n">
        <v>0.5</v>
      </c>
      <c r="M284" s="67" t="inlineStr">
        <is>
          <t>Maund</t>
        </is>
      </c>
      <c r="N284" s="76" t="n">
        <v>18.66</v>
      </c>
      <c r="O284" s="67" t="n"/>
      <c r="P284" s="68" t="n"/>
    </row>
    <row r="285" ht="19.5" customHeight="1" s="45">
      <c r="B285" s="74" t="inlineStr">
        <is>
          <t>PO-0281</t>
        </is>
      </c>
      <c r="C285" s="67" t="inlineStr">
        <is>
          <t>M4-B-02</t>
        </is>
      </c>
      <c r="D285" s="67" t="inlineStr">
        <is>
          <t>M4</t>
        </is>
      </c>
      <c r="E285" s="67" t="inlineStr">
        <is>
          <t>Bepari_Faria</t>
        </is>
      </c>
      <c r="F285" s="67" t="inlineStr">
        <is>
          <t>S06</t>
        </is>
      </c>
      <c r="G285" s="75" t="n">
        <v>13750</v>
      </c>
      <c r="H285" s="75" t="n">
        <v>15500</v>
      </c>
      <c r="I285" s="67" t="inlineStr">
        <is>
          <t>Maund</t>
        </is>
      </c>
      <c r="J285" s="76" t="n">
        <v>368.44</v>
      </c>
      <c r="K285" s="76" t="n">
        <v>415.33</v>
      </c>
      <c r="L285" s="75" t="n">
        <v>0.6</v>
      </c>
      <c r="M285" s="67" t="inlineStr">
        <is>
          <t>Maund</t>
        </is>
      </c>
      <c r="N285" s="76" t="n">
        <v>22.39</v>
      </c>
      <c r="O285" s="67" t="n"/>
      <c r="P285" s="68" t="n"/>
    </row>
    <row r="286" ht="19.5" customHeight="1" s="45">
      <c r="B286" s="74" t="inlineStr">
        <is>
          <t>PO-0282</t>
        </is>
      </c>
      <c r="C286" s="67" t="inlineStr">
        <is>
          <t>M4-B-02</t>
        </is>
      </c>
      <c r="D286" s="67" t="inlineStr">
        <is>
          <t>M4</t>
        </is>
      </c>
      <c r="E286" s="67" t="inlineStr">
        <is>
          <t>Bepari_Faria</t>
        </is>
      </c>
      <c r="F286" s="67" t="inlineStr">
        <is>
          <t>S10</t>
        </is>
      </c>
      <c r="G286" s="75" t="n">
        <v>7200</v>
      </c>
      <c r="H286" s="75" t="n">
        <v>7700</v>
      </c>
      <c r="I286" s="67" t="inlineStr">
        <is>
          <t>Maund</t>
        </is>
      </c>
      <c r="J286" s="76" t="n">
        <v>192.93</v>
      </c>
      <c r="K286" s="76" t="n">
        <v>206.32</v>
      </c>
      <c r="L286" s="75" t="n">
        <v>0.7</v>
      </c>
      <c r="M286" s="67" t="inlineStr">
        <is>
          <t>Maund</t>
        </is>
      </c>
      <c r="N286" s="76" t="n">
        <v>26.12</v>
      </c>
      <c r="O286" s="67" t="n"/>
      <c r="P286" s="68" t="n"/>
    </row>
    <row r="287" ht="19.5" customHeight="1" s="45">
      <c r="B287" s="74" t="inlineStr">
        <is>
          <t>PO-0283</t>
        </is>
      </c>
      <c r="C287" s="67" t="inlineStr">
        <is>
          <t>M4-B-02</t>
        </is>
      </c>
      <c r="D287" s="67" t="inlineStr">
        <is>
          <t>M4</t>
        </is>
      </c>
      <c r="E287" s="67" t="inlineStr">
        <is>
          <t>Bepari_Faria</t>
        </is>
      </c>
      <c r="F287" s="67" t="inlineStr">
        <is>
          <t>S08</t>
        </is>
      </c>
      <c r="G287" s="75" t="inlineStr">
        <is>
          <t>K</t>
        </is>
      </c>
      <c r="H287" s="75" t="inlineStr">
        <is>
          <t>K</t>
        </is>
      </c>
      <c r="I287" s="67" t="n"/>
      <c r="J287" s="76" t="n"/>
      <c r="K287" s="76" t="n"/>
      <c r="L287" s="75" t="n"/>
      <c r="M287" s="67" t="n"/>
      <c r="N287" s="76" t="n"/>
      <c r="O287" s="67" t="n"/>
      <c r="P287" s="68" t="inlineStr">
        <is>
          <t>Species not handled today</t>
        </is>
      </c>
    </row>
    <row r="288" ht="19.5" customHeight="1" s="45">
      <c r="B288" s="74" t="inlineStr">
        <is>
          <t>PO-0284</t>
        </is>
      </c>
      <c r="C288" s="67" t="inlineStr">
        <is>
          <t>M4-B-02</t>
        </is>
      </c>
      <c r="D288" s="67" t="inlineStr">
        <is>
          <t>M4</t>
        </is>
      </c>
      <c r="E288" s="67" t="inlineStr">
        <is>
          <t>Bepari_Faria</t>
        </is>
      </c>
      <c r="F288" s="67" t="inlineStr">
        <is>
          <t>S09</t>
        </is>
      </c>
      <c r="G288" s="75" t="inlineStr">
        <is>
          <t>K</t>
        </is>
      </c>
      <c r="H288" s="75" t="inlineStr">
        <is>
          <t>K</t>
        </is>
      </c>
      <c r="I288" s="67" t="n"/>
      <c r="J288" s="76" t="n"/>
      <c r="K288" s="76" t="n"/>
      <c r="L288" s="75" t="n"/>
      <c r="M288" s="67" t="n"/>
      <c r="N288" s="76" t="n"/>
      <c r="O288" s="67" t="n"/>
      <c r="P288" s="68" t="inlineStr">
        <is>
          <t>Species not handled today</t>
        </is>
      </c>
    </row>
    <row r="289" ht="19.5" customHeight="1" s="45">
      <c r="B289" s="74" t="inlineStr">
        <is>
          <t>PO-0285</t>
        </is>
      </c>
      <c r="C289" s="67" t="inlineStr">
        <is>
          <t>M4-B-03</t>
        </is>
      </c>
      <c r="D289" s="67" t="inlineStr">
        <is>
          <t>M4</t>
        </is>
      </c>
      <c r="E289" s="67" t="inlineStr">
        <is>
          <t>Bepari_Faria</t>
        </is>
      </c>
      <c r="F289" s="67" t="inlineStr">
        <is>
          <t>S02</t>
        </is>
      </c>
      <c r="G289" s="75" t="n">
        <v>44250</v>
      </c>
      <c r="H289" s="75" t="n">
        <v>49750</v>
      </c>
      <c r="I289" s="67" t="inlineStr">
        <is>
          <t>Maund</t>
        </is>
      </c>
      <c r="J289" s="76" t="n">
        <v>1185.69</v>
      </c>
      <c r="K289" s="76" t="n">
        <v>1333.07</v>
      </c>
      <c r="L289" s="75" t="n">
        <v>0.6</v>
      </c>
      <c r="M289" s="67" t="inlineStr">
        <is>
          <t>Maund</t>
        </is>
      </c>
      <c r="N289" s="76" t="n">
        <v>22.39</v>
      </c>
      <c r="O289" s="67" t="n"/>
      <c r="P289" s="68" t="n"/>
    </row>
    <row r="290" ht="19.5" customHeight="1" s="45">
      <c r="B290" s="74" t="inlineStr">
        <is>
          <t>PO-0286</t>
        </is>
      </c>
      <c r="C290" s="67" t="inlineStr">
        <is>
          <t>M4-B-03</t>
        </is>
      </c>
      <c r="D290" s="67" t="inlineStr">
        <is>
          <t>M4</t>
        </is>
      </c>
      <c r="E290" s="67" t="inlineStr">
        <is>
          <t>Bepari_Faria</t>
        </is>
      </c>
      <c r="F290" s="67" t="inlineStr">
        <is>
          <t>S03</t>
        </is>
      </c>
      <c r="G290" s="75" t="n">
        <v>31250</v>
      </c>
      <c r="H290" s="75" t="n">
        <v>33500</v>
      </c>
      <c r="I290" s="67" t="inlineStr">
        <is>
          <t>Maund</t>
        </is>
      </c>
      <c r="J290" s="76" t="n">
        <v>837.35</v>
      </c>
      <c r="K290" s="76" t="n">
        <v>897.64</v>
      </c>
      <c r="L290" s="75" t="n">
        <v>0.6</v>
      </c>
      <c r="M290" s="67" t="inlineStr">
        <is>
          <t>Maund</t>
        </is>
      </c>
      <c r="N290" s="76" t="n">
        <v>22.39</v>
      </c>
      <c r="O290" s="67" t="n"/>
      <c r="P290" s="68" t="n"/>
    </row>
    <row r="291" ht="19.5" customHeight="1" s="45">
      <c r="B291" s="74" t="inlineStr">
        <is>
          <t>PO-0287</t>
        </is>
      </c>
      <c r="C291" s="67" t="inlineStr">
        <is>
          <t>M4-B-03</t>
        </is>
      </c>
      <c r="D291" s="67" t="inlineStr">
        <is>
          <t>M4</t>
        </is>
      </c>
      <c r="E291" s="67" t="inlineStr">
        <is>
          <t>Bepari_Faria</t>
        </is>
      </c>
      <c r="F291" s="67" t="inlineStr">
        <is>
          <t>S05</t>
        </is>
      </c>
      <c r="G291" s="75" t="n">
        <v>17500</v>
      </c>
      <c r="H291" s="75" t="n">
        <v>19250</v>
      </c>
      <c r="I291" s="67" t="inlineStr">
        <is>
          <t>Maund</t>
        </is>
      </c>
      <c r="J291" s="76" t="n">
        <v>468.92</v>
      </c>
      <c r="K291" s="76" t="n">
        <v>515.8099999999999</v>
      </c>
      <c r="L291" s="75" t="n">
        <v>0.8</v>
      </c>
      <c r="M291" s="67" t="inlineStr">
        <is>
          <t>Maund</t>
        </is>
      </c>
      <c r="N291" s="76" t="n">
        <v>29.86</v>
      </c>
      <c r="O291" s="67" t="n"/>
      <c r="P291" s="68" t="n"/>
    </row>
    <row r="292" ht="19.5" customHeight="1" s="45">
      <c r="B292" s="74" t="inlineStr">
        <is>
          <t>PO-0288</t>
        </is>
      </c>
      <c r="C292" s="67" t="inlineStr">
        <is>
          <t>M4-B-03</t>
        </is>
      </c>
      <c r="D292" s="67" t="inlineStr">
        <is>
          <t>M4</t>
        </is>
      </c>
      <c r="E292" s="67" t="inlineStr">
        <is>
          <t>Bepari_Faria</t>
        </is>
      </c>
      <c r="F292" s="67" t="inlineStr">
        <is>
          <t>S06</t>
        </is>
      </c>
      <c r="G292" s="75" t="n">
        <v>13250</v>
      </c>
      <c r="H292" s="75" t="n">
        <v>14750</v>
      </c>
      <c r="I292" s="67" t="inlineStr">
        <is>
          <t>Maund</t>
        </is>
      </c>
      <c r="J292" s="76" t="n">
        <v>355.04</v>
      </c>
      <c r="K292" s="76" t="n">
        <v>395.23</v>
      </c>
      <c r="L292" s="75" t="n">
        <v>0.5</v>
      </c>
      <c r="M292" s="67" t="inlineStr">
        <is>
          <t>Maund</t>
        </is>
      </c>
      <c r="N292" s="76" t="n">
        <v>18.66</v>
      </c>
      <c r="O292" s="67" t="n"/>
      <c r="P292" s="68" t="n"/>
    </row>
    <row r="293" ht="19.5" customHeight="1" s="45">
      <c r="B293" s="74" t="inlineStr">
        <is>
          <t>PO-0289</t>
        </is>
      </c>
      <c r="C293" s="67" t="inlineStr">
        <is>
          <t>M4-B-03</t>
        </is>
      </c>
      <c r="D293" s="67" t="inlineStr">
        <is>
          <t>M4</t>
        </is>
      </c>
      <c r="E293" s="67" t="inlineStr">
        <is>
          <t>Bepari_Faria</t>
        </is>
      </c>
      <c r="F293" s="67" t="inlineStr">
        <is>
          <t>S07</t>
        </is>
      </c>
      <c r="G293" s="75" t="n">
        <v>15250</v>
      </c>
      <c r="H293" s="75" t="n">
        <v>16500</v>
      </c>
      <c r="I293" s="67" t="inlineStr">
        <is>
          <t>Maund</t>
        </is>
      </c>
      <c r="J293" s="76" t="n">
        <v>408.63</v>
      </c>
      <c r="K293" s="76" t="n">
        <v>442.12</v>
      </c>
      <c r="L293" s="75" t="n">
        <v>0.9</v>
      </c>
      <c r="M293" s="67" t="inlineStr">
        <is>
          <t>Maund</t>
        </is>
      </c>
      <c r="N293" s="76" t="n">
        <v>33.59</v>
      </c>
      <c r="O293" s="67" t="n"/>
      <c r="P293" s="68" t="n"/>
    </row>
    <row r="294" ht="19.5" customHeight="1" s="45">
      <c r="B294" s="74" t="inlineStr">
        <is>
          <t>PO-0290</t>
        </is>
      </c>
      <c r="C294" s="67" t="inlineStr">
        <is>
          <t>M4-B-03</t>
        </is>
      </c>
      <c r="D294" s="67" t="inlineStr">
        <is>
          <t>M4</t>
        </is>
      </c>
      <c r="E294" s="67" t="inlineStr">
        <is>
          <t>Bepari_Faria</t>
        </is>
      </c>
      <c r="F294" s="67" t="inlineStr">
        <is>
          <t>S09</t>
        </is>
      </c>
      <c r="G294" s="75" t="inlineStr">
        <is>
          <t>K</t>
        </is>
      </c>
      <c r="H294" s="75" t="inlineStr">
        <is>
          <t>K</t>
        </is>
      </c>
      <c r="I294" s="67" t="n"/>
      <c r="J294" s="76" t="n"/>
      <c r="K294" s="76" t="n"/>
      <c r="L294" s="75" t="n"/>
      <c r="M294" s="67" t="n"/>
      <c r="N294" s="76" t="n"/>
      <c r="O294" s="67" t="n"/>
      <c r="P294" s="68" t="inlineStr">
        <is>
          <t>Species not handled today</t>
        </is>
      </c>
    </row>
    <row r="295" ht="19.5" customHeight="1" s="45">
      <c r="B295" s="74" t="inlineStr">
        <is>
          <t>PO-0291</t>
        </is>
      </c>
      <c r="C295" s="67" t="inlineStr">
        <is>
          <t>M4-B-04</t>
        </is>
      </c>
      <c r="D295" s="67" t="inlineStr">
        <is>
          <t>M4</t>
        </is>
      </c>
      <c r="E295" s="67" t="inlineStr">
        <is>
          <t>Bepari_Faria</t>
        </is>
      </c>
      <c r="F295" s="67" t="inlineStr">
        <is>
          <t>S02</t>
        </is>
      </c>
      <c r="G295" s="75" t="n">
        <v>48500</v>
      </c>
      <c r="H295" s="75" t="n">
        <v>52750</v>
      </c>
      <c r="I295" s="67" t="inlineStr">
        <is>
          <t>Maund</t>
        </is>
      </c>
      <c r="J295" s="76" t="n">
        <v>1299.57</v>
      </c>
      <c r="K295" s="76" t="n">
        <v>1413.45</v>
      </c>
      <c r="L295" s="75" t="n">
        <v>2</v>
      </c>
      <c r="M295" s="67" t="inlineStr">
        <is>
          <t>Maund</t>
        </is>
      </c>
      <c r="N295" s="76" t="n">
        <v>74.64</v>
      </c>
      <c r="O295" s="67" t="n"/>
      <c r="P295" s="68" t="n"/>
    </row>
    <row r="296" ht="19.5" customHeight="1" s="45">
      <c r="B296" s="74" t="inlineStr">
        <is>
          <t>PO-0292</t>
        </is>
      </c>
      <c r="C296" s="67" t="inlineStr">
        <is>
          <t>M4-B-04</t>
        </is>
      </c>
      <c r="D296" s="67" t="inlineStr">
        <is>
          <t>M4</t>
        </is>
      </c>
      <c r="E296" s="67" t="inlineStr">
        <is>
          <t>Bepari_Faria</t>
        </is>
      </c>
      <c r="F296" s="67" t="inlineStr">
        <is>
          <t>S03</t>
        </is>
      </c>
      <c r="G296" s="75" t="n">
        <v>29500</v>
      </c>
      <c r="H296" s="75" t="n">
        <v>32250</v>
      </c>
      <c r="I296" s="67" t="inlineStr">
        <is>
          <t>Maund</t>
        </is>
      </c>
      <c r="J296" s="76" t="n">
        <v>790.46</v>
      </c>
      <c r="K296" s="76" t="n">
        <v>864.15</v>
      </c>
      <c r="L296" s="75" t="n">
        <v>1</v>
      </c>
      <c r="M296" s="67" t="inlineStr">
        <is>
          <t>Maund</t>
        </is>
      </c>
      <c r="N296" s="76" t="n">
        <v>37.32</v>
      </c>
      <c r="O296" s="67" t="n"/>
      <c r="P296" s="68" t="n"/>
    </row>
    <row r="297" ht="19.5" customHeight="1" s="45">
      <c r="B297" s="74" t="inlineStr">
        <is>
          <t>PO-0293</t>
        </is>
      </c>
      <c r="C297" s="67" t="inlineStr">
        <is>
          <t>M4-B-04</t>
        </is>
      </c>
      <c r="D297" s="67" t="inlineStr">
        <is>
          <t>M4</t>
        </is>
      </c>
      <c r="E297" s="67" t="inlineStr">
        <is>
          <t>Bepari_Faria</t>
        </is>
      </c>
      <c r="F297" s="67" t="inlineStr">
        <is>
          <t>S04</t>
        </is>
      </c>
      <c r="G297" s="75" t="n">
        <v>26500</v>
      </c>
      <c r="H297" s="75" t="n">
        <v>29000</v>
      </c>
      <c r="I297" s="67" t="inlineStr">
        <is>
          <t>Maund</t>
        </is>
      </c>
      <c r="J297" s="76" t="n">
        <v>710.08</v>
      </c>
      <c r="K297" s="76" t="n">
        <v>777.0599999999999</v>
      </c>
      <c r="L297" s="75" t="n">
        <v>1.9</v>
      </c>
      <c r="M297" s="67" t="inlineStr">
        <is>
          <t>Maund</t>
        </is>
      </c>
      <c r="N297" s="76" t="n">
        <v>70.91</v>
      </c>
      <c r="O297" s="67" t="n"/>
      <c r="P297" s="68" t="n"/>
    </row>
    <row r="298" ht="19.5" customHeight="1" s="45">
      <c r="B298" s="74" t="inlineStr">
        <is>
          <t>PO-0294</t>
        </is>
      </c>
      <c r="C298" s="67" t="inlineStr">
        <is>
          <t>M4-B-04</t>
        </is>
      </c>
      <c r="D298" s="67" t="inlineStr">
        <is>
          <t>M4</t>
        </is>
      </c>
      <c r="E298" s="67" t="inlineStr">
        <is>
          <t>Bepari_Faria</t>
        </is>
      </c>
      <c r="F298" s="67" t="inlineStr">
        <is>
          <t>S07</t>
        </is>
      </c>
      <c r="G298" s="75" t="n">
        <v>14500</v>
      </c>
      <c r="H298" s="75" t="n">
        <v>15750</v>
      </c>
      <c r="I298" s="67" t="inlineStr">
        <is>
          <t>Maund</t>
        </is>
      </c>
      <c r="J298" s="76" t="n">
        <v>388.53</v>
      </c>
      <c r="K298" s="76" t="n">
        <v>422.03</v>
      </c>
      <c r="L298" s="75" t="n">
        <v>1.7</v>
      </c>
      <c r="M298" s="67" t="inlineStr">
        <is>
          <t>Maund</t>
        </is>
      </c>
      <c r="N298" s="76" t="n">
        <v>63.44</v>
      </c>
      <c r="O298" s="67" t="n"/>
      <c r="P298" s="68" t="n"/>
    </row>
    <row r="299" ht="19.5" customHeight="1" s="45">
      <c r="B299" s="74" t="inlineStr">
        <is>
          <t>PO-0295</t>
        </is>
      </c>
      <c r="C299" s="67" t="inlineStr">
        <is>
          <t>M4-B-04</t>
        </is>
      </c>
      <c r="D299" s="67" t="inlineStr">
        <is>
          <t>M4</t>
        </is>
      </c>
      <c r="E299" s="67" t="inlineStr">
        <is>
          <t>Bepari_Faria</t>
        </is>
      </c>
      <c r="F299" s="67" t="inlineStr">
        <is>
          <t>S10</t>
        </is>
      </c>
      <c r="G299" s="75" t="n">
        <v>6900</v>
      </c>
      <c r="H299" s="75" t="n">
        <v>7600</v>
      </c>
      <c r="I299" s="67" t="inlineStr">
        <is>
          <t>Maund</t>
        </is>
      </c>
      <c r="J299" s="76" t="n">
        <v>184.89</v>
      </c>
      <c r="K299" s="76" t="n">
        <v>203.64</v>
      </c>
      <c r="L299" s="75" t="n">
        <v>1.8</v>
      </c>
      <c r="M299" s="67" t="inlineStr">
        <is>
          <t>Maund</t>
        </is>
      </c>
      <c r="N299" s="76" t="n">
        <v>67.18000000000001</v>
      </c>
      <c r="O299" s="67" t="n"/>
      <c r="P299" s="68" t="n"/>
    </row>
    <row r="300" ht="19.5" customHeight="1" s="45">
      <c r="B300" s="74" t="inlineStr">
        <is>
          <t>PO-0296</t>
        </is>
      </c>
      <c r="C300" s="67" t="inlineStr">
        <is>
          <t>M4-B-04</t>
        </is>
      </c>
      <c r="D300" s="67" t="inlineStr">
        <is>
          <t>M4</t>
        </is>
      </c>
      <c r="E300" s="67" t="inlineStr">
        <is>
          <t>Bepari_Faria</t>
        </is>
      </c>
      <c r="F300" s="67" t="inlineStr">
        <is>
          <t>S08</t>
        </is>
      </c>
      <c r="G300" s="75" t="inlineStr">
        <is>
          <t>K</t>
        </is>
      </c>
      <c r="H300" s="75" t="inlineStr">
        <is>
          <t>K</t>
        </is>
      </c>
      <c r="I300" s="67" t="n"/>
      <c r="J300" s="76" t="n"/>
      <c r="K300" s="76" t="n"/>
      <c r="L300" s="75" t="n"/>
      <c r="M300" s="67" t="n"/>
      <c r="N300" s="76" t="n"/>
      <c r="O300" s="67" t="n"/>
      <c r="P300" s="68" t="inlineStr">
        <is>
          <t>Species not handled today</t>
        </is>
      </c>
    </row>
    <row r="301" ht="19.5" customHeight="1" s="45">
      <c r="B301" s="74" t="inlineStr">
        <is>
          <t>PO-0297</t>
        </is>
      </c>
      <c r="C301" s="67" t="inlineStr">
        <is>
          <t>M4-B-05</t>
        </is>
      </c>
      <c r="D301" s="67" t="inlineStr">
        <is>
          <t>M4</t>
        </is>
      </c>
      <c r="E301" s="67" t="inlineStr">
        <is>
          <t>Bepari_Faria</t>
        </is>
      </c>
      <c r="F301" s="67" t="inlineStr">
        <is>
          <t>S10</t>
        </is>
      </c>
      <c r="G301" s="75" t="n">
        <v>6700</v>
      </c>
      <c r="H301" s="75" t="n">
        <v>7500</v>
      </c>
      <c r="I301" s="67" t="inlineStr">
        <is>
          <t>Maund</t>
        </is>
      </c>
      <c r="J301" s="76" t="n">
        <v>179.53</v>
      </c>
      <c r="K301" s="76" t="n">
        <v>200.96</v>
      </c>
      <c r="L301" s="75" t="n">
        <v>1.6</v>
      </c>
      <c r="M301" s="67" t="inlineStr">
        <is>
          <t>Maund</t>
        </is>
      </c>
      <c r="N301" s="76" t="n">
        <v>59.71</v>
      </c>
      <c r="O301" s="67" t="n"/>
      <c r="P301" s="68" t="n"/>
    </row>
    <row r="302" ht="19.5" customHeight="1" s="45">
      <c r="B302" s="74" t="inlineStr">
        <is>
          <t>PO-0298</t>
        </is>
      </c>
      <c r="C302" s="67" t="inlineStr">
        <is>
          <t>M4-B-05</t>
        </is>
      </c>
      <c r="D302" s="67" t="inlineStr">
        <is>
          <t>M4</t>
        </is>
      </c>
      <c r="E302" s="67" t="inlineStr">
        <is>
          <t>Bepari_Faria</t>
        </is>
      </c>
      <c r="F302" s="67" t="inlineStr">
        <is>
          <t>S02</t>
        </is>
      </c>
      <c r="G302" s="75" t="n">
        <v>49750</v>
      </c>
      <c r="H302" s="75" t="n">
        <v>54250</v>
      </c>
      <c r="I302" s="67" t="inlineStr">
        <is>
          <t>Maund</t>
        </is>
      </c>
      <c r="J302" s="76" t="n">
        <v>1333.07</v>
      </c>
      <c r="K302" s="76" t="n">
        <v>1453.64</v>
      </c>
      <c r="L302" s="75" t="n">
        <v>1.6</v>
      </c>
      <c r="M302" s="67" t="inlineStr">
        <is>
          <t>Maund</t>
        </is>
      </c>
      <c r="N302" s="76" t="n">
        <v>59.71</v>
      </c>
      <c r="O302" s="67" t="n"/>
      <c r="P302" s="68" t="n"/>
    </row>
    <row r="303" ht="19.5" customHeight="1" s="45">
      <c r="B303" s="74" t="inlineStr">
        <is>
          <t>PO-0299</t>
        </is>
      </c>
      <c r="C303" s="67" t="inlineStr">
        <is>
          <t>M4-B-05</t>
        </is>
      </c>
      <c r="D303" s="67" t="inlineStr">
        <is>
          <t>M4</t>
        </is>
      </c>
      <c r="E303" s="67" t="inlineStr">
        <is>
          <t>Bepari_Faria</t>
        </is>
      </c>
      <c r="F303" s="67" t="inlineStr">
        <is>
          <t>S03</t>
        </is>
      </c>
      <c r="G303" s="75" t="n">
        <v>31500</v>
      </c>
      <c r="H303" s="75" t="n">
        <v>34250</v>
      </c>
      <c r="I303" s="67" t="inlineStr">
        <is>
          <t>Maund</t>
        </is>
      </c>
      <c r="J303" s="76" t="n">
        <v>844.05</v>
      </c>
      <c r="K303" s="76" t="n">
        <v>917.74</v>
      </c>
      <c r="L303" s="75" t="n">
        <v>2.1</v>
      </c>
      <c r="M303" s="67" t="inlineStr">
        <is>
          <t>Maund</t>
        </is>
      </c>
      <c r="N303" s="76" t="n">
        <v>78.37</v>
      </c>
      <c r="O303" s="67" t="n"/>
      <c r="P303" s="68" t="n"/>
    </row>
    <row r="304" ht="19.5" customHeight="1" s="45">
      <c r="B304" s="74" t="inlineStr">
        <is>
          <t>PO-0300</t>
        </is>
      </c>
      <c r="C304" s="67" t="inlineStr">
        <is>
          <t>M4-B-05</t>
        </is>
      </c>
      <c r="D304" s="67" t="inlineStr">
        <is>
          <t>M4</t>
        </is>
      </c>
      <c r="E304" s="67" t="inlineStr">
        <is>
          <t>Bepari_Faria</t>
        </is>
      </c>
      <c r="F304" s="67" t="inlineStr">
        <is>
          <t>S05</t>
        </is>
      </c>
      <c r="G304" s="75" t="n">
        <v>16500</v>
      </c>
      <c r="H304" s="75" t="n">
        <v>18000</v>
      </c>
      <c r="I304" s="67" t="inlineStr">
        <is>
          <t>Maund</t>
        </is>
      </c>
      <c r="J304" s="76" t="n">
        <v>442.12</v>
      </c>
      <c r="K304" s="76" t="n">
        <v>482.32</v>
      </c>
      <c r="L304" s="75" t="n">
        <v>2</v>
      </c>
      <c r="M304" s="67" t="inlineStr">
        <is>
          <t>Maund</t>
        </is>
      </c>
      <c r="N304" s="76" t="n">
        <v>74.64</v>
      </c>
      <c r="O304" s="67" t="n"/>
      <c r="P304" s="68" t="n"/>
    </row>
    <row r="305" ht="19.5" customHeight="1" s="45">
      <c r="B305" s="74" t="inlineStr">
        <is>
          <t>PO-0301</t>
        </is>
      </c>
      <c r="C305" s="67" t="inlineStr">
        <is>
          <t>M4-B-05</t>
        </is>
      </c>
      <c r="D305" s="67" t="inlineStr">
        <is>
          <t>M4</t>
        </is>
      </c>
      <c r="E305" s="67" t="inlineStr">
        <is>
          <t>Bepari_Faria</t>
        </is>
      </c>
      <c r="F305" s="67" t="inlineStr">
        <is>
          <t>S07</t>
        </is>
      </c>
      <c r="G305" s="75" t="inlineStr">
        <is>
          <t>K</t>
        </is>
      </c>
      <c r="H305" s="75" t="inlineStr">
        <is>
          <t>K</t>
        </is>
      </c>
      <c r="I305" s="67" t="n"/>
      <c r="J305" s="76" t="n"/>
      <c r="K305" s="76" t="n"/>
      <c r="L305" s="75" t="n"/>
      <c r="M305" s="67" t="n"/>
      <c r="N305" s="76" t="n"/>
      <c r="O305" s="67" t="n"/>
      <c r="P305" s="68" t="inlineStr">
        <is>
          <t>Species not handled today</t>
        </is>
      </c>
    </row>
    <row r="306" ht="19.5" customHeight="1" s="45">
      <c r="B306" s="74" t="inlineStr">
        <is>
          <t>PO-0302</t>
        </is>
      </c>
      <c r="C306" s="67" t="inlineStr">
        <is>
          <t>M4-B-05</t>
        </is>
      </c>
      <c r="D306" s="67" t="inlineStr">
        <is>
          <t>M4</t>
        </is>
      </c>
      <c r="E306" s="67" t="inlineStr">
        <is>
          <t>Bepari_Faria</t>
        </is>
      </c>
      <c r="F306" s="67" t="inlineStr">
        <is>
          <t>S01</t>
        </is>
      </c>
      <c r="G306" s="75" t="inlineStr">
        <is>
          <t>K</t>
        </is>
      </c>
      <c r="H306" s="75" t="inlineStr">
        <is>
          <t>K</t>
        </is>
      </c>
      <c r="I306" s="67" t="n"/>
      <c r="J306" s="76" t="n"/>
      <c r="K306" s="76" t="n"/>
      <c r="L306" s="75" t="n"/>
      <c r="M306" s="67" t="n"/>
      <c r="N306" s="76" t="n"/>
      <c r="O306" s="67" t="n"/>
      <c r="P306" s="68" t="inlineStr">
        <is>
          <t>Species not handled today</t>
        </is>
      </c>
    </row>
    <row r="307" ht="19.5" customHeight="1" s="45">
      <c r="B307" s="74" t="inlineStr">
        <is>
          <t>PO-0303</t>
        </is>
      </c>
      <c r="C307" s="67" t="inlineStr">
        <is>
          <t>M4-R-01</t>
        </is>
      </c>
      <c r="D307" s="67" t="inlineStr">
        <is>
          <t>M4</t>
        </is>
      </c>
      <c r="E307" s="67" t="inlineStr">
        <is>
          <t>Khuchra</t>
        </is>
      </c>
      <c r="F307" s="67" t="inlineStr">
        <is>
          <t>S01</t>
        </is>
      </c>
      <c r="G307" s="75" t="n">
        <v>47000</v>
      </c>
      <c r="H307" s="75" t="n">
        <v>53000</v>
      </c>
      <c r="I307" s="67" t="inlineStr">
        <is>
          <t>Maund</t>
        </is>
      </c>
      <c r="J307" s="76" t="n">
        <v>1259.38</v>
      </c>
      <c r="K307" s="76" t="n">
        <v>1420.15</v>
      </c>
      <c r="L307" s="75" t="n">
        <v>0.3</v>
      </c>
      <c r="M307" s="67" t="inlineStr">
        <is>
          <t>Maund</t>
        </is>
      </c>
      <c r="N307" s="76" t="n">
        <v>11.2</v>
      </c>
      <c r="O307" s="67" t="n"/>
      <c r="P307" s="68" t="n"/>
    </row>
    <row r="308" ht="19.5" customHeight="1" s="45">
      <c r="B308" s="74" t="inlineStr">
        <is>
          <t>PO-0304</t>
        </is>
      </c>
      <c r="C308" s="67" t="inlineStr">
        <is>
          <t>M4-R-01</t>
        </is>
      </c>
      <c r="D308" s="67" t="inlineStr">
        <is>
          <t>M4</t>
        </is>
      </c>
      <c r="E308" s="67" t="inlineStr">
        <is>
          <t>Khuchra</t>
        </is>
      </c>
      <c r="F308" s="67" t="inlineStr">
        <is>
          <t>S02</t>
        </is>
      </c>
      <c r="G308" s="75" t="n">
        <v>45500</v>
      </c>
      <c r="H308" s="75" t="inlineStr">
        <is>
          <t>D</t>
        </is>
      </c>
      <c r="I308" s="67" t="inlineStr">
        <is>
          <t>Maund</t>
        </is>
      </c>
      <c r="J308" s="76" t="n">
        <v>1219.19</v>
      </c>
      <c r="K308" s="76" t="n"/>
      <c r="L308" s="75" t="n">
        <v>0.4</v>
      </c>
      <c r="M308" s="67" t="inlineStr">
        <is>
          <t>Maund</t>
        </is>
      </c>
      <c r="N308" s="76" t="n">
        <v>14.93</v>
      </c>
      <c r="O308" s="67" t="inlineStr">
        <is>
          <t>PAIR-M4-01</t>
        </is>
      </c>
      <c r="P308" s="68" t="n"/>
    </row>
    <row r="309" ht="19.5" customHeight="1" s="45">
      <c r="B309" s="74" t="inlineStr">
        <is>
          <t>PO-0305</t>
        </is>
      </c>
      <c r="C309" s="67" t="inlineStr">
        <is>
          <t>M4-R-01</t>
        </is>
      </c>
      <c r="D309" s="67" t="inlineStr">
        <is>
          <t>M4</t>
        </is>
      </c>
      <c r="E309" s="67" t="inlineStr">
        <is>
          <t>Khuchra</t>
        </is>
      </c>
      <c r="F309" s="67" t="inlineStr">
        <is>
          <t>S03</t>
        </is>
      </c>
      <c r="G309" s="75" t="n">
        <v>32500</v>
      </c>
      <c r="H309" s="75" t="n">
        <v>37000</v>
      </c>
      <c r="I309" s="67" t="inlineStr">
        <is>
          <t>Maund</t>
        </is>
      </c>
      <c r="J309" s="76" t="n">
        <v>870.85</v>
      </c>
      <c r="K309" s="76" t="n">
        <v>991.4299999999999</v>
      </c>
      <c r="L309" s="75" t="n">
        <v>0.4</v>
      </c>
      <c r="M309" s="67" t="inlineStr">
        <is>
          <t>Maund</t>
        </is>
      </c>
      <c r="N309" s="76" t="n">
        <v>14.93</v>
      </c>
      <c r="O309" s="67" t="n"/>
      <c r="P309" s="68" t="n"/>
    </row>
    <row r="310" ht="19.5" customHeight="1" s="45">
      <c r="B310" s="74" t="inlineStr">
        <is>
          <t>PO-0306</t>
        </is>
      </c>
      <c r="C310" s="67" t="inlineStr">
        <is>
          <t>M4-R-01</t>
        </is>
      </c>
      <c r="D310" s="67" t="inlineStr">
        <is>
          <t>M4</t>
        </is>
      </c>
      <c r="E310" s="67" t="inlineStr">
        <is>
          <t>Khuchra</t>
        </is>
      </c>
      <c r="F310" s="67" t="inlineStr">
        <is>
          <t>S04</t>
        </is>
      </c>
      <c r="G310" s="75" t="n">
        <v>28750</v>
      </c>
      <c r="H310" s="75" t="inlineStr">
        <is>
          <t>K</t>
        </is>
      </c>
      <c r="I310" s="67" t="inlineStr">
        <is>
          <t>Maund</t>
        </is>
      </c>
      <c r="J310" s="76" t="n">
        <v>770.36</v>
      </c>
      <c r="K310" s="76" t="n"/>
      <c r="L310" s="75" t="n">
        <v>0.3</v>
      </c>
      <c r="M310" s="67" t="inlineStr">
        <is>
          <t>Maund</t>
        </is>
      </c>
      <c r="N310" s="76" t="n">
        <v>11.2</v>
      </c>
      <c r="O310" s="67" t="n"/>
      <c r="P310" s="68" t="n"/>
    </row>
    <row r="311" ht="19.5" customHeight="1" s="45">
      <c r="B311" s="74" t="inlineStr">
        <is>
          <t>PO-0307</t>
        </is>
      </c>
      <c r="C311" s="67" t="inlineStr">
        <is>
          <t>M4-R-01</t>
        </is>
      </c>
      <c r="D311" s="67" t="inlineStr">
        <is>
          <t>M4</t>
        </is>
      </c>
      <c r="E311" s="67" t="inlineStr">
        <is>
          <t>Khuchra</t>
        </is>
      </c>
      <c r="F311" s="67" t="inlineStr">
        <is>
          <t>S05</t>
        </is>
      </c>
      <c r="G311" s="75" t="n">
        <v>19000</v>
      </c>
      <c r="H311" s="75" t="n">
        <v>22000</v>
      </c>
      <c r="I311" s="67" t="inlineStr">
        <is>
          <t>Maund</t>
        </is>
      </c>
      <c r="J311" s="76" t="n">
        <v>509.11</v>
      </c>
      <c r="K311" s="76" t="n">
        <v>589.5</v>
      </c>
      <c r="L311" s="75" t="n">
        <v>0.3</v>
      </c>
      <c r="M311" s="67" t="inlineStr">
        <is>
          <t>Maund</t>
        </is>
      </c>
      <c r="N311" s="76" t="n">
        <v>11.2</v>
      </c>
      <c r="O311" s="67" t="n"/>
      <c r="P311" s="68" t="n"/>
    </row>
    <row r="312" ht="19.5" customHeight="1" s="45">
      <c r="B312" s="74" t="inlineStr">
        <is>
          <t>PO-0308</t>
        </is>
      </c>
      <c r="C312" s="67" t="inlineStr">
        <is>
          <t>M4-R-02</t>
        </is>
      </c>
      <c r="D312" s="67" t="inlineStr">
        <is>
          <t>M4</t>
        </is>
      </c>
      <c r="E312" s="67" t="inlineStr">
        <is>
          <t>Khuchra</t>
        </is>
      </c>
      <c r="F312" s="67" t="inlineStr">
        <is>
          <t>S01</t>
        </is>
      </c>
      <c r="G312" s="75" t="n">
        <v>1305</v>
      </c>
      <c r="H312" s="75" t="n">
        <v>1450</v>
      </c>
      <c r="I312" s="67" t="inlineStr">
        <is>
          <t>Kg</t>
        </is>
      </c>
      <c r="J312" s="76" t="n">
        <v>1305</v>
      </c>
      <c r="K312" s="76" t="n">
        <v>1450</v>
      </c>
      <c r="L312" s="75" t="n">
        <v>10</v>
      </c>
      <c r="M312" s="67" t="inlineStr">
        <is>
          <t>Kg</t>
        </is>
      </c>
      <c r="N312" s="76" t="n">
        <v>10</v>
      </c>
      <c r="O312" s="67" t="n"/>
      <c r="P312" s="68" t="n"/>
    </row>
    <row r="313" ht="19.5" customHeight="1" s="45">
      <c r="B313" s="74" t="inlineStr">
        <is>
          <t>PO-0309</t>
        </is>
      </c>
      <c r="C313" s="67" t="inlineStr">
        <is>
          <t>M4-R-02</t>
        </is>
      </c>
      <c r="D313" s="67" t="inlineStr">
        <is>
          <t>M4</t>
        </is>
      </c>
      <c r="E313" s="67" t="inlineStr">
        <is>
          <t>Khuchra</t>
        </is>
      </c>
      <c r="F313" s="67" t="inlineStr">
        <is>
          <t>S02</t>
        </is>
      </c>
      <c r="G313" s="75" t="n">
        <v>1205</v>
      </c>
      <c r="H313" s="75" t="n">
        <v>1515</v>
      </c>
      <c r="I313" s="67" t="inlineStr">
        <is>
          <t>Kg</t>
        </is>
      </c>
      <c r="J313" s="76" t="n">
        <v>1205</v>
      </c>
      <c r="K313" s="76" t="n">
        <v>1515</v>
      </c>
      <c r="L313" s="75" t="n">
        <v>10</v>
      </c>
      <c r="M313" s="67" t="inlineStr">
        <is>
          <t>Kg</t>
        </is>
      </c>
      <c r="N313" s="76" t="n">
        <v>10</v>
      </c>
      <c r="O313" s="67" t="inlineStr">
        <is>
          <t>PAIR-M4-03</t>
        </is>
      </c>
      <c r="P313" s="68" t="n"/>
    </row>
    <row r="314" ht="19.5" customHeight="1" s="45">
      <c r="B314" s="74" t="inlineStr">
        <is>
          <t>PO-0310</t>
        </is>
      </c>
      <c r="C314" s="67" t="inlineStr">
        <is>
          <t>M4-R-02</t>
        </is>
      </c>
      <c r="D314" s="67" t="inlineStr">
        <is>
          <t>M4</t>
        </is>
      </c>
      <c r="E314" s="67" t="inlineStr">
        <is>
          <t>Khuchra</t>
        </is>
      </c>
      <c r="F314" s="67" t="inlineStr">
        <is>
          <t>S03</t>
        </is>
      </c>
      <c r="G314" s="75" t="n">
        <v>905</v>
      </c>
      <c r="H314" s="75" t="n">
        <v>1060</v>
      </c>
      <c r="I314" s="67" t="inlineStr">
        <is>
          <t>Kg</t>
        </is>
      </c>
      <c r="J314" s="76" t="n">
        <v>905</v>
      </c>
      <c r="K314" s="76" t="n">
        <v>1060</v>
      </c>
      <c r="L314" s="75" t="n">
        <v>15</v>
      </c>
      <c r="M314" s="67" t="inlineStr">
        <is>
          <t>Kg</t>
        </is>
      </c>
      <c r="N314" s="76" t="n">
        <v>15</v>
      </c>
      <c r="O314" s="67" t="n"/>
      <c r="P314" s="68" t="n"/>
    </row>
    <row r="315" ht="19.5" customHeight="1" s="45">
      <c r="B315" s="74" t="inlineStr">
        <is>
          <t>PO-0311</t>
        </is>
      </c>
      <c r="C315" s="67" t="inlineStr">
        <is>
          <t>M4-R-02</t>
        </is>
      </c>
      <c r="D315" s="67" t="inlineStr">
        <is>
          <t>M4</t>
        </is>
      </c>
      <c r="E315" s="67" t="inlineStr">
        <is>
          <t>Khuchra</t>
        </is>
      </c>
      <c r="F315" s="67" t="inlineStr">
        <is>
          <t>S05</t>
        </is>
      </c>
      <c r="G315" s="75" t="n">
        <v>475</v>
      </c>
      <c r="H315" s="75" t="n">
        <v>545</v>
      </c>
      <c r="I315" s="67" t="inlineStr">
        <is>
          <t>Kg</t>
        </is>
      </c>
      <c r="J315" s="76" t="n">
        <v>475</v>
      </c>
      <c r="K315" s="76" t="n">
        <v>545</v>
      </c>
      <c r="L315" s="75" t="n">
        <v>10</v>
      </c>
      <c r="M315" s="67" t="inlineStr">
        <is>
          <t>Kg</t>
        </is>
      </c>
      <c r="N315" s="76" t="n">
        <v>10</v>
      </c>
      <c r="O315" s="67" t="n"/>
      <c r="P315" s="68" t="n"/>
    </row>
    <row r="316" ht="19.5" customHeight="1" s="45">
      <c r="B316" s="74" t="inlineStr">
        <is>
          <t>PO-0312</t>
        </is>
      </c>
      <c r="C316" s="67" t="inlineStr">
        <is>
          <t>M4-R-02</t>
        </is>
      </c>
      <c r="D316" s="67" t="inlineStr">
        <is>
          <t>M4</t>
        </is>
      </c>
      <c r="E316" s="67" t="inlineStr">
        <is>
          <t>Khuchra</t>
        </is>
      </c>
      <c r="F316" s="67" t="inlineStr">
        <is>
          <t>S06</t>
        </is>
      </c>
      <c r="G316" s="75" t="n">
        <v>380</v>
      </c>
      <c r="H316" s="75" t="n">
        <v>425</v>
      </c>
      <c r="I316" s="67" t="inlineStr">
        <is>
          <t>Kg</t>
        </is>
      </c>
      <c r="J316" s="76" t="n">
        <v>380</v>
      </c>
      <c r="K316" s="76" t="n">
        <v>425</v>
      </c>
      <c r="L316" s="75" t="n">
        <v>10</v>
      </c>
      <c r="M316" s="67" t="inlineStr">
        <is>
          <t>Kg</t>
        </is>
      </c>
      <c r="N316" s="76" t="n">
        <v>10</v>
      </c>
      <c r="O316" s="67" t="n"/>
      <c r="P316" s="68" t="n"/>
    </row>
    <row r="317" ht="19.5" customHeight="1" s="45">
      <c r="B317" s="74" t="inlineStr">
        <is>
          <t>PO-0313</t>
        </is>
      </c>
      <c r="C317" s="67" t="inlineStr">
        <is>
          <t>M4-R-03</t>
        </is>
      </c>
      <c r="D317" s="67" t="inlineStr">
        <is>
          <t>M4</t>
        </is>
      </c>
      <c r="E317" s="67" t="inlineStr">
        <is>
          <t>Khuchra</t>
        </is>
      </c>
      <c r="F317" s="67" t="inlineStr">
        <is>
          <t>S01</t>
        </is>
      </c>
      <c r="G317" s="75" t="n">
        <v>1225</v>
      </c>
      <c r="H317" s="75" t="n">
        <v>1395</v>
      </c>
      <c r="I317" s="67" t="inlineStr">
        <is>
          <t>Kg</t>
        </is>
      </c>
      <c r="J317" s="76" t="n">
        <v>1225</v>
      </c>
      <c r="K317" s="76" t="n">
        <v>1395</v>
      </c>
      <c r="L317" s="75" t="n">
        <v>35</v>
      </c>
      <c r="M317" s="67" t="inlineStr">
        <is>
          <t>Kg</t>
        </is>
      </c>
      <c r="N317" s="76" t="n">
        <v>35</v>
      </c>
      <c r="O317" s="67" t="n"/>
      <c r="P317" s="68" t="n"/>
    </row>
    <row r="318" ht="19.5" customHeight="1" s="45">
      <c r="B318" s="74" t="inlineStr">
        <is>
          <t>PO-0314</t>
        </is>
      </c>
      <c r="C318" s="67" t="inlineStr">
        <is>
          <t>M4-R-03</t>
        </is>
      </c>
      <c r="D318" s="67" t="inlineStr">
        <is>
          <t>M4</t>
        </is>
      </c>
      <c r="E318" s="67" t="inlineStr">
        <is>
          <t>Khuchra</t>
        </is>
      </c>
      <c r="F318" s="67" t="inlineStr">
        <is>
          <t>S02</t>
        </is>
      </c>
      <c r="G318" s="75" t="n">
        <v>1345</v>
      </c>
      <c r="H318" s="75" t="n">
        <v>1500</v>
      </c>
      <c r="I318" s="67" t="inlineStr">
        <is>
          <t>Kg</t>
        </is>
      </c>
      <c r="J318" s="76" t="n">
        <v>1345</v>
      </c>
      <c r="K318" s="76" t="n">
        <v>1500</v>
      </c>
      <c r="L318" s="75" t="n">
        <v>25</v>
      </c>
      <c r="M318" s="67" t="inlineStr">
        <is>
          <t>Kg</t>
        </is>
      </c>
      <c r="N318" s="76" t="n">
        <v>25</v>
      </c>
      <c r="O318" s="67" t="n"/>
      <c r="P318" s="68" t="n"/>
    </row>
    <row r="319" ht="19.5" customHeight="1" s="45">
      <c r="B319" s="74" t="inlineStr">
        <is>
          <t>PO-0315</t>
        </is>
      </c>
      <c r="C319" s="67" t="inlineStr">
        <is>
          <t>M4-R-03</t>
        </is>
      </c>
      <c r="D319" s="67" t="inlineStr">
        <is>
          <t>M4</t>
        </is>
      </c>
      <c r="E319" s="67" t="inlineStr">
        <is>
          <t>Khuchra</t>
        </is>
      </c>
      <c r="F319" s="67" t="inlineStr">
        <is>
          <t>S05</t>
        </is>
      </c>
      <c r="G319" s="75" t="n">
        <v>490</v>
      </c>
      <c r="H319" s="75" t="n">
        <v>545</v>
      </c>
      <c r="I319" s="67" t="inlineStr">
        <is>
          <t>Kg</t>
        </is>
      </c>
      <c r="J319" s="76" t="n">
        <v>490</v>
      </c>
      <c r="K319" s="76" t="n">
        <v>545</v>
      </c>
      <c r="L319" s="75" t="n">
        <v>25</v>
      </c>
      <c r="M319" s="67" t="inlineStr">
        <is>
          <t>Kg</t>
        </is>
      </c>
      <c r="N319" s="76" t="n">
        <v>25</v>
      </c>
      <c r="O319" s="67" t="n"/>
      <c r="P319" s="68" t="n"/>
    </row>
    <row r="320" ht="19.5" customHeight="1" s="45">
      <c r="B320" s="74" t="inlineStr">
        <is>
          <t>PO-0316</t>
        </is>
      </c>
      <c r="C320" s="67" t="inlineStr">
        <is>
          <t>M4-R-03</t>
        </is>
      </c>
      <c r="D320" s="67" t="inlineStr">
        <is>
          <t>M4</t>
        </is>
      </c>
      <c r="E320" s="67" t="inlineStr">
        <is>
          <t>Khuchra</t>
        </is>
      </c>
      <c r="F320" s="67" t="inlineStr">
        <is>
          <t>S06</t>
        </is>
      </c>
      <c r="G320" s="75" t="n">
        <v>380</v>
      </c>
      <c r="H320" s="75" t="n">
        <v>430</v>
      </c>
      <c r="I320" s="67" t="inlineStr">
        <is>
          <t>Kg</t>
        </is>
      </c>
      <c r="J320" s="76" t="n">
        <v>380</v>
      </c>
      <c r="K320" s="76" t="n">
        <v>430</v>
      </c>
      <c r="L320" s="75" t="n">
        <v>20</v>
      </c>
      <c r="M320" s="67" t="inlineStr">
        <is>
          <t>Kg</t>
        </is>
      </c>
      <c r="N320" s="76" t="n">
        <v>20</v>
      </c>
      <c r="O320" s="67" t="n"/>
      <c r="P320" s="68" t="n"/>
    </row>
    <row r="321" ht="19.5" customHeight="1" s="45">
      <c r="B321" s="74" t="inlineStr">
        <is>
          <t>PO-0317</t>
        </is>
      </c>
      <c r="C321" s="67" t="inlineStr">
        <is>
          <t>M4-R-03</t>
        </is>
      </c>
      <c r="D321" s="67" t="inlineStr">
        <is>
          <t>M4</t>
        </is>
      </c>
      <c r="E321" s="67" t="inlineStr">
        <is>
          <t>Khuchra</t>
        </is>
      </c>
      <c r="F321" s="67" t="inlineStr">
        <is>
          <t>S07</t>
        </is>
      </c>
      <c r="G321" s="75" t="n">
        <v>440</v>
      </c>
      <c r="H321" s="75" t="n">
        <v>525</v>
      </c>
      <c r="I321" s="67" t="inlineStr">
        <is>
          <t>Kg</t>
        </is>
      </c>
      <c r="J321" s="76" t="n">
        <v>440</v>
      </c>
      <c r="K321" s="76" t="n">
        <v>525</v>
      </c>
      <c r="L321" s="75" t="n">
        <v>20</v>
      </c>
      <c r="M321" s="67" t="inlineStr">
        <is>
          <t>Kg</t>
        </is>
      </c>
      <c r="N321" s="76" t="n">
        <v>20</v>
      </c>
      <c r="O321" s="67" t="n"/>
      <c r="P321" s="68" t="n"/>
    </row>
    <row r="322" ht="19.5" customHeight="1" s="45">
      <c r="B322" s="74" t="inlineStr">
        <is>
          <t>PO-0318</t>
        </is>
      </c>
      <c r="C322" s="67" t="inlineStr">
        <is>
          <t>M4-R-04</t>
        </is>
      </c>
      <c r="D322" s="67" t="inlineStr">
        <is>
          <t>M4</t>
        </is>
      </c>
      <c r="E322" s="67" t="inlineStr">
        <is>
          <t>Khuchra</t>
        </is>
      </c>
      <c r="F322" s="67" t="inlineStr">
        <is>
          <t>S01</t>
        </is>
      </c>
      <c r="G322" s="75" t="n">
        <v>1245</v>
      </c>
      <c r="H322" s="75" t="n">
        <v>1410</v>
      </c>
      <c r="I322" s="67" t="inlineStr">
        <is>
          <t>Kg</t>
        </is>
      </c>
      <c r="J322" s="76" t="n">
        <v>1245</v>
      </c>
      <c r="K322" s="76" t="n">
        <v>1410</v>
      </c>
      <c r="L322" s="75" t="n">
        <v>10</v>
      </c>
      <c r="M322" s="67" t="inlineStr">
        <is>
          <t>Kg</t>
        </is>
      </c>
      <c r="N322" s="76" t="n">
        <v>10</v>
      </c>
      <c r="O322" s="67" t="n"/>
      <c r="P322" s="68" t="n"/>
    </row>
    <row r="323" ht="19.5" customHeight="1" s="45">
      <c r="B323" s="74" t="inlineStr">
        <is>
          <t>PO-0319</t>
        </is>
      </c>
      <c r="C323" s="67" t="inlineStr">
        <is>
          <t>M4-R-04</t>
        </is>
      </c>
      <c r="D323" s="67" t="inlineStr">
        <is>
          <t>M4</t>
        </is>
      </c>
      <c r="E323" s="67" t="inlineStr">
        <is>
          <t>Khuchra</t>
        </is>
      </c>
      <c r="F323" s="67" t="inlineStr">
        <is>
          <t>S04</t>
        </is>
      </c>
      <c r="G323" s="75" t="n">
        <v>785</v>
      </c>
      <c r="H323" s="75" t="n">
        <v>900</v>
      </c>
      <c r="I323" s="67" t="inlineStr">
        <is>
          <t>Kg</t>
        </is>
      </c>
      <c r="J323" s="76" t="n">
        <v>785</v>
      </c>
      <c r="K323" s="76" t="n">
        <v>900</v>
      </c>
      <c r="L323" s="75" t="n">
        <v>10</v>
      </c>
      <c r="M323" s="67" t="inlineStr">
        <is>
          <t>Kg</t>
        </is>
      </c>
      <c r="N323" s="76" t="n">
        <v>10</v>
      </c>
      <c r="O323" s="67" t="n"/>
      <c r="P323" s="68" t="n"/>
    </row>
    <row r="324" ht="19.5" customHeight="1" s="45">
      <c r="B324" s="74" t="inlineStr">
        <is>
          <t>PO-0320</t>
        </is>
      </c>
      <c r="C324" s="67" t="inlineStr">
        <is>
          <t>M4-R-04</t>
        </is>
      </c>
      <c r="D324" s="67" t="inlineStr">
        <is>
          <t>M4</t>
        </is>
      </c>
      <c r="E324" s="67" t="inlineStr">
        <is>
          <t>Khuchra</t>
        </is>
      </c>
      <c r="F324" s="67" t="inlineStr">
        <is>
          <t>S05</t>
        </is>
      </c>
      <c r="G324" s="75" t="n">
        <v>490</v>
      </c>
      <c r="H324" s="75" t="n">
        <v>570</v>
      </c>
      <c r="I324" s="67" t="inlineStr">
        <is>
          <t>Kg</t>
        </is>
      </c>
      <c r="J324" s="76" t="n">
        <v>490</v>
      </c>
      <c r="K324" s="76" t="n">
        <v>570</v>
      </c>
      <c r="L324" s="75" t="n">
        <v>5</v>
      </c>
      <c r="M324" s="67" t="inlineStr">
        <is>
          <t>Kg</t>
        </is>
      </c>
      <c r="N324" s="76" t="n">
        <v>5</v>
      </c>
      <c r="O324" s="67" t="n"/>
      <c r="P324" s="68" t="n"/>
    </row>
    <row r="325" ht="19.5" customHeight="1" s="45">
      <c r="B325" s="74" t="inlineStr">
        <is>
          <t>PO-0321</t>
        </is>
      </c>
      <c r="C325" s="67" t="inlineStr">
        <is>
          <t>M4-R-04</t>
        </is>
      </c>
      <c r="D325" s="67" t="inlineStr">
        <is>
          <t>M4</t>
        </is>
      </c>
      <c r="E325" s="67" t="inlineStr">
        <is>
          <t>Khuchra</t>
        </is>
      </c>
      <c r="F325" s="67" t="inlineStr">
        <is>
          <t>S06</t>
        </is>
      </c>
      <c r="G325" s="75" t="n">
        <v>385</v>
      </c>
      <c r="H325" s="75" t="n">
        <v>425</v>
      </c>
      <c r="I325" s="67" t="inlineStr">
        <is>
          <t>Kg</t>
        </is>
      </c>
      <c r="J325" s="76" t="n">
        <v>385</v>
      </c>
      <c r="K325" s="76" t="n">
        <v>425</v>
      </c>
      <c r="L325" s="75" t="n">
        <v>10</v>
      </c>
      <c r="M325" s="67" t="inlineStr">
        <is>
          <t>Kg</t>
        </is>
      </c>
      <c r="N325" s="76" t="n">
        <v>10</v>
      </c>
      <c r="O325" s="67" t="n"/>
      <c r="P325" s="68" t="n"/>
    </row>
    <row r="326" ht="19.5" customHeight="1" s="45">
      <c r="B326" s="74" t="inlineStr">
        <is>
          <t>PO-0322</t>
        </is>
      </c>
      <c r="C326" s="67" t="inlineStr">
        <is>
          <t>M4-R-04</t>
        </is>
      </c>
      <c r="D326" s="67" t="inlineStr">
        <is>
          <t>M4</t>
        </is>
      </c>
      <c r="E326" s="67" t="inlineStr">
        <is>
          <t>Khuchra</t>
        </is>
      </c>
      <c r="F326" s="67" t="inlineStr">
        <is>
          <t>S08</t>
        </is>
      </c>
      <c r="G326" s="75" t="n">
        <v>295</v>
      </c>
      <c r="H326" s="75" t="inlineStr">
        <is>
          <t>K</t>
        </is>
      </c>
      <c r="I326" s="67" t="inlineStr">
        <is>
          <t>Kg</t>
        </is>
      </c>
      <c r="J326" s="76" t="n">
        <v>295</v>
      </c>
      <c r="K326" s="76" t="n"/>
      <c r="L326" s="75" t="n">
        <v>10</v>
      </c>
      <c r="M326" s="67" t="inlineStr">
        <is>
          <t>Kg</t>
        </is>
      </c>
      <c r="N326" s="76" t="n">
        <v>10</v>
      </c>
      <c r="O326" s="67" t="n"/>
      <c r="P326" s="68" t="n"/>
    </row>
    <row r="327" ht="19.5" customHeight="1" s="45">
      <c r="B327" s="74" t="inlineStr">
        <is>
          <t>PO-0323</t>
        </is>
      </c>
      <c r="C327" s="67" t="inlineStr">
        <is>
          <t>M4-R-04</t>
        </is>
      </c>
      <c r="D327" s="67" t="inlineStr">
        <is>
          <t>M4</t>
        </is>
      </c>
      <c r="E327" s="67" t="inlineStr">
        <is>
          <t>Khuchra</t>
        </is>
      </c>
      <c r="F327" s="67" t="inlineStr">
        <is>
          <t>S10</t>
        </is>
      </c>
      <c r="G327" s="75" t="inlineStr">
        <is>
          <t>K</t>
        </is>
      </c>
      <c r="H327" s="75" t="inlineStr">
        <is>
          <t>K</t>
        </is>
      </c>
      <c r="I327" s="67" t="n"/>
      <c r="J327" s="76" t="n"/>
      <c r="K327" s="76" t="n"/>
      <c r="L327" s="75" t="n"/>
      <c r="M327" s="67" t="n"/>
      <c r="N327" s="76" t="n"/>
      <c r="O327" s="67" t="n"/>
      <c r="P327" s="68" t="inlineStr">
        <is>
          <t>Species not handled today</t>
        </is>
      </c>
    </row>
    <row r="328" ht="19.5" customHeight="1" s="45">
      <c r="B328" s="74" t="inlineStr">
        <is>
          <t>PO-0324</t>
        </is>
      </c>
      <c r="C328" s="67" t="inlineStr">
        <is>
          <t>M4-R-04</t>
        </is>
      </c>
      <c r="D328" s="67" t="inlineStr">
        <is>
          <t>M4</t>
        </is>
      </c>
      <c r="E328" s="67" t="inlineStr">
        <is>
          <t>Khuchra</t>
        </is>
      </c>
      <c r="F328" s="67" t="inlineStr">
        <is>
          <t>S03</t>
        </is>
      </c>
      <c r="G328" s="75" t="inlineStr">
        <is>
          <t>K</t>
        </is>
      </c>
      <c r="H328" s="75" t="inlineStr">
        <is>
          <t>K</t>
        </is>
      </c>
      <c r="I328" s="67" t="n"/>
      <c r="J328" s="76" t="n"/>
      <c r="K328" s="76" t="n"/>
      <c r="L328" s="75" t="n"/>
      <c r="M328" s="67" t="n"/>
      <c r="N328" s="76" t="n"/>
      <c r="O328" s="67" t="n"/>
      <c r="P328" s="68" t="inlineStr">
        <is>
          <t>Species not handled today</t>
        </is>
      </c>
    </row>
    <row r="329" ht="19.5" customHeight="1" s="45">
      <c r="B329" s="74" t="inlineStr">
        <is>
          <t>PO-0325</t>
        </is>
      </c>
      <c r="C329" s="67" t="inlineStr">
        <is>
          <t>M4-R-05</t>
        </is>
      </c>
      <c r="D329" s="67" t="inlineStr">
        <is>
          <t>M4</t>
        </is>
      </c>
      <c r="E329" s="67" t="inlineStr">
        <is>
          <t>Khuchra</t>
        </is>
      </c>
      <c r="F329" s="67" t="inlineStr">
        <is>
          <t>S01</t>
        </is>
      </c>
      <c r="G329" s="75" t="n">
        <v>1300</v>
      </c>
      <c r="H329" s="75" t="n">
        <v>1480</v>
      </c>
      <c r="I329" s="67" t="inlineStr">
        <is>
          <t>Kg</t>
        </is>
      </c>
      <c r="J329" s="76" t="n">
        <v>1300</v>
      </c>
      <c r="K329" s="76" t="n">
        <v>1480</v>
      </c>
      <c r="L329" s="75" t="n">
        <v>30</v>
      </c>
      <c r="M329" s="67" t="inlineStr">
        <is>
          <t>Kg</t>
        </is>
      </c>
      <c r="N329" s="76" t="n">
        <v>30</v>
      </c>
      <c r="O329" s="67" t="n"/>
      <c r="P329" s="68" t="n"/>
    </row>
    <row r="330" ht="19.5" customHeight="1" s="45">
      <c r="B330" s="74" t="inlineStr">
        <is>
          <t>PO-0326</t>
        </is>
      </c>
      <c r="C330" s="67" t="inlineStr">
        <is>
          <t>M4-R-05</t>
        </is>
      </c>
      <c r="D330" s="67" t="inlineStr">
        <is>
          <t>M4</t>
        </is>
      </c>
      <c r="E330" s="67" t="inlineStr">
        <is>
          <t>Khuchra</t>
        </is>
      </c>
      <c r="F330" s="67" t="inlineStr">
        <is>
          <t>S02</t>
        </is>
      </c>
      <c r="G330" s="75" t="n">
        <v>1355</v>
      </c>
      <c r="H330" s="75" t="n">
        <v>1540</v>
      </c>
      <c r="I330" s="67" t="inlineStr">
        <is>
          <t>Kg</t>
        </is>
      </c>
      <c r="J330" s="76" t="n">
        <v>1355</v>
      </c>
      <c r="K330" s="76" t="n">
        <v>1540</v>
      </c>
      <c r="L330" s="75" t="n">
        <v>30</v>
      </c>
      <c r="M330" s="67" t="inlineStr">
        <is>
          <t>Kg</t>
        </is>
      </c>
      <c r="N330" s="76" t="n">
        <v>30</v>
      </c>
      <c r="O330" s="67" t="n"/>
      <c r="P330" s="68" t="n"/>
    </row>
    <row r="331" ht="19.5" customHeight="1" s="45">
      <c r="B331" s="74" t="inlineStr">
        <is>
          <t>PO-0327</t>
        </is>
      </c>
      <c r="C331" s="67" t="inlineStr">
        <is>
          <t>M4-R-05</t>
        </is>
      </c>
      <c r="D331" s="67" t="inlineStr">
        <is>
          <t>M4</t>
        </is>
      </c>
      <c r="E331" s="67" t="inlineStr">
        <is>
          <t>Khuchra</t>
        </is>
      </c>
      <c r="F331" s="67" t="inlineStr">
        <is>
          <t>S03</t>
        </is>
      </c>
      <c r="G331" s="75" t="n">
        <v>900</v>
      </c>
      <c r="H331" s="75" t="n">
        <v>1050</v>
      </c>
      <c r="I331" s="67" t="inlineStr">
        <is>
          <t>Kg</t>
        </is>
      </c>
      <c r="J331" s="76" t="n">
        <v>900</v>
      </c>
      <c r="K331" s="76" t="n">
        <v>1050</v>
      </c>
      <c r="L331" s="75" t="n">
        <v>30</v>
      </c>
      <c r="M331" s="67" t="inlineStr">
        <is>
          <t>Kg</t>
        </is>
      </c>
      <c r="N331" s="76" t="n">
        <v>30</v>
      </c>
      <c r="O331" s="67" t="n"/>
      <c r="P331" s="68" t="n"/>
    </row>
    <row r="332" ht="19.5" customHeight="1" s="45">
      <c r="B332" s="74" t="inlineStr">
        <is>
          <t>PO-0328</t>
        </is>
      </c>
      <c r="C332" s="67" t="inlineStr">
        <is>
          <t>M4-R-05</t>
        </is>
      </c>
      <c r="D332" s="67" t="inlineStr">
        <is>
          <t>M4</t>
        </is>
      </c>
      <c r="E332" s="67" t="inlineStr">
        <is>
          <t>Khuchra</t>
        </is>
      </c>
      <c r="F332" s="67" t="inlineStr">
        <is>
          <t>S05</t>
        </is>
      </c>
      <c r="G332" s="75" t="n">
        <v>515</v>
      </c>
      <c r="H332" s="75" t="n">
        <v>585</v>
      </c>
      <c r="I332" s="67" t="inlineStr">
        <is>
          <t>Kg</t>
        </is>
      </c>
      <c r="J332" s="76" t="n">
        <v>515</v>
      </c>
      <c r="K332" s="76" t="n">
        <v>585</v>
      </c>
      <c r="L332" s="75" t="n">
        <v>20</v>
      </c>
      <c r="M332" s="67" t="inlineStr">
        <is>
          <t>Kg</t>
        </is>
      </c>
      <c r="N332" s="76" t="n">
        <v>20</v>
      </c>
      <c r="O332" s="67" t="n"/>
      <c r="P332" s="68" t="n"/>
    </row>
    <row r="333" ht="19.5" customHeight="1" s="45">
      <c r="B333" s="74" t="inlineStr">
        <is>
          <t>PO-0329</t>
        </is>
      </c>
      <c r="C333" s="67" t="inlineStr">
        <is>
          <t>M4-R-05</t>
        </is>
      </c>
      <c r="D333" s="67" t="inlineStr">
        <is>
          <t>M4</t>
        </is>
      </c>
      <c r="E333" s="67" t="inlineStr">
        <is>
          <t>Khuchra</t>
        </is>
      </c>
      <c r="F333" s="67" t="inlineStr">
        <is>
          <t>S06</t>
        </is>
      </c>
      <c r="G333" s="75" t="n">
        <v>350</v>
      </c>
      <c r="H333" s="75" t="n">
        <v>440</v>
      </c>
      <c r="I333" s="67" t="inlineStr">
        <is>
          <t>Kg</t>
        </is>
      </c>
      <c r="J333" s="76" t="n">
        <v>350</v>
      </c>
      <c r="K333" s="76" t="n">
        <v>440</v>
      </c>
      <c r="L333" s="75" t="n">
        <v>15</v>
      </c>
      <c r="M333" s="67" t="inlineStr">
        <is>
          <t>Kg</t>
        </is>
      </c>
      <c r="N333" s="76" t="n">
        <v>15</v>
      </c>
      <c r="O333" s="67" t="inlineStr">
        <is>
          <t>PAIR-M4-02</t>
        </is>
      </c>
      <c r="P333" s="68" t="n"/>
    </row>
    <row r="334" ht="19.5" customHeight="1" s="45">
      <c r="B334" s="74" t="inlineStr">
        <is>
          <t>PO-0330</t>
        </is>
      </c>
      <c r="C334" s="67" t="inlineStr">
        <is>
          <t>M4-R-05</t>
        </is>
      </c>
      <c r="D334" s="67" t="inlineStr">
        <is>
          <t>M4</t>
        </is>
      </c>
      <c r="E334" s="67" t="inlineStr">
        <is>
          <t>Khuchra</t>
        </is>
      </c>
      <c r="F334" s="67" t="inlineStr">
        <is>
          <t>S04</t>
        </is>
      </c>
      <c r="G334" s="75" t="inlineStr">
        <is>
          <t>K</t>
        </is>
      </c>
      <c r="H334" s="75" t="inlineStr">
        <is>
          <t>K</t>
        </is>
      </c>
      <c r="I334" s="67" t="n"/>
      <c r="J334" s="76" t="n"/>
      <c r="K334" s="76" t="n"/>
      <c r="L334" s="75" t="n"/>
      <c r="M334" s="67" t="n"/>
      <c r="N334" s="76" t="n"/>
      <c r="O334" s="67" t="n"/>
      <c r="P334" s="68" t="inlineStr">
        <is>
          <t>Species not handled today</t>
        </is>
      </c>
    </row>
    <row r="335" ht="19.5" customHeight="1" s="45">
      <c r="B335" s="74" t="inlineStr">
        <is>
          <t>PO-0331</t>
        </is>
      </c>
      <c r="C335" s="67" t="inlineStr">
        <is>
          <t>M5-A-01</t>
        </is>
      </c>
      <c r="D335" s="67" t="inlineStr">
        <is>
          <t>M5</t>
        </is>
      </c>
      <c r="E335" s="67" t="inlineStr">
        <is>
          <t>Aratdar</t>
        </is>
      </c>
      <c r="F335" s="67" t="inlineStr">
        <is>
          <t>S01</t>
        </is>
      </c>
      <c r="G335" s="75" t="n">
        <v>44500</v>
      </c>
      <c r="H335" s="75" t="n">
        <v>47000</v>
      </c>
      <c r="I335" s="67" t="inlineStr">
        <is>
          <t>Maund</t>
        </is>
      </c>
      <c r="J335" s="76" t="n">
        <v>1192.39</v>
      </c>
      <c r="K335" s="76" t="n">
        <v>1259.38</v>
      </c>
      <c r="L335" s="75" t="n">
        <v>5</v>
      </c>
      <c r="M335" s="67" t="inlineStr">
        <is>
          <t>Maund</t>
        </is>
      </c>
      <c r="N335" s="76" t="n">
        <v>186.6</v>
      </c>
      <c r="O335" s="67" t="n"/>
      <c r="P335" s="68" t="n"/>
    </row>
    <row r="336" ht="19.5" customHeight="1" s="45">
      <c r="B336" s="74" t="inlineStr">
        <is>
          <t>PO-0332</t>
        </is>
      </c>
      <c r="C336" s="67" t="inlineStr">
        <is>
          <t>M5-A-01</t>
        </is>
      </c>
      <c r="D336" s="67" t="inlineStr">
        <is>
          <t>M5</t>
        </is>
      </c>
      <c r="E336" s="67" t="inlineStr">
        <is>
          <t>Aratdar</t>
        </is>
      </c>
      <c r="F336" s="67" t="inlineStr">
        <is>
          <t>S02</t>
        </is>
      </c>
      <c r="G336" s="75" t="n">
        <v>49500</v>
      </c>
      <c r="H336" s="75" t="n">
        <v>51750</v>
      </c>
      <c r="I336" s="67" t="inlineStr">
        <is>
          <t>Maund</t>
        </is>
      </c>
      <c r="J336" s="76" t="n">
        <v>1326.37</v>
      </c>
      <c r="K336" s="76" t="n">
        <v>1386.66</v>
      </c>
      <c r="L336" s="75" t="n">
        <v>7.2</v>
      </c>
      <c r="M336" s="67" t="inlineStr">
        <is>
          <t>Maund</t>
        </is>
      </c>
      <c r="N336" s="76" t="n">
        <v>268.7</v>
      </c>
      <c r="O336" s="67" t="n"/>
      <c r="P336" s="68" t="n"/>
    </row>
    <row r="337" ht="19.5" customHeight="1" s="45">
      <c r="B337" s="74" t="inlineStr">
        <is>
          <t>PO-0333</t>
        </is>
      </c>
      <c r="C337" s="67" t="inlineStr">
        <is>
          <t>M5-A-01</t>
        </is>
      </c>
      <c r="D337" s="67" t="inlineStr">
        <is>
          <t>M5</t>
        </is>
      </c>
      <c r="E337" s="67" t="inlineStr">
        <is>
          <t>Aratdar</t>
        </is>
      </c>
      <c r="F337" s="67" t="inlineStr">
        <is>
          <t>S05</t>
        </is>
      </c>
      <c r="G337" s="75" t="n">
        <v>16750</v>
      </c>
      <c r="H337" s="75" t="n">
        <v>17500</v>
      </c>
      <c r="I337" s="67" t="inlineStr">
        <is>
          <t>Maund</t>
        </is>
      </c>
      <c r="J337" s="76" t="n">
        <v>448.82</v>
      </c>
      <c r="K337" s="76" t="n">
        <v>468.92</v>
      </c>
      <c r="L337" s="75" t="n">
        <v>5.5</v>
      </c>
      <c r="M337" s="67" t="inlineStr">
        <is>
          <t>Maund</t>
        </is>
      </c>
      <c r="N337" s="76" t="n">
        <v>205.26</v>
      </c>
      <c r="O337" s="67" t="inlineStr">
        <is>
          <t>PAIR-M5-03</t>
        </is>
      </c>
      <c r="P337" s="68" t="n"/>
    </row>
    <row r="338" ht="19.5" customHeight="1" s="45">
      <c r="B338" s="74" t="inlineStr">
        <is>
          <t>PO-0334</t>
        </is>
      </c>
      <c r="C338" s="67" t="inlineStr">
        <is>
          <t>M5-A-01</t>
        </is>
      </c>
      <c r="D338" s="67" t="inlineStr">
        <is>
          <t>M5</t>
        </is>
      </c>
      <c r="E338" s="67" t="inlineStr">
        <is>
          <t>Aratdar</t>
        </is>
      </c>
      <c r="F338" s="67" t="inlineStr">
        <is>
          <t>S06</t>
        </is>
      </c>
      <c r="G338" s="75" t="n">
        <v>13000</v>
      </c>
      <c r="H338" s="75" t="n">
        <v>13750</v>
      </c>
      <c r="I338" s="67" t="inlineStr">
        <is>
          <t>Maund</t>
        </is>
      </c>
      <c r="J338" s="76" t="n">
        <v>348.34</v>
      </c>
      <c r="K338" s="76" t="n">
        <v>368.44</v>
      </c>
      <c r="L338" s="75" t="n">
        <v>9.699999999999999</v>
      </c>
      <c r="M338" s="67" t="inlineStr">
        <is>
          <t>Maund</t>
        </is>
      </c>
      <c r="N338" s="76" t="n">
        <v>362</v>
      </c>
      <c r="O338" s="67" t="n"/>
      <c r="P338" s="68" t="n"/>
    </row>
    <row r="339" ht="19.5" customHeight="1" s="45">
      <c r="B339" s="74" t="inlineStr">
        <is>
          <t>PO-0335</t>
        </is>
      </c>
      <c r="C339" s="67" t="inlineStr">
        <is>
          <t>M5-A-01</t>
        </is>
      </c>
      <c r="D339" s="67" t="inlineStr">
        <is>
          <t>M5</t>
        </is>
      </c>
      <c r="E339" s="67" t="inlineStr">
        <is>
          <t>Aratdar</t>
        </is>
      </c>
      <c r="F339" s="67" t="inlineStr">
        <is>
          <t>S10</t>
        </is>
      </c>
      <c r="G339" s="75" t="inlineStr">
        <is>
          <t>K</t>
        </is>
      </c>
      <c r="H339" s="75" t="inlineStr">
        <is>
          <t>K</t>
        </is>
      </c>
      <c r="I339" s="67" t="n"/>
      <c r="J339" s="76" t="n"/>
      <c r="K339" s="76" t="n"/>
      <c r="L339" s="75" t="n"/>
      <c r="M339" s="67" t="n"/>
      <c r="N339" s="76" t="n"/>
      <c r="O339" s="67" t="n"/>
      <c r="P339" s="68" t="inlineStr">
        <is>
          <t>Species not handled today</t>
        </is>
      </c>
    </row>
    <row r="340" ht="19.5" customHeight="1" s="45">
      <c r="B340" s="74" t="inlineStr">
        <is>
          <t>PO-0336</t>
        </is>
      </c>
      <c r="C340" s="67" t="inlineStr">
        <is>
          <t>M5-A-01</t>
        </is>
      </c>
      <c r="D340" s="67" t="inlineStr">
        <is>
          <t>M5</t>
        </is>
      </c>
      <c r="E340" s="67" t="inlineStr">
        <is>
          <t>Aratdar</t>
        </is>
      </c>
      <c r="F340" s="67" t="inlineStr">
        <is>
          <t>S03</t>
        </is>
      </c>
      <c r="G340" s="75" t="inlineStr">
        <is>
          <t>K</t>
        </is>
      </c>
      <c r="H340" s="75" t="inlineStr">
        <is>
          <t>K</t>
        </is>
      </c>
      <c r="I340" s="67" t="n"/>
      <c r="J340" s="76" t="n"/>
      <c r="K340" s="76" t="n"/>
      <c r="L340" s="75" t="n"/>
      <c r="M340" s="67" t="n"/>
      <c r="N340" s="76" t="n"/>
      <c r="O340" s="67" t="n"/>
      <c r="P340" s="68" t="inlineStr">
        <is>
          <t>Species not handled today</t>
        </is>
      </c>
    </row>
    <row r="341" ht="19.5" customHeight="1" s="45">
      <c r="B341" s="74" t="inlineStr">
        <is>
          <t>PO-0337</t>
        </is>
      </c>
      <c r="C341" s="67" t="inlineStr">
        <is>
          <t>M5-A-02</t>
        </is>
      </c>
      <c r="D341" s="67" t="inlineStr">
        <is>
          <t>M5</t>
        </is>
      </c>
      <c r="E341" s="67" t="inlineStr">
        <is>
          <t>Aratdar</t>
        </is>
      </c>
      <c r="F341" s="67" t="inlineStr">
        <is>
          <t>S01</t>
        </is>
      </c>
      <c r="G341" s="75" t="n">
        <v>43750</v>
      </c>
      <c r="H341" s="75" t="n">
        <v>45500</v>
      </c>
      <c r="I341" s="67" t="inlineStr">
        <is>
          <t>Maund</t>
        </is>
      </c>
      <c r="J341" s="76" t="n">
        <v>1172.29</v>
      </c>
      <c r="K341" s="76" t="n">
        <v>1219.19</v>
      </c>
      <c r="L341" s="75" t="n">
        <v>1.2</v>
      </c>
      <c r="M341" s="67" t="inlineStr">
        <is>
          <t>Maund</t>
        </is>
      </c>
      <c r="N341" s="76" t="n">
        <v>44.78</v>
      </c>
      <c r="O341" s="67" t="n"/>
      <c r="P341" s="68" t="n"/>
    </row>
    <row r="342" ht="19.5" customHeight="1" s="45">
      <c r="B342" s="74" t="inlineStr">
        <is>
          <t>PO-0338</t>
        </is>
      </c>
      <c r="C342" s="67" t="inlineStr">
        <is>
          <t>M5-A-02</t>
        </is>
      </c>
      <c r="D342" s="67" t="inlineStr">
        <is>
          <t>M5</t>
        </is>
      </c>
      <c r="E342" s="67" t="inlineStr">
        <is>
          <t>Aratdar</t>
        </is>
      </c>
      <c r="F342" s="67" t="inlineStr">
        <is>
          <t>S02</t>
        </is>
      </c>
      <c r="G342" s="75" t="n">
        <v>46250</v>
      </c>
      <c r="H342" s="75" t="n">
        <v>48250</v>
      </c>
      <c r="I342" s="67" t="inlineStr">
        <is>
          <t>Maund</t>
        </is>
      </c>
      <c r="J342" s="76" t="n">
        <v>1239.28</v>
      </c>
      <c r="K342" s="76" t="n">
        <v>1292.87</v>
      </c>
      <c r="L342" s="75" t="n">
        <v>1.1</v>
      </c>
      <c r="M342" s="67" t="inlineStr">
        <is>
          <t>Maund</t>
        </is>
      </c>
      <c r="N342" s="76" t="n">
        <v>41.05</v>
      </c>
      <c r="O342" s="67" t="n"/>
      <c r="P342" s="68" t="n"/>
    </row>
    <row r="343" ht="19.5" customHeight="1" s="45">
      <c r="B343" s="74" t="inlineStr">
        <is>
          <t>PO-0339</t>
        </is>
      </c>
      <c r="C343" s="67" t="inlineStr">
        <is>
          <t>M5-A-02</t>
        </is>
      </c>
      <c r="D343" s="67" t="inlineStr">
        <is>
          <t>M5</t>
        </is>
      </c>
      <c r="E343" s="67" t="inlineStr">
        <is>
          <t>Aratdar</t>
        </is>
      </c>
      <c r="F343" s="67" t="inlineStr">
        <is>
          <t>S04</t>
        </is>
      </c>
      <c r="G343" s="75" t="n">
        <v>25750</v>
      </c>
      <c r="H343" s="75" t="inlineStr">
        <is>
          <t>D</t>
        </is>
      </c>
      <c r="I343" s="67" t="inlineStr">
        <is>
          <t>Maund</t>
        </is>
      </c>
      <c r="J343" s="76" t="n">
        <v>689.98</v>
      </c>
      <c r="K343" s="76" t="n"/>
      <c r="L343" s="75" t="n">
        <v>2.8</v>
      </c>
      <c r="M343" s="67" t="inlineStr">
        <is>
          <t>Maund</t>
        </is>
      </c>
      <c r="N343" s="76" t="n">
        <v>104.5</v>
      </c>
      <c r="O343" s="67" t="inlineStr">
        <is>
          <t>PAIR-M5-02</t>
        </is>
      </c>
      <c r="P343" s="68" t="n"/>
    </row>
    <row r="344" ht="19.5" customHeight="1" s="45">
      <c r="B344" s="74" t="inlineStr">
        <is>
          <t>PO-0340</t>
        </is>
      </c>
      <c r="C344" s="67" t="inlineStr">
        <is>
          <t>M5-A-02</t>
        </is>
      </c>
      <c r="D344" s="67" t="inlineStr">
        <is>
          <t>M5</t>
        </is>
      </c>
      <c r="E344" s="67" t="inlineStr">
        <is>
          <t>Aratdar</t>
        </is>
      </c>
      <c r="F344" s="67" t="inlineStr">
        <is>
          <t>S05</t>
        </is>
      </c>
      <c r="G344" s="75" t="n">
        <v>16750</v>
      </c>
      <c r="H344" s="75" t="n">
        <v>17500</v>
      </c>
      <c r="I344" s="67" t="inlineStr">
        <is>
          <t>Maund</t>
        </is>
      </c>
      <c r="J344" s="76" t="n">
        <v>448.82</v>
      </c>
      <c r="K344" s="76" t="n">
        <v>468.92</v>
      </c>
      <c r="L344" s="75" t="n">
        <v>1.1</v>
      </c>
      <c r="M344" s="67" t="inlineStr">
        <is>
          <t>Maund</t>
        </is>
      </c>
      <c r="N344" s="76" t="n">
        <v>41.05</v>
      </c>
      <c r="O344" s="67" t="n"/>
      <c r="P344" s="68" t="n"/>
    </row>
    <row r="345" ht="19.5" customHeight="1" s="45">
      <c r="B345" s="74" t="inlineStr">
        <is>
          <t>PO-0341</t>
        </is>
      </c>
      <c r="C345" s="67" t="inlineStr">
        <is>
          <t>M5-A-02</t>
        </is>
      </c>
      <c r="D345" s="67" t="inlineStr">
        <is>
          <t>M5</t>
        </is>
      </c>
      <c r="E345" s="67" t="inlineStr">
        <is>
          <t>Aratdar</t>
        </is>
      </c>
      <c r="F345" s="67" t="inlineStr">
        <is>
          <t>S06</t>
        </is>
      </c>
      <c r="G345" s="75" t="n">
        <v>13750</v>
      </c>
      <c r="H345" s="75" t="n">
        <v>14250</v>
      </c>
      <c r="I345" s="67" t="inlineStr">
        <is>
          <t>Maund</t>
        </is>
      </c>
      <c r="J345" s="76" t="n">
        <v>368.44</v>
      </c>
      <c r="K345" s="76" t="n">
        <v>381.83</v>
      </c>
      <c r="L345" s="75" t="n">
        <v>2.4</v>
      </c>
      <c r="M345" s="67" t="inlineStr">
        <is>
          <t>Maund</t>
        </is>
      </c>
      <c r="N345" s="76" t="n">
        <v>89.56999999999999</v>
      </c>
      <c r="O345" s="67" t="n"/>
      <c r="P345" s="68" t="n"/>
    </row>
    <row r="346" ht="19.5" customHeight="1" s="45">
      <c r="B346" s="74" t="inlineStr">
        <is>
          <t>PO-0342</t>
        </is>
      </c>
      <c r="C346" s="67" t="inlineStr">
        <is>
          <t>M5-A-03</t>
        </is>
      </c>
      <c r="D346" s="67" t="inlineStr">
        <is>
          <t>M5</t>
        </is>
      </c>
      <c r="E346" s="67" t="inlineStr">
        <is>
          <t>Aratdar</t>
        </is>
      </c>
      <c r="F346" s="67" t="inlineStr">
        <is>
          <t>S01</t>
        </is>
      </c>
      <c r="G346" s="75" t="n">
        <v>41250</v>
      </c>
      <c r="H346" s="75" t="inlineStr">
        <is>
          <t>D</t>
        </is>
      </c>
      <c r="I346" s="67" t="inlineStr">
        <is>
          <t>Maund</t>
        </is>
      </c>
      <c r="J346" s="76" t="n">
        <v>1105.31</v>
      </c>
      <c r="K346" s="76" t="n"/>
      <c r="L346" s="75" t="n">
        <v>2.6</v>
      </c>
      <c r="M346" s="67" t="inlineStr">
        <is>
          <t>Maund</t>
        </is>
      </c>
      <c r="N346" s="76" t="n">
        <v>97.03</v>
      </c>
      <c r="O346" s="67" t="n"/>
      <c r="P346" s="68" t="n"/>
    </row>
    <row r="347" ht="19.5" customHeight="1" s="45">
      <c r="B347" s="74" t="inlineStr">
        <is>
          <t>PO-0343</t>
        </is>
      </c>
      <c r="C347" s="67" t="inlineStr">
        <is>
          <t>M5-A-03</t>
        </is>
      </c>
      <c r="D347" s="67" t="inlineStr">
        <is>
          <t>M5</t>
        </is>
      </c>
      <c r="E347" s="67" t="inlineStr">
        <is>
          <t>Aratdar</t>
        </is>
      </c>
      <c r="F347" s="67" t="inlineStr">
        <is>
          <t>S02</t>
        </is>
      </c>
      <c r="G347" s="75" t="n">
        <v>49000</v>
      </c>
      <c r="H347" s="75" t="n">
        <v>50750</v>
      </c>
      <c r="I347" s="67" t="inlineStr">
        <is>
          <t>Maund</t>
        </is>
      </c>
      <c r="J347" s="76" t="n">
        <v>1312.97</v>
      </c>
      <c r="K347" s="76" t="n">
        <v>1359.86</v>
      </c>
      <c r="L347" s="75" t="n">
        <v>1.5</v>
      </c>
      <c r="M347" s="67" t="inlineStr">
        <is>
          <t>Maund</t>
        </is>
      </c>
      <c r="N347" s="76" t="n">
        <v>55.98</v>
      </c>
      <c r="O347" s="67" t="n"/>
      <c r="P347" s="68" t="n"/>
    </row>
    <row r="348" ht="19.5" customHeight="1" s="45">
      <c r="B348" s="74" t="inlineStr">
        <is>
          <t>PO-0344</t>
        </is>
      </c>
      <c r="C348" s="67" t="inlineStr">
        <is>
          <t>M5-A-03</t>
        </is>
      </c>
      <c r="D348" s="67" t="inlineStr">
        <is>
          <t>M5</t>
        </is>
      </c>
      <c r="E348" s="67" t="inlineStr">
        <is>
          <t>Aratdar</t>
        </is>
      </c>
      <c r="F348" s="67" t="inlineStr">
        <is>
          <t>S03</t>
        </is>
      </c>
      <c r="G348" s="75" t="n">
        <v>32000</v>
      </c>
      <c r="H348" s="75" t="n">
        <v>34000</v>
      </c>
      <c r="I348" s="67" t="inlineStr">
        <is>
          <t>Maund</t>
        </is>
      </c>
      <c r="J348" s="76" t="n">
        <v>857.45</v>
      </c>
      <c r="K348" s="76" t="n">
        <v>911.04</v>
      </c>
      <c r="L348" s="75" t="n">
        <v>3</v>
      </c>
      <c r="M348" s="67" t="inlineStr">
        <is>
          <t>Maund</t>
        </is>
      </c>
      <c r="N348" s="76" t="n">
        <v>111.96</v>
      </c>
      <c r="O348" s="67" t="n"/>
      <c r="P348" s="68" t="n"/>
    </row>
    <row r="349" ht="19.5" customHeight="1" s="45">
      <c r="B349" s="74" t="inlineStr">
        <is>
          <t>PO-0345</t>
        </is>
      </c>
      <c r="C349" s="67" t="inlineStr">
        <is>
          <t>M5-A-03</t>
        </is>
      </c>
      <c r="D349" s="67" t="inlineStr">
        <is>
          <t>M5</t>
        </is>
      </c>
      <c r="E349" s="67" t="inlineStr">
        <is>
          <t>Aratdar</t>
        </is>
      </c>
      <c r="F349" s="67" t="inlineStr">
        <is>
          <t>S05</t>
        </is>
      </c>
      <c r="G349" s="75" t="n">
        <v>18000</v>
      </c>
      <c r="H349" s="75" t="n">
        <v>19000</v>
      </c>
      <c r="I349" s="67" t="inlineStr">
        <is>
          <t>Maund</t>
        </is>
      </c>
      <c r="J349" s="76" t="n">
        <v>482.32</v>
      </c>
      <c r="K349" s="76" t="n">
        <v>509.11</v>
      </c>
      <c r="L349" s="75" t="n">
        <v>2.5</v>
      </c>
      <c r="M349" s="67" t="inlineStr">
        <is>
          <t>Maund</t>
        </is>
      </c>
      <c r="N349" s="76" t="n">
        <v>93.3</v>
      </c>
      <c r="O349" s="67" t="n"/>
      <c r="P349" s="68" t="n"/>
    </row>
    <row r="350" ht="19.5" customHeight="1" s="45">
      <c r="B350" s="74" t="inlineStr">
        <is>
          <t>PO-0346</t>
        </is>
      </c>
      <c r="C350" s="67" t="inlineStr">
        <is>
          <t>M5-A-03</t>
        </is>
      </c>
      <c r="D350" s="67" t="inlineStr">
        <is>
          <t>M5</t>
        </is>
      </c>
      <c r="E350" s="67" t="inlineStr">
        <is>
          <t>Aratdar</t>
        </is>
      </c>
      <c r="F350" s="67" t="inlineStr">
        <is>
          <t>S06</t>
        </is>
      </c>
      <c r="G350" s="75" t="n">
        <v>12750</v>
      </c>
      <c r="H350" s="75" t="n">
        <v>13500</v>
      </c>
      <c r="I350" s="67" t="inlineStr">
        <is>
          <t>Maund</t>
        </is>
      </c>
      <c r="J350" s="76" t="n">
        <v>341.64</v>
      </c>
      <c r="K350" s="76" t="n">
        <v>361.74</v>
      </c>
      <c r="L350" s="75" t="n">
        <v>1.3</v>
      </c>
      <c r="M350" s="67" t="inlineStr">
        <is>
          <t>Maund</t>
        </is>
      </c>
      <c r="N350" s="76" t="n">
        <v>48.52</v>
      </c>
      <c r="O350" s="67" t="inlineStr">
        <is>
          <t>PAIR-M5-01</t>
        </is>
      </c>
      <c r="P350" s="68" t="n"/>
    </row>
    <row r="351" ht="19.5" customHeight="1" s="45">
      <c r="B351" s="74" t="inlineStr">
        <is>
          <t>PO-0347</t>
        </is>
      </c>
      <c r="C351" s="67" t="inlineStr">
        <is>
          <t>M5-A-03</t>
        </is>
      </c>
      <c r="D351" s="67" t="inlineStr">
        <is>
          <t>M5</t>
        </is>
      </c>
      <c r="E351" s="67" t="inlineStr">
        <is>
          <t>Aratdar</t>
        </is>
      </c>
      <c r="F351" s="67" t="inlineStr">
        <is>
          <t>S04</t>
        </is>
      </c>
      <c r="G351" s="75" t="inlineStr">
        <is>
          <t>K</t>
        </is>
      </c>
      <c r="H351" s="75" t="inlineStr">
        <is>
          <t>K</t>
        </is>
      </c>
      <c r="I351" s="67" t="n"/>
      <c r="J351" s="76" t="n"/>
      <c r="K351" s="76" t="n"/>
      <c r="L351" s="75" t="n"/>
      <c r="M351" s="67" t="n"/>
      <c r="N351" s="76" t="n"/>
      <c r="O351" s="67" t="n"/>
      <c r="P351" s="68" t="inlineStr">
        <is>
          <t>Species not handled today</t>
        </is>
      </c>
    </row>
    <row r="352" ht="19.5" customHeight="1" s="45">
      <c r="B352" s="74" t="inlineStr">
        <is>
          <t>PO-0348</t>
        </is>
      </c>
      <c r="C352" s="67" t="inlineStr">
        <is>
          <t>M5-A-04</t>
        </is>
      </c>
      <c r="D352" s="67" t="inlineStr">
        <is>
          <t>M5</t>
        </is>
      </c>
      <c r="E352" s="67" t="inlineStr">
        <is>
          <t>Aratdar</t>
        </is>
      </c>
      <c r="F352" s="67" t="inlineStr">
        <is>
          <t>S01</t>
        </is>
      </c>
      <c r="G352" s="75" t="n">
        <v>42500</v>
      </c>
      <c r="H352" s="75" t="n">
        <v>44750</v>
      </c>
      <c r="I352" s="67" t="inlineStr">
        <is>
          <t>Maund</t>
        </is>
      </c>
      <c r="J352" s="76" t="n">
        <v>1138.8</v>
      </c>
      <c r="K352" s="76" t="n">
        <v>1199.09</v>
      </c>
      <c r="L352" s="75" t="n">
        <v>8.1</v>
      </c>
      <c r="M352" s="67" t="inlineStr">
        <is>
          <t>Maund</t>
        </is>
      </c>
      <c r="N352" s="76" t="n">
        <v>302.29</v>
      </c>
      <c r="O352" s="67" t="n"/>
      <c r="P352" s="68" t="n"/>
    </row>
    <row r="353" ht="19.5" customHeight="1" s="45">
      <c r="B353" s="74" t="inlineStr">
        <is>
          <t>PO-0349</t>
        </is>
      </c>
      <c r="C353" s="67" t="inlineStr">
        <is>
          <t>M5-A-04</t>
        </is>
      </c>
      <c r="D353" s="67" t="inlineStr">
        <is>
          <t>M5</t>
        </is>
      </c>
      <c r="E353" s="67" t="inlineStr">
        <is>
          <t>Aratdar</t>
        </is>
      </c>
      <c r="F353" s="67" t="inlineStr">
        <is>
          <t>S03</t>
        </is>
      </c>
      <c r="G353" s="75" t="n">
        <v>30250</v>
      </c>
      <c r="H353" s="75" t="n">
        <v>32000</v>
      </c>
      <c r="I353" s="67" t="inlineStr">
        <is>
          <t>Maund</t>
        </is>
      </c>
      <c r="J353" s="76" t="n">
        <v>810.5599999999999</v>
      </c>
      <c r="K353" s="76" t="n">
        <v>857.45</v>
      </c>
      <c r="L353" s="75" t="n">
        <v>3.5</v>
      </c>
      <c r="M353" s="67" t="inlineStr">
        <is>
          <t>Maund</t>
        </is>
      </c>
      <c r="N353" s="76" t="n">
        <v>130.62</v>
      </c>
      <c r="O353" s="67" t="n"/>
      <c r="P353" s="68" t="n"/>
    </row>
    <row r="354" ht="19.5" customHeight="1" s="45">
      <c r="B354" s="74" t="inlineStr">
        <is>
          <t>PO-0350</t>
        </is>
      </c>
      <c r="C354" s="67" t="inlineStr">
        <is>
          <t>M5-A-04</t>
        </is>
      </c>
      <c r="D354" s="67" t="inlineStr">
        <is>
          <t>M5</t>
        </is>
      </c>
      <c r="E354" s="67" t="inlineStr">
        <is>
          <t>Aratdar</t>
        </is>
      </c>
      <c r="F354" s="67" t="inlineStr">
        <is>
          <t>S04</t>
        </is>
      </c>
      <c r="G354" s="75" t="n">
        <v>26750</v>
      </c>
      <c r="H354" s="75" t="n">
        <v>28000</v>
      </c>
      <c r="I354" s="67" t="inlineStr">
        <is>
          <t>Maund</t>
        </is>
      </c>
      <c r="J354" s="76" t="n">
        <v>716.77</v>
      </c>
      <c r="K354" s="76" t="n">
        <v>750.27</v>
      </c>
      <c r="L354" s="75" t="n">
        <v>7.4</v>
      </c>
      <c r="M354" s="67" t="inlineStr">
        <is>
          <t>Maund</t>
        </is>
      </c>
      <c r="N354" s="76" t="n">
        <v>276.17</v>
      </c>
      <c r="O354" s="67" t="n"/>
      <c r="P354" s="68" t="n"/>
    </row>
    <row r="355" ht="19.5" customHeight="1" s="45">
      <c r="B355" s="74" t="inlineStr">
        <is>
          <t>PO-0351</t>
        </is>
      </c>
      <c r="C355" s="67" t="inlineStr">
        <is>
          <t>M5-A-04</t>
        </is>
      </c>
      <c r="D355" s="67" t="inlineStr">
        <is>
          <t>M5</t>
        </is>
      </c>
      <c r="E355" s="67" t="inlineStr">
        <is>
          <t>Aratdar</t>
        </is>
      </c>
      <c r="F355" s="67" t="inlineStr">
        <is>
          <t>S09</t>
        </is>
      </c>
      <c r="G355" s="75" t="n">
        <v>7900</v>
      </c>
      <c r="H355" s="75" t="n">
        <v>8300</v>
      </c>
      <c r="I355" s="67" t="inlineStr">
        <is>
          <t>Maund</t>
        </is>
      </c>
      <c r="J355" s="76" t="n">
        <v>211.68</v>
      </c>
      <c r="K355" s="76" t="n">
        <v>222.4</v>
      </c>
      <c r="L355" s="75" t="n">
        <v>5.2</v>
      </c>
      <c r="M355" s="67" t="inlineStr">
        <is>
          <t>Maund</t>
        </is>
      </c>
      <c r="N355" s="76" t="n">
        <v>194.06</v>
      </c>
      <c r="O355" s="67" t="n"/>
      <c r="P355" s="68" t="n"/>
    </row>
    <row r="356" ht="19.5" customHeight="1" s="45">
      <c r="B356" s="74" t="inlineStr">
        <is>
          <t>PO-0352</t>
        </is>
      </c>
      <c r="C356" s="67" t="inlineStr">
        <is>
          <t>M5-A-04</t>
        </is>
      </c>
      <c r="D356" s="67" t="inlineStr">
        <is>
          <t>M5</t>
        </is>
      </c>
      <c r="E356" s="67" t="inlineStr">
        <is>
          <t>Aratdar</t>
        </is>
      </c>
      <c r="F356" s="67" t="inlineStr">
        <is>
          <t>S10</t>
        </is>
      </c>
      <c r="G356" s="75" t="n">
        <v>6600</v>
      </c>
      <c r="H356" s="75" t="n">
        <v>7000</v>
      </c>
      <c r="I356" s="67" t="inlineStr">
        <is>
          <t>Maund</t>
        </is>
      </c>
      <c r="J356" s="76" t="n">
        <v>176.85</v>
      </c>
      <c r="K356" s="76" t="n">
        <v>187.57</v>
      </c>
      <c r="L356" s="75" t="n">
        <v>6.5</v>
      </c>
      <c r="M356" s="67" t="inlineStr">
        <is>
          <t>Maund</t>
        </is>
      </c>
      <c r="N356" s="76" t="n">
        <v>242.58</v>
      </c>
      <c r="O356" s="67" t="n"/>
      <c r="P356" s="68" t="n"/>
    </row>
    <row r="357" ht="19.5" customHeight="1" s="45">
      <c r="B357" s="74" t="inlineStr">
        <is>
          <t>PO-0353</t>
        </is>
      </c>
      <c r="C357" s="67" t="inlineStr">
        <is>
          <t>M5-A-04</t>
        </is>
      </c>
      <c r="D357" s="67" t="inlineStr">
        <is>
          <t>M5</t>
        </is>
      </c>
      <c r="E357" s="67" t="inlineStr">
        <is>
          <t>Aratdar</t>
        </is>
      </c>
      <c r="F357" s="67" t="inlineStr">
        <is>
          <t>S05</t>
        </is>
      </c>
      <c r="G357" s="75" t="inlineStr">
        <is>
          <t>K</t>
        </is>
      </c>
      <c r="H357" s="75" t="inlineStr">
        <is>
          <t>K</t>
        </is>
      </c>
      <c r="I357" s="67" t="n"/>
      <c r="J357" s="76" t="n"/>
      <c r="K357" s="76" t="n"/>
      <c r="L357" s="75" t="n"/>
      <c r="M357" s="67" t="n"/>
      <c r="N357" s="76" t="n"/>
      <c r="O357" s="67" t="n"/>
      <c r="P357" s="68" t="inlineStr">
        <is>
          <t>Species not handled today</t>
        </is>
      </c>
    </row>
    <row r="358" ht="19.5" customHeight="1" s="45">
      <c r="B358" s="74" t="inlineStr">
        <is>
          <t>PO-0354</t>
        </is>
      </c>
      <c r="C358" s="67" t="inlineStr">
        <is>
          <t>M5-A-04</t>
        </is>
      </c>
      <c r="D358" s="67" t="inlineStr">
        <is>
          <t>M5</t>
        </is>
      </c>
      <c r="E358" s="67" t="inlineStr">
        <is>
          <t>Aratdar</t>
        </is>
      </c>
      <c r="F358" s="67" t="inlineStr">
        <is>
          <t>S08</t>
        </is>
      </c>
      <c r="G358" s="75" t="inlineStr">
        <is>
          <t>K</t>
        </is>
      </c>
      <c r="H358" s="75" t="inlineStr">
        <is>
          <t>K</t>
        </is>
      </c>
      <c r="I358" s="67" t="n"/>
      <c r="J358" s="76" t="n"/>
      <c r="K358" s="76" t="n"/>
      <c r="L358" s="75" t="n"/>
      <c r="M358" s="67" t="n"/>
      <c r="N358" s="76" t="n"/>
      <c r="O358" s="67" t="n"/>
      <c r="P358" s="68" t="inlineStr">
        <is>
          <t>Species not handled today</t>
        </is>
      </c>
    </row>
    <row r="359" ht="19.5" customHeight="1" s="45">
      <c r="B359" s="74" t="inlineStr">
        <is>
          <t>PO-0355</t>
        </is>
      </c>
      <c r="C359" s="67" t="inlineStr">
        <is>
          <t>M5-A-05</t>
        </is>
      </c>
      <c r="D359" s="67" t="inlineStr">
        <is>
          <t>M5</t>
        </is>
      </c>
      <c r="E359" s="67" t="inlineStr">
        <is>
          <t>Aratdar</t>
        </is>
      </c>
      <c r="F359" s="67" t="inlineStr">
        <is>
          <t>S01</t>
        </is>
      </c>
      <c r="G359" s="75" t="n">
        <v>43000</v>
      </c>
      <c r="H359" s="75" t="n">
        <v>45000</v>
      </c>
      <c r="I359" s="67" t="inlineStr">
        <is>
          <t>Maund</t>
        </is>
      </c>
      <c r="J359" s="76" t="n">
        <v>1152.2</v>
      </c>
      <c r="K359" s="76" t="n">
        <v>1205.79</v>
      </c>
      <c r="L359" s="75" t="n">
        <v>3.4</v>
      </c>
      <c r="M359" s="67" t="inlineStr">
        <is>
          <t>Maund</t>
        </is>
      </c>
      <c r="N359" s="76" t="n">
        <v>126.89</v>
      </c>
      <c r="O359" s="67" t="n"/>
      <c r="P359" s="68" t="n"/>
    </row>
    <row r="360" ht="19.5" customHeight="1" s="45">
      <c r="B360" s="74" t="inlineStr">
        <is>
          <t>PO-0356</t>
        </is>
      </c>
      <c r="C360" s="67" t="inlineStr">
        <is>
          <t>M5-A-05</t>
        </is>
      </c>
      <c r="D360" s="67" t="inlineStr">
        <is>
          <t>M5</t>
        </is>
      </c>
      <c r="E360" s="67" t="inlineStr">
        <is>
          <t>Aratdar</t>
        </is>
      </c>
      <c r="F360" s="67" t="inlineStr">
        <is>
          <t>S02</t>
        </is>
      </c>
      <c r="G360" s="75" t="n">
        <v>45750</v>
      </c>
      <c r="H360" s="75" t="n">
        <v>48000</v>
      </c>
      <c r="I360" s="67" t="inlineStr">
        <is>
          <t>Maund</t>
        </is>
      </c>
      <c r="J360" s="76" t="n">
        <v>1225.88</v>
      </c>
      <c r="K360" s="76" t="n">
        <v>1286.17</v>
      </c>
      <c r="L360" s="75" t="n">
        <v>1.6</v>
      </c>
      <c r="M360" s="67" t="inlineStr">
        <is>
          <t>Maund</t>
        </is>
      </c>
      <c r="N360" s="76" t="n">
        <v>59.71</v>
      </c>
      <c r="O360" s="67" t="n"/>
      <c r="P360" s="68" t="n"/>
    </row>
    <row r="361" ht="19.5" customHeight="1" s="45">
      <c r="B361" s="74" t="inlineStr">
        <is>
          <t>PO-0357</t>
        </is>
      </c>
      <c r="C361" s="67" t="inlineStr">
        <is>
          <t>M5-A-05</t>
        </is>
      </c>
      <c r="D361" s="67" t="inlineStr">
        <is>
          <t>M5</t>
        </is>
      </c>
      <c r="E361" s="67" t="inlineStr">
        <is>
          <t>Aratdar</t>
        </is>
      </c>
      <c r="F361" s="67" t="inlineStr">
        <is>
          <t>S03</t>
        </is>
      </c>
      <c r="G361" s="75" t="inlineStr">
        <is>
          <t>K</t>
        </is>
      </c>
      <c r="H361" s="75" t="n">
        <v>32750</v>
      </c>
      <c r="I361" s="67" t="inlineStr">
        <is>
          <t>Maund</t>
        </is>
      </c>
      <c r="J361" s="76" t="n"/>
      <c r="K361" s="76" t="n">
        <v>877.55</v>
      </c>
      <c r="L361" s="75" t="n">
        <v>3.5</v>
      </c>
      <c r="M361" s="67" t="inlineStr">
        <is>
          <t>Maund</t>
        </is>
      </c>
      <c r="N361" s="76" t="n">
        <v>130.62</v>
      </c>
      <c r="O361" s="67" t="n"/>
      <c r="P361" s="68" t="n"/>
    </row>
    <row r="362" ht="19.5" customHeight="1" s="45">
      <c r="B362" s="74" t="inlineStr">
        <is>
          <t>PO-0358</t>
        </is>
      </c>
      <c r="C362" s="67" t="inlineStr">
        <is>
          <t>M5-A-05</t>
        </is>
      </c>
      <c r="D362" s="67" t="inlineStr">
        <is>
          <t>M5</t>
        </is>
      </c>
      <c r="E362" s="67" t="inlineStr">
        <is>
          <t>Aratdar</t>
        </is>
      </c>
      <c r="F362" s="67" t="inlineStr">
        <is>
          <t>S08</t>
        </is>
      </c>
      <c r="G362" s="75" t="n">
        <v>10500</v>
      </c>
      <c r="H362" s="75" t="n">
        <v>11000</v>
      </c>
      <c r="I362" s="67" t="inlineStr">
        <is>
          <t>Maund</t>
        </is>
      </c>
      <c r="J362" s="76" t="n">
        <v>281.35</v>
      </c>
      <c r="K362" s="76" t="n">
        <v>294.75</v>
      </c>
      <c r="L362" s="75" t="n">
        <v>1.7</v>
      </c>
      <c r="M362" s="67" t="inlineStr">
        <is>
          <t>Maund</t>
        </is>
      </c>
      <c r="N362" s="76" t="n">
        <v>63.44</v>
      </c>
      <c r="O362" s="67" t="n"/>
      <c r="P362" s="68" t="n"/>
    </row>
    <row r="363" ht="19.5" customHeight="1" s="45">
      <c r="B363" s="74" t="inlineStr">
        <is>
          <t>PO-0359</t>
        </is>
      </c>
      <c r="C363" s="67" t="inlineStr">
        <is>
          <t>M5-B-01</t>
        </is>
      </c>
      <c r="D363" s="67" t="inlineStr">
        <is>
          <t>M5</t>
        </is>
      </c>
      <c r="E363" s="67" t="inlineStr">
        <is>
          <t>Bepari_Faria</t>
        </is>
      </c>
      <c r="F363" s="67" t="inlineStr">
        <is>
          <t>S01</t>
        </is>
      </c>
      <c r="G363" s="75" t="n">
        <v>42500</v>
      </c>
      <c r="H363" s="75" t="n">
        <v>46250</v>
      </c>
      <c r="I363" s="67" t="inlineStr">
        <is>
          <t>Maund</t>
        </is>
      </c>
      <c r="J363" s="76" t="n">
        <v>1138.8</v>
      </c>
      <c r="K363" s="76" t="n">
        <v>1239.28</v>
      </c>
      <c r="L363" s="75" t="n">
        <v>0.2</v>
      </c>
      <c r="M363" s="67" t="inlineStr">
        <is>
          <t>Maund</t>
        </is>
      </c>
      <c r="N363" s="76" t="n">
        <v>7.46</v>
      </c>
      <c r="O363" s="67" t="n"/>
      <c r="P363" s="68" t="n"/>
    </row>
    <row r="364" ht="19.5" customHeight="1" s="45">
      <c r="B364" s="74" t="inlineStr">
        <is>
          <t>PO-0360</t>
        </is>
      </c>
      <c r="C364" s="67" t="inlineStr">
        <is>
          <t>M5-B-01</t>
        </is>
      </c>
      <c r="D364" s="67" t="inlineStr">
        <is>
          <t>M5</t>
        </is>
      </c>
      <c r="E364" s="67" t="inlineStr">
        <is>
          <t>Bepari_Faria</t>
        </is>
      </c>
      <c r="F364" s="67" t="inlineStr">
        <is>
          <t>S02</t>
        </is>
      </c>
      <c r="G364" s="75" t="n">
        <v>48750</v>
      </c>
      <c r="H364" s="75" t="n">
        <v>55500</v>
      </c>
      <c r="I364" s="67" t="inlineStr">
        <is>
          <t>Maund</t>
        </is>
      </c>
      <c r="J364" s="76" t="n">
        <v>1306.27</v>
      </c>
      <c r="K364" s="76" t="n">
        <v>1487.14</v>
      </c>
      <c r="L364" s="75" t="n">
        <v>0.2</v>
      </c>
      <c r="M364" s="67" t="inlineStr">
        <is>
          <t>Maund</t>
        </is>
      </c>
      <c r="N364" s="76" t="n">
        <v>7.46</v>
      </c>
      <c r="O364" s="67" t="n"/>
      <c r="P364" s="68" t="n"/>
    </row>
    <row r="365" ht="19.5" customHeight="1" s="45">
      <c r="B365" s="74" t="inlineStr">
        <is>
          <t>PO-0361</t>
        </is>
      </c>
      <c r="C365" s="67" t="inlineStr">
        <is>
          <t>M5-B-01</t>
        </is>
      </c>
      <c r="D365" s="67" t="inlineStr">
        <is>
          <t>M5</t>
        </is>
      </c>
      <c r="E365" s="67" t="inlineStr">
        <is>
          <t>Bepari_Faria</t>
        </is>
      </c>
      <c r="F365" s="67" t="inlineStr">
        <is>
          <t>S04</t>
        </is>
      </c>
      <c r="G365" s="75" t="n">
        <v>28250</v>
      </c>
      <c r="H365" s="75" t="n">
        <v>31000</v>
      </c>
      <c r="I365" s="67" t="inlineStr">
        <is>
          <t>Maund</t>
        </is>
      </c>
      <c r="J365" s="76" t="n">
        <v>756.97</v>
      </c>
      <c r="K365" s="76" t="n">
        <v>830.65</v>
      </c>
      <c r="L365" s="75" t="n">
        <v>0.3</v>
      </c>
      <c r="M365" s="67" t="inlineStr">
        <is>
          <t>Maund</t>
        </is>
      </c>
      <c r="N365" s="76" t="n">
        <v>11.2</v>
      </c>
      <c r="O365" s="67" t="n"/>
      <c r="P365" s="68" t="n"/>
    </row>
    <row r="366" ht="19.5" customHeight="1" s="45">
      <c r="B366" s="74" t="inlineStr">
        <is>
          <t>PO-0362</t>
        </is>
      </c>
      <c r="C366" s="67" t="inlineStr">
        <is>
          <t>M5-B-01</t>
        </is>
      </c>
      <c r="D366" s="67" t="inlineStr">
        <is>
          <t>M5</t>
        </is>
      </c>
      <c r="E366" s="67" t="inlineStr">
        <is>
          <t>Bepari_Faria</t>
        </is>
      </c>
      <c r="F366" s="67" t="inlineStr">
        <is>
          <t>S05</t>
        </is>
      </c>
      <c r="G366" s="75" t="n">
        <v>17750</v>
      </c>
      <c r="H366" s="75" t="n">
        <v>20250</v>
      </c>
      <c r="I366" s="67" t="inlineStr">
        <is>
          <t>Maund</t>
        </is>
      </c>
      <c r="J366" s="76" t="n">
        <v>475.62</v>
      </c>
      <c r="K366" s="76" t="n">
        <v>542.6</v>
      </c>
      <c r="L366" s="75" t="n">
        <v>0.3</v>
      </c>
      <c r="M366" s="67" t="inlineStr">
        <is>
          <t>Maund</t>
        </is>
      </c>
      <c r="N366" s="76" t="n">
        <v>11.2</v>
      </c>
      <c r="O366" s="67" t="n"/>
      <c r="P366" s="68" t="n"/>
    </row>
    <row r="367" ht="19.5" customHeight="1" s="45">
      <c r="B367" s="74" t="inlineStr">
        <is>
          <t>PO-0363</t>
        </is>
      </c>
      <c r="C367" s="67" t="inlineStr">
        <is>
          <t>M5-B-01</t>
        </is>
      </c>
      <c r="D367" s="67" t="inlineStr">
        <is>
          <t>M5</t>
        </is>
      </c>
      <c r="E367" s="67" t="inlineStr">
        <is>
          <t>Bepari_Faria</t>
        </is>
      </c>
      <c r="F367" s="67" t="inlineStr">
        <is>
          <t>S06</t>
        </is>
      </c>
      <c r="G367" s="75" t="n">
        <v>14250</v>
      </c>
      <c r="H367" s="75" t="n">
        <v>15500</v>
      </c>
      <c r="I367" s="67" t="inlineStr">
        <is>
          <t>Maund</t>
        </is>
      </c>
      <c r="J367" s="76" t="n">
        <v>381.83</v>
      </c>
      <c r="K367" s="76" t="n">
        <v>415.33</v>
      </c>
      <c r="L367" s="75" t="n">
        <v>0.2</v>
      </c>
      <c r="M367" s="67" t="inlineStr">
        <is>
          <t>Maund</t>
        </is>
      </c>
      <c r="N367" s="76" t="n">
        <v>7.46</v>
      </c>
      <c r="O367" s="67" t="n"/>
      <c r="P367" s="68" t="n"/>
    </row>
    <row r="368" ht="19.5" customHeight="1" s="45">
      <c r="B368" s="74" t="inlineStr">
        <is>
          <t>PO-0364</t>
        </is>
      </c>
      <c r="C368" s="67" t="inlineStr">
        <is>
          <t>M5-B-02</t>
        </is>
      </c>
      <c r="D368" s="67" t="inlineStr">
        <is>
          <t>M5</t>
        </is>
      </c>
      <c r="E368" s="67" t="inlineStr">
        <is>
          <t>Bepari_Faria</t>
        </is>
      </c>
      <c r="F368" s="67" t="inlineStr">
        <is>
          <t>S01</t>
        </is>
      </c>
      <c r="G368" s="75" t="n">
        <v>44000</v>
      </c>
      <c r="H368" s="75" t="n">
        <v>47000</v>
      </c>
      <c r="I368" s="67" t="inlineStr">
        <is>
          <t>Maund</t>
        </is>
      </c>
      <c r="J368" s="76" t="n">
        <v>1178.99</v>
      </c>
      <c r="K368" s="76" t="n">
        <v>1259.38</v>
      </c>
      <c r="L368" s="75" t="n">
        <v>1.3</v>
      </c>
      <c r="M368" s="67" t="inlineStr">
        <is>
          <t>Maund</t>
        </is>
      </c>
      <c r="N368" s="76" t="n">
        <v>48.52</v>
      </c>
      <c r="O368" s="67" t="n"/>
      <c r="P368" s="68" t="n"/>
    </row>
    <row r="369" ht="19.5" customHeight="1" s="45">
      <c r="B369" s="74" t="inlineStr">
        <is>
          <t>PO-0365</t>
        </is>
      </c>
      <c r="C369" s="67" t="inlineStr">
        <is>
          <t>M5-B-02</t>
        </is>
      </c>
      <c r="D369" s="67" t="inlineStr">
        <is>
          <t>M5</t>
        </is>
      </c>
      <c r="E369" s="67" t="inlineStr">
        <is>
          <t>Bepari_Faria</t>
        </is>
      </c>
      <c r="F369" s="67" t="inlineStr">
        <is>
          <t>S02</t>
        </is>
      </c>
      <c r="G369" s="75" t="n">
        <v>50750</v>
      </c>
      <c r="H369" s="75" t="n">
        <v>54250</v>
      </c>
      <c r="I369" s="67" t="inlineStr">
        <is>
          <t>Maund</t>
        </is>
      </c>
      <c r="J369" s="76" t="n">
        <v>1359.86</v>
      </c>
      <c r="K369" s="76" t="n">
        <v>1453.64</v>
      </c>
      <c r="L369" s="75" t="n">
        <v>1.6</v>
      </c>
      <c r="M369" s="67" t="inlineStr">
        <is>
          <t>Maund</t>
        </is>
      </c>
      <c r="N369" s="76" t="n">
        <v>59.71</v>
      </c>
      <c r="O369" s="67" t="n"/>
      <c r="P369" s="68" t="n"/>
    </row>
    <row r="370" ht="19.5" customHeight="1" s="45">
      <c r="B370" s="74" t="inlineStr">
        <is>
          <t>PO-0366</t>
        </is>
      </c>
      <c r="C370" s="67" t="inlineStr">
        <is>
          <t>M5-B-02</t>
        </is>
      </c>
      <c r="D370" s="67" t="inlineStr">
        <is>
          <t>M5</t>
        </is>
      </c>
      <c r="E370" s="67" t="inlineStr">
        <is>
          <t>Bepari_Faria</t>
        </is>
      </c>
      <c r="F370" s="67" t="inlineStr">
        <is>
          <t>S03</t>
        </is>
      </c>
      <c r="G370" s="75" t="n">
        <v>32500</v>
      </c>
      <c r="H370" s="75" t="n">
        <v>36500</v>
      </c>
      <c r="I370" s="67" t="inlineStr">
        <is>
          <t>Maund</t>
        </is>
      </c>
      <c r="J370" s="76" t="n">
        <v>870.85</v>
      </c>
      <c r="K370" s="76" t="n">
        <v>978.03</v>
      </c>
      <c r="L370" s="75" t="n">
        <v>2</v>
      </c>
      <c r="M370" s="67" t="inlineStr">
        <is>
          <t>Maund</t>
        </is>
      </c>
      <c r="N370" s="76" t="n">
        <v>74.64</v>
      </c>
      <c r="O370" s="67" t="n"/>
      <c r="P370" s="68" t="n"/>
    </row>
    <row r="371" ht="19.5" customHeight="1" s="45">
      <c r="B371" s="74" t="inlineStr">
        <is>
          <t>PO-0367</t>
        </is>
      </c>
      <c r="C371" s="67" t="inlineStr">
        <is>
          <t>M5-B-02</t>
        </is>
      </c>
      <c r="D371" s="67" t="inlineStr">
        <is>
          <t>M5</t>
        </is>
      </c>
      <c r="E371" s="67" t="inlineStr">
        <is>
          <t>Bepari_Faria</t>
        </is>
      </c>
      <c r="F371" s="67" t="inlineStr">
        <is>
          <t>S05</t>
        </is>
      </c>
      <c r="G371" s="75" t="n">
        <v>16500</v>
      </c>
      <c r="H371" s="75" t="n">
        <v>18000</v>
      </c>
      <c r="I371" s="67" t="inlineStr">
        <is>
          <t>Maund</t>
        </is>
      </c>
      <c r="J371" s="76" t="n">
        <v>442.12</v>
      </c>
      <c r="K371" s="76" t="n">
        <v>482.32</v>
      </c>
      <c r="L371" s="75" t="n">
        <v>2.3</v>
      </c>
      <c r="M371" s="67" t="inlineStr">
        <is>
          <t>Maund</t>
        </is>
      </c>
      <c r="N371" s="76" t="n">
        <v>85.84</v>
      </c>
      <c r="O371" s="67" t="n"/>
      <c r="P371" s="68" t="n"/>
    </row>
    <row r="372" ht="19.5" customHeight="1" s="45">
      <c r="B372" s="74" t="inlineStr">
        <is>
          <t>PO-0368</t>
        </is>
      </c>
      <c r="C372" s="67" t="inlineStr">
        <is>
          <t>M5-B-02</t>
        </is>
      </c>
      <c r="D372" s="67" t="inlineStr">
        <is>
          <t>M5</t>
        </is>
      </c>
      <c r="E372" s="67" t="inlineStr">
        <is>
          <t>Bepari_Faria</t>
        </is>
      </c>
      <c r="F372" s="67" t="inlineStr">
        <is>
          <t>S06</t>
        </is>
      </c>
      <c r="G372" s="75" t="n">
        <v>13500</v>
      </c>
      <c r="H372" s="75" t="n">
        <v>14750</v>
      </c>
      <c r="I372" s="67" t="inlineStr">
        <is>
          <t>Maund</t>
        </is>
      </c>
      <c r="J372" s="76" t="n">
        <v>361.74</v>
      </c>
      <c r="K372" s="76" t="n">
        <v>395.23</v>
      </c>
      <c r="L372" s="75" t="n">
        <v>2</v>
      </c>
      <c r="M372" s="67" t="inlineStr">
        <is>
          <t>Maund</t>
        </is>
      </c>
      <c r="N372" s="76" t="n">
        <v>74.64</v>
      </c>
      <c r="O372" s="67" t="n"/>
      <c r="P372" s="68" t="n"/>
    </row>
    <row r="373" ht="19.5" customHeight="1" s="45">
      <c r="B373" s="74" t="inlineStr">
        <is>
          <t>PO-0369</t>
        </is>
      </c>
      <c r="C373" s="67" t="inlineStr">
        <is>
          <t>M5-B-03</t>
        </is>
      </c>
      <c r="D373" s="67" t="inlineStr">
        <is>
          <t>M5</t>
        </is>
      </c>
      <c r="E373" s="67" t="inlineStr">
        <is>
          <t>Bepari_Faria</t>
        </is>
      </c>
      <c r="F373" s="67" t="inlineStr">
        <is>
          <t>S01</t>
        </is>
      </c>
      <c r="G373" s="75" t="n">
        <v>46500</v>
      </c>
      <c r="H373" s="75" t="n">
        <v>49500</v>
      </c>
      <c r="I373" s="67" t="inlineStr">
        <is>
          <t>Maund</t>
        </is>
      </c>
      <c r="J373" s="76" t="n">
        <v>1245.98</v>
      </c>
      <c r="K373" s="76" t="n">
        <v>1326.37</v>
      </c>
      <c r="L373" s="75" t="n">
        <v>2.1</v>
      </c>
      <c r="M373" s="67" t="inlineStr">
        <is>
          <t>Maund</t>
        </is>
      </c>
      <c r="N373" s="76" t="n">
        <v>78.37</v>
      </c>
      <c r="O373" s="67" t="n"/>
      <c r="P373" s="68" t="n"/>
    </row>
    <row r="374" ht="19.5" customHeight="1" s="45">
      <c r="B374" s="74" t="inlineStr">
        <is>
          <t>PO-0370</t>
        </is>
      </c>
      <c r="C374" s="67" t="inlineStr">
        <is>
          <t>M5-B-03</t>
        </is>
      </c>
      <c r="D374" s="67" t="inlineStr">
        <is>
          <t>M5</t>
        </is>
      </c>
      <c r="E374" s="67" t="inlineStr">
        <is>
          <t>Bepari_Faria</t>
        </is>
      </c>
      <c r="F374" s="67" t="inlineStr">
        <is>
          <t>S02</t>
        </is>
      </c>
      <c r="G374" s="75" t="n">
        <v>51750</v>
      </c>
      <c r="H374" s="75" t="n">
        <v>57500</v>
      </c>
      <c r="I374" s="67" t="inlineStr">
        <is>
          <t>Maund</t>
        </is>
      </c>
      <c r="J374" s="76" t="n">
        <v>1386.66</v>
      </c>
      <c r="K374" s="76" t="n">
        <v>1540.73</v>
      </c>
      <c r="L374" s="75" t="n">
        <v>1.5</v>
      </c>
      <c r="M374" s="67" t="inlineStr">
        <is>
          <t>Maund</t>
        </is>
      </c>
      <c r="N374" s="76" t="n">
        <v>55.98</v>
      </c>
      <c r="O374" s="67" t="n"/>
      <c r="P374" s="68" t="n"/>
    </row>
    <row r="375" ht="19.5" customHeight="1" s="45">
      <c r="B375" s="74" t="inlineStr">
        <is>
          <t>PO-0371</t>
        </is>
      </c>
      <c r="C375" s="67" t="inlineStr">
        <is>
          <t>M5-B-03</t>
        </is>
      </c>
      <c r="D375" s="67" t="inlineStr">
        <is>
          <t>M5</t>
        </is>
      </c>
      <c r="E375" s="67" t="inlineStr">
        <is>
          <t>Bepari_Faria</t>
        </is>
      </c>
      <c r="F375" s="67" t="inlineStr">
        <is>
          <t>S03</t>
        </is>
      </c>
      <c r="G375" s="75" t="n">
        <v>33500</v>
      </c>
      <c r="H375" s="75" t="n">
        <v>37500</v>
      </c>
      <c r="I375" s="67" t="inlineStr">
        <is>
          <t>Maund</t>
        </is>
      </c>
      <c r="J375" s="76" t="n">
        <v>897.64</v>
      </c>
      <c r="K375" s="76" t="n">
        <v>1004.82</v>
      </c>
      <c r="L375" s="75" t="n">
        <v>1</v>
      </c>
      <c r="M375" s="67" t="inlineStr">
        <is>
          <t>Maund</t>
        </is>
      </c>
      <c r="N375" s="76" t="n">
        <v>37.32</v>
      </c>
      <c r="O375" s="67" t="n"/>
      <c r="P375" s="68" t="n"/>
    </row>
    <row r="376" ht="19.5" customHeight="1" s="45">
      <c r="B376" s="74" t="inlineStr">
        <is>
          <t>PO-0372</t>
        </is>
      </c>
      <c r="C376" s="67" t="inlineStr">
        <is>
          <t>M5-B-03</t>
        </is>
      </c>
      <c r="D376" s="67" t="inlineStr">
        <is>
          <t>M5</t>
        </is>
      </c>
      <c r="E376" s="67" t="inlineStr">
        <is>
          <t>Bepari_Faria</t>
        </is>
      </c>
      <c r="F376" s="67" t="inlineStr">
        <is>
          <t>S04</t>
        </is>
      </c>
      <c r="G376" s="75" t="n">
        <v>29250</v>
      </c>
      <c r="H376" s="75" t="n">
        <v>32500</v>
      </c>
      <c r="I376" s="67" t="inlineStr">
        <is>
          <t>Maund</t>
        </is>
      </c>
      <c r="J376" s="76" t="n">
        <v>783.76</v>
      </c>
      <c r="K376" s="76" t="n">
        <v>870.85</v>
      </c>
      <c r="L376" s="75" t="n">
        <v>1.8</v>
      </c>
      <c r="M376" s="67" t="inlineStr">
        <is>
          <t>Maund</t>
        </is>
      </c>
      <c r="N376" s="76" t="n">
        <v>67.18000000000001</v>
      </c>
      <c r="O376" s="67" t="n"/>
      <c r="P376" s="68" t="n"/>
    </row>
    <row r="377" ht="19.5" customHeight="1" s="45">
      <c r="B377" s="74" t="inlineStr">
        <is>
          <t>PO-0373</t>
        </is>
      </c>
      <c r="C377" s="67" t="inlineStr">
        <is>
          <t>M5-B-03</t>
        </is>
      </c>
      <c r="D377" s="67" t="inlineStr">
        <is>
          <t>M5</t>
        </is>
      </c>
      <c r="E377" s="67" t="inlineStr">
        <is>
          <t>Bepari_Faria</t>
        </is>
      </c>
      <c r="F377" s="67" t="inlineStr">
        <is>
          <t>S05</t>
        </is>
      </c>
      <c r="G377" s="75" t="inlineStr">
        <is>
          <t>K</t>
        </is>
      </c>
      <c r="H377" s="75" t="n">
        <v>18250</v>
      </c>
      <c r="I377" s="67" t="inlineStr">
        <is>
          <t>Maund</t>
        </is>
      </c>
      <c r="J377" s="76" t="n"/>
      <c r="K377" s="76" t="n">
        <v>489.01</v>
      </c>
      <c r="L377" s="75" t="n">
        <v>1.1</v>
      </c>
      <c r="M377" s="67" t="inlineStr">
        <is>
          <t>Maund</t>
        </is>
      </c>
      <c r="N377" s="76" t="n">
        <v>41.05</v>
      </c>
      <c r="O377" s="67" t="n"/>
      <c r="P377" s="68" t="n"/>
    </row>
    <row r="378" ht="19.5" customHeight="1" s="45">
      <c r="B378" s="74" t="inlineStr">
        <is>
          <t>PO-0374</t>
        </is>
      </c>
      <c r="C378" s="67" t="inlineStr">
        <is>
          <t>M5-B-03</t>
        </is>
      </c>
      <c r="D378" s="67" t="inlineStr">
        <is>
          <t>M5</t>
        </is>
      </c>
      <c r="E378" s="67" t="inlineStr">
        <is>
          <t>Bepari_Faria</t>
        </is>
      </c>
      <c r="F378" s="67" t="inlineStr">
        <is>
          <t>S07</t>
        </is>
      </c>
      <c r="G378" s="75" t="inlineStr">
        <is>
          <t>K</t>
        </is>
      </c>
      <c r="H378" s="75" t="inlineStr">
        <is>
          <t>K</t>
        </is>
      </c>
      <c r="I378" s="67" t="n"/>
      <c r="J378" s="76" t="n"/>
      <c r="K378" s="76" t="n"/>
      <c r="L378" s="75" t="n"/>
      <c r="M378" s="67" t="n"/>
      <c r="N378" s="76" t="n"/>
      <c r="O378" s="67" t="n"/>
      <c r="P378" s="68" t="inlineStr">
        <is>
          <t>Species not handled today</t>
        </is>
      </c>
    </row>
    <row r="379" ht="19.5" customHeight="1" s="45">
      <c r="B379" s="74" t="inlineStr">
        <is>
          <t>PO-0375</t>
        </is>
      </c>
      <c r="C379" s="67" t="inlineStr">
        <is>
          <t>M5-B-03</t>
        </is>
      </c>
      <c r="D379" s="67" t="inlineStr">
        <is>
          <t>M5</t>
        </is>
      </c>
      <c r="E379" s="67" t="inlineStr">
        <is>
          <t>Bepari_Faria</t>
        </is>
      </c>
      <c r="F379" s="67" t="inlineStr">
        <is>
          <t>S10</t>
        </is>
      </c>
      <c r="G379" s="75" t="inlineStr">
        <is>
          <t>K</t>
        </is>
      </c>
      <c r="H379" s="75" t="inlineStr">
        <is>
          <t>K</t>
        </is>
      </c>
      <c r="I379" s="67" t="n"/>
      <c r="J379" s="76" t="n"/>
      <c r="K379" s="76" t="n"/>
      <c r="L379" s="75" t="n"/>
      <c r="M379" s="67" t="n"/>
      <c r="N379" s="76" t="n"/>
      <c r="O379" s="67" t="n"/>
      <c r="P379" s="68" t="inlineStr">
        <is>
          <t>Species not handled today</t>
        </is>
      </c>
    </row>
    <row r="380" ht="19.5" customHeight="1" s="45">
      <c r="B380" s="74" t="inlineStr">
        <is>
          <t>PO-0376</t>
        </is>
      </c>
      <c r="C380" s="67" t="inlineStr">
        <is>
          <t>M5-B-04</t>
        </is>
      </c>
      <c r="D380" s="67" t="inlineStr">
        <is>
          <t>M5</t>
        </is>
      </c>
      <c r="E380" s="67" t="inlineStr">
        <is>
          <t>Bepari_Faria</t>
        </is>
      </c>
      <c r="F380" s="67" t="inlineStr">
        <is>
          <t>S01</t>
        </is>
      </c>
      <c r="G380" s="75" t="n">
        <v>42750</v>
      </c>
      <c r="H380" s="75" t="n">
        <v>47750</v>
      </c>
      <c r="I380" s="67" t="inlineStr">
        <is>
          <t>Maund</t>
        </is>
      </c>
      <c r="J380" s="76" t="n">
        <v>1145.5</v>
      </c>
      <c r="K380" s="76" t="n">
        <v>1279.47</v>
      </c>
      <c r="L380" s="75" t="n">
        <v>0.4</v>
      </c>
      <c r="M380" s="67" t="inlineStr">
        <is>
          <t>Maund</t>
        </is>
      </c>
      <c r="N380" s="76" t="n">
        <v>14.93</v>
      </c>
      <c r="O380" s="67" t="n"/>
      <c r="P380" s="68" t="n"/>
    </row>
    <row r="381" ht="19.5" customHeight="1" s="45">
      <c r="B381" s="74" t="inlineStr">
        <is>
          <t>PO-0377</t>
        </is>
      </c>
      <c r="C381" s="67" t="inlineStr">
        <is>
          <t>M5-B-04</t>
        </is>
      </c>
      <c r="D381" s="67" t="inlineStr">
        <is>
          <t>M5</t>
        </is>
      </c>
      <c r="E381" s="67" t="inlineStr">
        <is>
          <t>Bepari_Faria</t>
        </is>
      </c>
      <c r="F381" s="67" t="inlineStr">
        <is>
          <t>S02</t>
        </is>
      </c>
      <c r="G381" s="75" t="n">
        <v>45750</v>
      </c>
      <c r="H381" s="75" t="n">
        <v>51750</v>
      </c>
      <c r="I381" s="67" t="inlineStr">
        <is>
          <t>Maund</t>
        </is>
      </c>
      <c r="J381" s="76" t="n">
        <v>1225.88</v>
      </c>
      <c r="K381" s="76" t="n">
        <v>1386.66</v>
      </c>
      <c r="L381" s="75" t="n">
        <v>0.4</v>
      </c>
      <c r="M381" s="67" t="inlineStr">
        <is>
          <t>Maund</t>
        </is>
      </c>
      <c r="N381" s="76" t="n">
        <v>14.93</v>
      </c>
      <c r="O381" s="67" t="n"/>
      <c r="P381" s="68" t="n"/>
    </row>
    <row r="382" ht="19.5" customHeight="1" s="45">
      <c r="B382" s="74" t="inlineStr">
        <is>
          <t>PO-0378</t>
        </is>
      </c>
      <c r="C382" s="67" t="inlineStr">
        <is>
          <t>M5-B-04</t>
        </is>
      </c>
      <c r="D382" s="67" t="inlineStr">
        <is>
          <t>M5</t>
        </is>
      </c>
      <c r="E382" s="67" t="inlineStr">
        <is>
          <t>Bepari_Faria</t>
        </is>
      </c>
      <c r="F382" s="67" t="inlineStr">
        <is>
          <t>S03</t>
        </is>
      </c>
      <c r="G382" s="75" t="n">
        <v>33250</v>
      </c>
      <c r="H382" s="75" t="n">
        <v>35500</v>
      </c>
      <c r="I382" s="67" t="inlineStr">
        <is>
          <t>Maund</t>
        </is>
      </c>
      <c r="J382" s="76" t="n">
        <v>890.9400000000001</v>
      </c>
      <c r="K382" s="76" t="n">
        <v>951.23</v>
      </c>
      <c r="L382" s="75" t="n">
        <v>0.3</v>
      </c>
      <c r="M382" s="67" t="inlineStr">
        <is>
          <t>Maund</t>
        </is>
      </c>
      <c r="N382" s="76" t="n">
        <v>11.2</v>
      </c>
      <c r="O382" s="67" t="n"/>
      <c r="P382" s="68" t="n"/>
    </row>
    <row r="383" ht="19.5" customHeight="1" s="45">
      <c r="B383" s="74" t="inlineStr">
        <is>
          <t>PO-0379</t>
        </is>
      </c>
      <c r="C383" s="67" t="inlineStr">
        <is>
          <t>M5-B-04</t>
        </is>
      </c>
      <c r="D383" s="67" t="inlineStr">
        <is>
          <t>M5</t>
        </is>
      </c>
      <c r="E383" s="67" t="inlineStr">
        <is>
          <t>Bepari_Faria</t>
        </is>
      </c>
      <c r="F383" s="67" t="inlineStr">
        <is>
          <t>S06</t>
        </is>
      </c>
      <c r="G383" s="75" t="n">
        <v>14500</v>
      </c>
      <c r="H383" s="75" t="n">
        <v>16000</v>
      </c>
      <c r="I383" s="67" t="inlineStr">
        <is>
          <t>Maund</t>
        </is>
      </c>
      <c r="J383" s="76" t="n">
        <v>388.53</v>
      </c>
      <c r="K383" s="76" t="n">
        <v>428.72</v>
      </c>
      <c r="L383" s="75" t="n">
        <v>0.4</v>
      </c>
      <c r="M383" s="67" t="inlineStr">
        <is>
          <t>Maund</t>
        </is>
      </c>
      <c r="N383" s="76" t="n">
        <v>14.93</v>
      </c>
      <c r="O383" s="67" t="n"/>
      <c r="P383" s="68" t="n"/>
    </row>
    <row r="384" ht="19.5" customHeight="1" s="45">
      <c r="B384" s="74" t="inlineStr">
        <is>
          <t>PO-0380</t>
        </is>
      </c>
      <c r="C384" s="67" t="inlineStr">
        <is>
          <t>M5-B-04</t>
        </is>
      </c>
      <c r="D384" s="67" t="inlineStr">
        <is>
          <t>M5</t>
        </is>
      </c>
      <c r="E384" s="67" t="inlineStr">
        <is>
          <t>Bepari_Faria</t>
        </is>
      </c>
      <c r="F384" s="67" t="inlineStr">
        <is>
          <t>S07</t>
        </is>
      </c>
      <c r="G384" s="75" t="n">
        <v>17000</v>
      </c>
      <c r="H384" s="75" t="n">
        <v>18500</v>
      </c>
      <c r="I384" s="67" t="inlineStr">
        <is>
          <t>Maund</t>
        </is>
      </c>
      <c r="J384" s="76" t="n">
        <v>455.52</v>
      </c>
      <c r="K384" s="76" t="n">
        <v>495.71</v>
      </c>
      <c r="L384" s="75" t="n">
        <v>0.3</v>
      </c>
      <c r="M384" s="67" t="inlineStr">
        <is>
          <t>Maund</t>
        </is>
      </c>
      <c r="N384" s="76" t="n">
        <v>11.2</v>
      </c>
      <c r="O384" s="67" t="n"/>
      <c r="P384" s="68" t="n"/>
    </row>
    <row r="385" ht="19.5" customHeight="1" s="45">
      <c r="B385" s="74" t="inlineStr">
        <is>
          <t>PO-0381</t>
        </is>
      </c>
      <c r="C385" s="67" t="inlineStr">
        <is>
          <t>M5-B-04</t>
        </is>
      </c>
      <c r="D385" s="67" t="inlineStr">
        <is>
          <t>M5</t>
        </is>
      </c>
      <c r="E385" s="67" t="inlineStr">
        <is>
          <t>Bepari_Faria</t>
        </is>
      </c>
      <c r="F385" s="67" t="inlineStr">
        <is>
          <t>S08</t>
        </is>
      </c>
      <c r="G385" s="75" t="inlineStr">
        <is>
          <t>K</t>
        </is>
      </c>
      <c r="H385" s="75" t="inlineStr">
        <is>
          <t>K</t>
        </is>
      </c>
      <c r="I385" s="67" t="n"/>
      <c r="J385" s="76" t="n"/>
      <c r="K385" s="76" t="n"/>
      <c r="L385" s="75" t="n"/>
      <c r="M385" s="67" t="n"/>
      <c r="N385" s="76" t="n"/>
      <c r="O385" s="67" t="n"/>
      <c r="P385" s="68" t="inlineStr">
        <is>
          <t>Species not handled today</t>
        </is>
      </c>
    </row>
    <row r="386" ht="19.5" customHeight="1" s="45">
      <c r="B386" s="74" t="inlineStr">
        <is>
          <t>PO-0382</t>
        </is>
      </c>
      <c r="C386" s="67" t="inlineStr">
        <is>
          <t>M5-B-04</t>
        </is>
      </c>
      <c r="D386" s="67" t="inlineStr">
        <is>
          <t>M5</t>
        </is>
      </c>
      <c r="E386" s="67" t="inlineStr">
        <is>
          <t>Bepari_Faria</t>
        </is>
      </c>
      <c r="F386" s="67" t="inlineStr">
        <is>
          <t>S10</t>
        </is>
      </c>
      <c r="G386" s="75" t="inlineStr">
        <is>
          <t>K</t>
        </is>
      </c>
      <c r="H386" s="75" t="inlineStr">
        <is>
          <t>K</t>
        </is>
      </c>
      <c r="I386" s="67" t="n"/>
      <c r="J386" s="76" t="n"/>
      <c r="K386" s="76" t="n"/>
      <c r="L386" s="75" t="n"/>
      <c r="M386" s="67" t="n"/>
      <c r="N386" s="76" t="n"/>
      <c r="O386" s="67" t="n"/>
      <c r="P386" s="68" t="inlineStr">
        <is>
          <t>Species not handled today</t>
        </is>
      </c>
    </row>
    <row r="387" ht="19.5" customHeight="1" s="45">
      <c r="B387" s="74" t="inlineStr">
        <is>
          <t>PO-0383</t>
        </is>
      </c>
      <c r="C387" s="67" t="inlineStr">
        <is>
          <t>M5-B-05</t>
        </is>
      </c>
      <c r="D387" s="67" t="inlineStr">
        <is>
          <t>M5</t>
        </is>
      </c>
      <c r="E387" s="67" t="inlineStr">
        <is>
          <t>Bepari_Faria</t>
        </is>
      </c>
      <c r="F387" s="67" t="inlineStr">
        <is>
          <t>S01</t>
        </is>
      </c>
      <c r="G387" s="75" t="n">
        <v>44250</v>
      </c>
      <c r="H387" s="75" t="n">
        <v>48000</v>
      </c>
      <c r="I387" s="67" t="inlineStr">
        <is>
          <t>Maund</t>
        </is>
      </c>
      <c r="J387" s="76" t="n">
        <v>1185.69</v>
      </c>
      <c r="K387" s="76" t="n">
        <v>1286.17</v>
      </c>
      <c r="L387" s="75" t="n">
        <v>0.7</v>
      </c>
      <c r="M387" s="67" t="inlineStr">
        <is>
          <t>Maund</t>
        </is>
      </c>
      <c r="N387" s="76" t="n">
        <v>26.12</v>
      </c>
      <c r="O387" s="67" t="n"/>
      <c r="P387" s="68" t="n"/>
    </row>
    <row r="388" ht="19.5" customHeight="1" s="45">
      <c r="B388" s="74" t="inlineStr">
        <is>
          <t>PO-0384</t>
        </is>
      </c>
      <c r="C388" s="67" t="inlineStr">
        <is>
          <t>M5-B-05</t>
        </is>
      </c>
      <c r="D388" s="67" t="inlineStr">
        <is>
          <t>M5</t>
        </is>
      </c>
      <c r="E388" s="67" t="inlineStr">
        <is>
          <t>Bepari_Faria</t>
        </is>
      </c>
      <c r="F388" s="67" t="inlineStr">
        <is>
          <t>S03</t>
        </is>
      </c>
      <c r="G388" s="75" t="n">
        <v>33000</v>
      </c>
      <c r="H388" s="75" t="n">
        <v>35500</v>
      </c>
      <c r="I388" s="67" t="inlineStr">
        <is>
          <t>Maund</t>
        </is>
      </c>
      <c r="J388" s="76" t="n">
        <v>884.24</v>
      </c>
      <c r="K388" s="76" t="n">
        <v>951.23</v>
      </c>
      <c r="L388" s="75" t="n">
        <v>0.5</v>
      </c>
      <c r="M388" s="67" t="inlineStr">
        <is>
          <t>Maund</t>
        </is>
      </c>
      <c r="N388" s="76" t="n">
        <v>18.66</v>
      </c>
      <c r="O388" s="67" t="n"/>
      <c r="P388" s="68" t="n"/>
    </row>
    <row r="389" ht="19.5" customHeight="1" s="45">
      <c r="B389" s="74" t="inlineStr">
        <is>
          <t>PO-0385</t>
        </is>
      </c>
      <c r="C389" s="67" t="inlineStr">
        <is>
          <t>M5-B-05</t>
        </is>
      </c>
      <c r="D389" s="67" t="inlineStr">
        <is>
          <t>M5</t>
        </is>
      </c>
      <c r="E389" s="67" t="inlineStr">
        <is>
          <t>Bepari_Faria</t>
        </is>
      </c>
      <c r="F389" s="67" t="inlineStr">
        <is>
          <t>S04</t>
        </is>
      </c>
      <c r="G389" s="75" t="n">
        <v>27750</v>
      </c>
      <c r="H389" s="75" t="n">
        <v>30500</v>
      </c>
      <c r="I389" s="67" t="inlineStr">
        <is>
          <t>Maund</t>
        </is>
      </c>
      <c r="J389" s="76" t="n">
        <v>743.5700000000001</v>
      </c>
      <c r="K389" s="76" t="n">
        <v>817.26</v>
      </c>
      <c r="L389" s="75" t="n">
        <v>0.9</v>
      </c>
      <c r="M389" s="67" t="inlineStr">
        <is>
          <t>Maund</t>
        </is>
      </c>
      <c r="N389" s="76" t="n">
        <v>33.59</v>
      </c>
      <c r="O389" s="67" t="n"/>
      <c r="P389" s="68" t="n"/>
    </row>
    <row r="390" ht="19.5" customHeight="1" s="45">
      <c r="B390" s="74" t="inlineStr">
        <is>
          <t>PO-0386</t>
        </is>
      </c>
      <c r="C390" s="67" t="inlineStr">
        <is>
          <t>M5-B-05</t>
        </is>
      </c>
      <c r="D390" s="67" t="inlineStr">
        <is>
          <t>M5</t>
        </is>
      </c>
      <c r="E390" s="67" t="inlineStr">
        <is>
          <t>Bepari_Faria</t>
        </is>
      </c>
      <c r="F390" s="67" t="inlineStr">
        <is>
          <t>S06</t>
        </is>
      </c>
      <c r="G390" s="75" t="n">
        <v>14500</v>
      </c>
      <c r="H390" s="75" t="n">
        <v>15500</v>
      </c>
      <c r="I390" s="67" t="inlineStr">
        <is>
          <t>Maund</t>
        </is>
      </c>
      <c r="J390" s="76" t="n">
        <v>388.53</v>
      </c>
      <c r="K390" s="76" t="n">
        <v>415.33</v>
      </c>
      <c r="L390" s="75" t="n">
        <v>0.8</v>
      </c>
      <c r="M390" s="67" t="inlineStr">
        <is>
          <t>Maund</t>
        </is>
      </c>
      <c r="N390" s="76" t="n">
        <v>29.86</v>
      </c>
      <c r="O390" s="67" t="n"/>
      <c r="P390" s="68" t="n"/>
    </row>
    <row r="391" ht="19.5" customHeight="1" s="45">
      <c r="B391" s="74" t="inlineStr">
        <is>
          <t>PO-0387</t>
        </is>
      </c>
      <c r="C391" s="67" t="inlineStr">
        <is>
          <t>M5-B-05</t>
        </is>
      </c>
      <c r="D391" s="67" t="inlineStr">
        <is>
          <t>M5</t>
        </is>
      </c>
      <c r="E391" s="67" t="inlineStr">
        <is>
          <t>Bepari_Faria</t>
        </is>
      </c>
      <c r="F391" s="67" t="inlineStr">
        <is>
          <t>S07</t>
        </is>
      </c>
      <c r="G391" s="75" t="n">
        <v>16250</v>
      </c>
      <c r="H391" s="75" t="n">
        <v>17750</v>
      </c>
      <c r="I391" s="67" t="inlineStr">
        <is>
          <t>Maund</t>
        </is>
      </c>
      <c r="J391" s="76" t="n">
        <v>435.42</v>
      </c>
      <c r="K391" s="76" t="n">
        <v>475.62</v>
      </c>
      <c r="L391" s="75" t="n">
        <v>0.8</v>
      </c>
      <c r="M391" s="67" t="inlineStr">
        <is>
          <t>Maund</t>
        </is>
      </c>
      <c r="N391" s="76" t="n">
        <v>29.86</v>
      </c>
      <c r="O391" s="67" t="n"/>
      <c r="P391" s="68" t="n"/>
    </row>
    <row r="392" ht="19.5" customHeight="1" s="45">
      <c r="B392" s="74" t="inlineStr">
        <is>
          <t>PO-0388</t>
        </is>
      </c>
      <c r="C392" s="67" t="inlineStr">
        <is>
          <t>M5-R-01</t>
        </is>
      </c>
      <c r="D392" s="67" t="inlineStr">
        <is>
          <t>M5</t>
        </is>
      </c>
      <c r="E392" s="67" t="inlineStr">
        <is>
          <t>Khuchra</t>
        </is>
      </c>
      <c r="F392" s="67" t="inlineStr">
        <is>
          <t>S01</t>
        </is>
      </c>
      <c r="G392" s="75" t="n">
        <v>1330</v>
      </c>
      <c r="H392" s="75" t="n">
        <v>1495</v>
      </c>
      <c r="I392" s="67" t="inlineStr">
        <is>
          <t>Kg</t>
        </is>
      </c>
      <c r="J392" s="76" t="n">
        <v>1330</v>
      </c>
      <c r="K392" s="76" t="n">
        <v>1495</v>
      </c>
      <c r="L392" s="75" t="n">
        <v>15</v>
      </c>
      <c r="M392" s="67" t="inlineStr">
        <is>
          <t>Kg</t>
        </is>
      </c>
      <c r="N392" s="76" t="n">
        <v>15</v>
      </c>
      <c r="O392" s="67" t="n"/>
      <c r="P392" s="68" t="n"/>
    </row>
    <row r="393" ht="19.5" customHeight="1" s="45">
      <c r="B393" s="74" t="inlineStr">
        <is>
          <t>PO-0389</t>
        </is>
      </c>
      <c r="C393" s="67" t="inlineStr">
        <is>
          <t>M5-R-01</t>
        </is>
      </c>
      <c r="D393" s="67" t="inlineStr">
        <is>
          <t>M5</t>
        </is>
      </c>
      <c r="E393" s="67" t="inlineStr">
        <is>
          <t>Khuchra</t>
        </is>
      </c>
      <c r="F393" s="67" t="inlineStr">
        <is>
          <t>S04</t>
        </is>
      </c>
      <c r="G393" s="75" t="n">
        <v>790</v>
      </c>
      <c r="H393" s="75" t="n">
        <v>875</v>
      </c>
      <c r="I393" s="67" t="inlineStr">
        <is>
          <t>Kg</t>
        </is>
      </c>
      <c r="J393" s="76" t="n">
        <v>790</v>
      </c>
      <c r="K393" s="76" t="n">
        <v>875</v>
      </c>
      <c r="L393" s="75" t="n">
        <v>15</v>
      </c>
      <c r="M393" s="67" t="inlineStr">
        <is>
          <t>Kg</t>
        </is>
      </c>
      <c r="N393" s="76" t="n">
        <v>15</v>
      </c>
      <c r="O393" s="67" t="n"/>
      <c r="P393" s="68" t="n"/>
    </row>
    <row r="394" ht="19.5" customHeight="1" s="45">
      <c r="B394" s="74" t="inlineStr">
        <is>
          <t>PO-0390</t>
        </is>
      </c>
      <c r="C394" s="67" t="inlineStr">
        <is>
          <t>M5-R-01</t>
        </is>
      </c>
      <c r="D394" s="67" t="inlineStr">
        <is>
          <t>M5</t>
        </is>
      </c>
      <c r="E394" s="67" t="inlineStr">
        <is>
          <t>Khuchra</t>
        </is>
      </c>
      <c r="F394" s="67" t="inlineStr">
        <is>
          <t>S05</t>
        </is>
      </c>
      <c r="G394" s="75" t="n">
        <v>465</v>
      </c>
      <c r="H394" s="75" t="n">
        <v>590</v>
      </c>
      <c r="I394" s="67" t="inlineStr">
        <is>
          <t>Kg</t>
        </is>
      </c>
      <c r="J394" s="76" t="n">
        <v>465</v>
      </c>
      <c r="K394" s="76" t="n">
        <v>590</v>
      </c>
      <c r="L394" s="75" t="n">
        <v>15</v>
      </c>
      <c r="M394" s="67" t="inlineStr">
        <is>
          <t>Kg</t>
        </is>
      </c>
      <c r="N394" s="76" t="n">
        <v>15</v>
      </c>
      <c r="O394" s="67" t="inlineStr">
        <is>
          <t>PAIR-M5-03</t>
        </is>
      </c>
      <c r="P394" s="68" t="n"/>
    </row>
    <row r="395" ht="19.5" customHeight="1" s="45">
      <c r="B395" s="74" t="inlineStr">
        <is>
          <t>PO-0391</t>
        </is>
      </c>
      <c r="C395" s="67" t="inlineStr">
        <is>
          <t>M5-R-01</t>
        </is>
      </c>
      <c r="D395" s="67" t="inlineStr">
        <is>
          <t>M5</t>
        </is>
      </c>
      <c r="E395" s="67" t="inlineStr">
        <is>
          <t>Khuchra</t>
        </is>
      </c>
      <c r="F395" s="67" t="inlineStr">
        <is>
          <t>S06</t>
        </is>
      </c>
      <c r="G395" s="75" t="n">
        <v>415</v>
      </c>
      <c r="H395" s="75" t="n">
        <v>485</v>
      </c>
      <c r="I395" s="67" t="inlineStr">
        <is>
          <t>Kg</t>
        </is>
      </c>
      <c r="J395" s="76" t="n">
        <v>415</v>
      </c>
      <c r="K395" s="76" t="n">
        <v>485</v>
      </c>
      <c r="L395" s="75" t="n">
        <v>25</v>
      </c>
      <c r="M395" s="67" t="inlineStr">
        <is>
          <t>Kg</t>
        </is>
      </c>
      <c r="N395" s="76" t="n">
        <v>25</v>
      </c>
      <c r="O395" s="67" t="n"/>
      <c r="P395" s="68" t="n"/>
    </row>
    <row r="396" ht="19.5" customHeight="1" s="45">
      <c r="B396" s="74" t="inlineStr">
        <is>
          <t>PO-0392</t>
        </is>
      </c>
      <c r="C396" s="67" t="inlineStr">
        <is>
          <t>M5-R-01</t>
        </is>
      </c>
      <c r="D396" s="67" t="inlineStr">
        <is>
          <t>M5</t>
        </is>
      </c>
      <c r="E396" s="67" t="inlineStr">
        <is>
          <t>Khuchra</t>
        </is>
      </c>
      <c r="F396" s="67" t="inlineStr">
        <is>
          <t>S08</t>
        </is>
      </c>
      <c r="G396" s="75" t="n">
        <v>295</v>
      </c>
      <c r="H396" s="75" t="n">
        <v>330</v>
      </c>
      <c r="I396" s="67" t="inlineStr">
        <is>
          <t>Kg</t>
        </is>
      </c>
      <c r="J396" s="76" t="n">
        <v>295</v>
      </c>
      <c r="K396" s="76" t="n">
        <v>330</v>
      </c>
      <c r="L396" s="75" t="n">
        <v>25</v>
      </c>
      <c r="M396" s="67" t="inlineStr">
        <is>
          <t>Kg</t>
        </is>
      </c>
      <c r="N396" s="76" t="n">
        <v>25</v>
      </c>
      <c r="O396" s="67" t="n"/>
      <c r="P396" s="68" t="n"/>
    </row>
    <row r="397" ht="19.5" customHeight="1" s="45">
      <c r="B397" s="74" t="inlineStr">
        <is>
          <t>PO-0393</t>
        </is>
      </c>
      <c r="C397" s="67" t="inlineStr">
        <is>
          <t>M5-R-02</t>
        </is>
      </c>
      <c r="D397" s="67" t="inlineStr">
        <is>
          <t>M5</t>
        </is>
      </c>
      <c r="E397" s="67" t="inlineStr">
        <is>
          <t>Khuchra</t>
        </is>
      </c>
      <c r="F397" s="67" t="inlineStr">
        <is>
          <t>S01</t>
        </is>
      </c>
      <c r="G397" s="75" t="n">
        <v>1330</v>
      </c>
      <c r="H397" s="75" t="n">
        <v>1520</v>
      </c>
      <c r="I397" s="67" t="inlineStr">
        <is>
          <t>Kg</t>
        </is>
      </c>
      <c r="J397" s="76" t="n">
        <v>1330</v>
      </c>
      <c r="K397" s="76" t="n">
        <v>1520</v>
      </c>
      <c r="L397" s="75" t="n">
        <v>10</v>
      </c>
      <c r="M397" s="67" t="inlineStr">
        <is>
          <t>Kg</t>
        </is>
      </c>
      <c r="N397" s="76" t="n">
        <v>10</v>
      </c>
      <c r="O397" s="67" t="n"/>
      <c r="P397" s="68" t="n"/>
    </row>
    <row r="398" ht="19.5" customHeight="1" s="45">
      <c r="B398" s="74" t="inlineStr">
        <is>
          <t>PO-0394</t>
        </is>
      </c>
      <c r="C398" s="67" t="inlineStr">
        <is>
          <t>M5-R-02</t>
        </is>
      </c>
      <c r="D398" s="67" t="inlineStr">
        <is>
          <t>M5</t>
        </is>
      </c>
      <c r="E398" s="67" t="inlineStr">
        <is>
          <t>Khuchra</t>
        </is>
      </c>
      <c r="F398" s="67" t="inlineStr">
        <is>
          <t>S02</t>
        </is>
      </c>
      <c r="G398" s="75" t="n">
        <v>1420</v>
      </c>
      <c r="H398" s="75" t="n">
        <v>1605</v>
      </c>
      <c r="I398" s="67" t="inlineStr">
        <is>
          <t>Kg</t>
        </is>
      </c>
      <c r="J398" s="76" t="n">
        <v>1420</v>
      </c>
      <c r="K398" s="76" t="n">
        <v>1605</v>
      </c>
      <c r="L398" s="75" t="n">
        <v>10</v>
      </c>
      <c r="M398" s="67" t="inlineStr">
        <is>
          <t>Kg</t>
        </is>
      </c>
      <c r="N398" s="76" t="n">
        <v>10</v>
      </c>
      <c r="O398" s="67" t="n"/>
      <c r="P398" s="68" t="n"/>
    </row>
    <row r="399" ht="19.5" customHeight="1" s="45">
      <c r="B399" s="74" t="inlineStr">
        <is>
          <t>PO-0395</t>
        </is>
      </c>
      <c r="C399" s="67" t="inlineStr">
        <is>
          <t>M5-R-02</t>
        </is>
      </c>
      <c r="D399" s="67" t="inlineStr">
        <is>
          <t>M5</t>
        </is>
      </c>
      <c r="E399" s="67" t="inlineStr">
        <is>
          <t>Khuchra</t>
        </is>
      </c>
      <c r="F399" s="67" t="inlineStr">
        <is>
          <t>S04</t>
        </is>
      </c>
      <c r="G399" s="75" t="n">
        <v>725</v>
      </c>
      <c r="H399" s="75" t="inlineStr">
        <is>
          <t>K</t>
        </is>
      </c>
      <c r="I399" s="67" t="inlineStr">
        <is>
          <t>Kg</t>
        </is>
      </c>
      <c r="J399" s="76" t="n">
        <v>725</v>
      </c>
      <c r="K399" s="76" t="n"/>
      <c r="L399" s="75" t="n">
        <v>10</v>
      </c>
      <c r="M399" s="67" t="inlineStr">
        <is>
          <t>Kg</t>
        </is>
      </c>
      <c r="N399" s="76" t="n">
        <v>10</v>
      </c>
      <c r="O399" s="67" t="inlineStr">
        <is>
          <t>PAIR-M5-02</t>
        </is>
      </c>
      <c r="P399" s="68" t="n"/>
    </row>
    <row r="400" ht="19.5" customHeight="1" s="45">
      <c r="B400" s="74" t="inlineStr">
        <is>
          <t>PO-0396</t>
        </is>
      </c>
      <c r="C400" s="67" t="inlineStr">
        <is>
          <t>M5-R-02</t>
        </is>
      </c>
      <c r="D400" s="67" t="inlineStr">
        <is>
          <t>M5</t>
        </is>
      </c>
      <c r="E400" s="67" t="inlineStr">
        <is>
          <t>Khuchra</t>
        </is>
      </c>
      <c r="F400" s="67" t="inlineStr">
        <is>
          <t>S05</t>
        </is>
      </c>
      <c r="G400" s="75" t="n">
        <v>525</v>
      </c>
      <c r="H400" s="75" t="n">
        <v>585</v>
      </c>
      <c r="I400" s="67" t="inlineStr">
        <is>
          <t>Kg</t>
        </is>
      </c>
      <c r="J400" s="76" t="n">
        <v>525</v>
      </c>
      <c r="K400" s="76" t="n">
        <v>585</v>
      </c>
      <c r="L400" s="75" t="n">
        <v>10</v>
      </c>
      <c r="M400" s="67" t="inlineStr">
        <is>
          <t>Kg</t>
        </is>
      </c>
      <c r="N400" s="76" t="n">
        <v>10</v>
      </c>
      <c r="O400" s="67" t="n"/>
      <c r="P400" s="68" t="n"/>
    </row>
    <row r="401" ht="19.5" customHeight="1" s="45">
      <c r="B401" s="74" t="inlineStr">
        <is>
          <t>PO-0397</t>
        </is>
      </c>
      <c r="C401" s="67" t="inlineStr">
        <is>
          <t>M5-R-02</t>
        </is>
      </c>
      <c r="D401" s="67" t="inlineStr">
        <is>
          <t>M5</t>
        </is>
      </c>
      <c r="E401" s="67" t="inlineStr">
        <is>
          <t>Khuchra</t>
        </is>
      </c>
      <c r="F401" s="67" t="inlineStr">
        <is>
          <t>S06</t>
        </is>
      </c>
      <c r="G401" s="75" t="n">
        <v>415</v>
      </c>
      <c r="H401" s="75" t="n">
        <v>455</v>
      </c>
      <c r="I401" s="67" t="inlineStr">
        <is>
          <t>Kg</t>
        </is>
      </c>
      <c r="J401" s="76" t="n">
        <v>415</v>
      </c>
      <c r="K401" s="76" t="n">
        <v>455</v>
      </c>
      <c r="L401" s="75" t="n">
        <v>10</v>
      </c>
      <c r="M401" s="67" t="inlineStr">
        <is>
          <t>Kg</t>
        </is>
      </c>
      <c r="N401" s="76" t="n">
        <v>10</v>
      </c>
      <c r="O401" s="67" t="n"/>
      <c r="P401" s="68" t="n"/>
    </row>
    <row r="402" ht="19.5" customHeight="1" s="45">
      <c r="B402" s="74" t="inlineStr">
        <is>
          <t>PO-0398</t>
        </is>
      </c>
      <c r="C402" s="67" t="inlineStr">
        <is>
          <t>M5-R-02</t>
        </is>
      </c>
      <c r="D402" s="67" t="inlineStr">
        <is>
          <t>M5</t>
        </is>
      </c>
      <c r="E402" s="67" t="inlineStr">
        <is>
          <t>Khuchra</t>
        </is>
      </c>
      <c r="F402" s="67" t="inlineStr">
        <is>
          <t>S03</t>
        </is>
      </c>
      <c r="G402" s="75" t="inlineStr">
        <is>
          <t>K</t>
        </is>
      </c>
      <c r="H402" s="75" t="inlineStr">
        <is>
          <t>K</t>
        </is>
      </c>
      <c r="I402" s="67" t="n"/>
      <c r="J402" s="76" t="n"/>
      <c r="K402" s="76" t="n"/>
      <c r="L402" s="75" t="n"/>
      <c r="M402" s="67" t="n"/>
      <c r="N402" s="76" t="n"/>
      <c r="O402" s="67" t="n"/>
      <c r="P402" s="68" t="inlineStr">
        <is>
          <t>Species not handled today</t>
        </is>
      </c>
    </row>
    <row r="403" ht="19.5" customHeight="1" s="45">
      <c r="B403" s="74" t="inlineStr">
        <is>
          <t>PO-0399</t>
        </is>
      </c>
      <c r="C403" s="67" t="inlineStr">
        <is>
          <t>M5-R-03</t>
        </is>
      </c>
      <c r="D403" s="67" t="inlineStr">
        <is>
          <t>M5</t>
        </is>
      </c>
      <c r="E403" s="67" t="inlineStr">
        <is>
          <t>Khuchra</t>
        </is>
      </c>
      <c r="F403" s="67" t="inlineStr">
        <is>
          <t>S01</t>
        </is>
      </c>
      <c r="G403" s="75" t="n">
        <v>1330</v>
      </c>
      <c r="H403" s="75" t="inlineStr">
        <is>
          <t>D</t>
        </is>
      </c>
      <c r="I403" s="67" t="inlineStr">
        <is>
          <t>Kg</t>
        </is>
      </c>
      <c r="J403" s="76" t="n">
        <v>1330</v>
      </c>
      <c r="K403" s="76" t="n"/>
      <c r="L403" s="75" t="n">
        <v>15</v>
      </c>
      <c r="M403" s="67" t="inlineStr">
        <is>
          <t>Kg</t>
        </is>
      </c>
      <c r="N403" s="76" t="n">
        <v>15</v>
      </c>
      <c r="O403" s="67" t="n"/>
      <c r="P403" s="68" t="n"/>
    </row>
    <row r="404" ht="19.5" customHeight="1" s="45">
      <c r="B404" s="74" t="inlineStr">
        <is>
          <t>PO-0400</t>
        </is>
      </c>
      <c r="C404" s="67" t="inlineStr">
        <is>
          <t>M5-R-03</t>
        </is>
      </c>
      <c r="D404" s="67" t="inlineStr">
        <is>
          <t>M5</t>
        </is>
      </c>
      <c r="E404" s="67" t="inlineStr">
        <is>
          <t>Khuchra</t>
        </is>
      </c>
      <c r="F404" s="67" t="inlineStr">
        <is>
          <t>S04</t>
        </is>
      </c>
      <c r="G404" s="75" t="n">
        <v>820</v>
      </c>
      <c r="H404" s="75" t="n">
        <v>915</v>
      </c>
      <c r="I404" s="67" t="inlineStr">
        <is>
          <t>Kg</t>
        </is>
      </c>
      <c r="J404" s="76" t="n">
        <v>820</v>
      </c>
      <c r="K404" s="76" t="n">
        <v>915</v>
      </c>
      <c r="L404" s="75" t="n">
        <v>15</v>
      </c>
      <c r="M404" s="67" t="inlineStr">
        <is>
          <t>Kg</t>
        </is>
      </c>
      <c r="N404" s="76" t="n">
        <v>15</v>
      </c>
      <c r="O404" s="67" t="n"/>
      <c r="P404" s="68" t="n"/>
    </row>
    <row r="405" ht="19.5" customHeight="1" s="45">
      <c r="B405" s="74" t="inlineStr">
        <is>
          <t>PO-0401</t>
        </is>
      </c>
      <c r="C405" s="67" t="inlineStr">
        <is>
          <t>M5-R-03</t>
        </is>
      </c>
      <c r="D405" s="67" t="inlineStr">
        <is>
          <t>M5</t>
        </is>
      </c>
      <c r="E405" s="67" t="inlineStr">
        <is>
          <t>Khuchra</t>
        </is>
      </c>
      <c r="F405" s="67" t="inlineStr">
        <is>
          <t>S05</t>
        </is>
      </c>
      <c r="G405" s="75" t="n">
        <v>530</v>
      </c>
      <c r="H405" s="75" t="n">
        <v>585</v>
      </c>
      <c r="I405" s="67" t="inlineStr">
        <is>
          <t>Kg</t>
        </is>
      </c>
      <c r="J405" s="76" t="n">
        <v>530</v>
      </c>
      <c r="K405" s="76" t="n">
        <v>585</v>
      </c>
      <c r="L405" s="75" t="n">
        <v>15</v>
      </c>
      <c r="M405" s="67" t="inlineStr">
        <is>
          <t>Kg</t>
        </is>
      </c>
      <c r="N405" s="76" t="n">
        <v>15</v>
      </c>
      <c r="O405" s="67" t="n"/>
      <c r="P405" s="68" t="n"/>
    </row>
    <row r="406" ht="19.5" customHeight="1" s="45">
      <c r="B406" s="74" t="inlineStr">
        <is>
          <t>PO-0402</t>
        </is>
      </c>
      <c r="C406" s="67" t="inlineStr">
        <is>
          <t>M5-R-03</t>
        </is>
      </c>
      <c r="D406" s="67" t="inlineStr">
        <is>
          <t>M5</t>
        </is>
      </c>
      <c r="E406" s="67" t="inlineStr">
        <is>
          <t>Khuchra</t>
        </is>
      </c>
      <c r="F406" s="67" t="inlineStr">
        <is>
          <t>S06</t>
        </is>
      </c>
      <c r="G406" s="75" t="n">
        <v>405</v>
      </c>
      <c r="H406" s="75" t="n">
        <v>470</v>
      </c>
      <c r="I406" s="67" t="inlineStr">
        <is>
          <t>Kg</t>
        </is>
      </c>
      <c r="J406" s="76" t="n">
        <v>405</v>
      </c>
      <c r="K406" s="76" t="n">
        <v>470</v>
      </c>
      <c r="L406" s="75" t="n">
        <v>10</v>
      </c>
      <c r="M406" s="67" t="inlineStr">
        <is>
          <t>Kg</t>
        </is>
      </c>
      <c r="N406" s="76" t="n">
        <v>10</v>
      </c>
      <c r="O406" s="67" t="n"/>
      <c r="P406" s="68" t="n"/>
    </row>
    <row r="407" ht="19.5" customHeight="1" s="45">
      <c r="B407" s="74" t="inlineStr">
        <is>
          <t>PO-0403</t>
        </is>
      </c>
      <c r="C407" s="67" t="inlineStr">
        <is>
          <t>M5-R-03</t>
        </is>
      </c>
      <c r="D407" s="67" t="inlineStr">
        <is>
          <t>M5</t>
        </is>
      </c>
      <c r="E407" s="67" t="inlineStr">
        <is>
          <t>Khuchra</t>
        </is>
      </c>
      <c r="F407" s="67" t="inlineStr">
        <is>
          <t>S07</t>
        </is>
      </c>
      <c r="G407" s="75" t="n">
        <v>465</v>
      </c>
      <c r="H407" s="75" t="n">
        <v>515</v>
      </c>
      <c r="I407" s="67" t="inlineStr">
        <is>
          <t>Kg</t>
        </is>
      </c>
      <c r="J407" s="76" t="n">
        <v>465</v>
      </c>
      <c r="K407" s="76" t="n">
        <v>515</v>
      </c>
      <c r="L407" s="75" t="n">
        <v>10</v>
      </c>
      <c r="M407" s="67" t="inlineStr">
        <is>
          <t>Kg</t>
        </is>
      </c>
      <c r="N407" s="76" t="n">
        <v>10</v>
      </c>
      <c r="O407" s="67" t="n"/>
      <c r="P407" s="68" t="n"/>
    </row>
    <row r="408" ht="19.5" customHeight="1" s="45">
      <c r="B408" s="74" t="inlineStr">
        <is>
          <t>PO-0404</t>
        </is>
      </c>
      <c r="C408" s="67" t="inlineStr">
        <is>
          <t>M5-R-04</t>
        </is>
      </c>
      <c r="D408" s="67" t="inlineStr">
        <is>
          <t>M5</t>
        </is>
      </c>
      <c r="E408" s="67" t="inlineStr">
        <is>
          <t>Khuchra</t>
        </is>
      </c>
      <c r="F408" s="67" t="inlineStr">
        <is>
          <t>S01</t>
        </is>
      </c>
      <c r="G408" s="75" t="n">
        <v>1325</v>
      </c>
      <c r="H408" s="75" t="n">
        <v>1565</v>
      </c>
      <c r="I408" s="67" t="inlineStr">
        <is>
          <t>Kg</t>
        </is>
      </c>
      <c r="J408" s="76" t="n">
        <v>1325</v>
      </c>
      <c r="K408" s="76" t="n">
        <v>1565</v>
      </c>
      <c r="L408" s="75" t="n">
        <v>10</v>
      </c>
      <c r="M408" s="67" t="inlineStr">
        <is>
          <t>Kg</t>
        </is>
      </c>
      <c r="N408" s="76" t="n">
        <v>10</v>
      </c>
      <c r="O408" s="67" t="n"/>
      <c r="P408" s="68" t="n"/>
    </row>
    <row r="409" ht="19.5" customHeight="1" s="45">
      <c r="B409" s="74" t="inlineStr">
        <is>
          <t>PO-0405</t>
        </is>
      </c>
      <c r="C409" s="67" t="inlineStr">
        <is>
          <t>M5-R-04</t>
        </is>
      </c>
      <c r="D409" s="67" t="inlineStr">
        <is>
          <t>M5</t>
        </is>
      </c>
      <c r="E409" s="67" t="inlineStr">
        <is>
          <t>Khuchra</t>
        </is>
      </c>
      <c r="F409" s="67" t="inlineStr">
        <is>
          <t>S02</t>
        </is>
      </c>
      <c r="G409" s="75" t="n">
        <v>1475</v>
      </c>
      <c r="H409" s="75" t="n">
        <v>1670</v>
      </c>
      <c r="I409" s="67" t="inlineStr">
        <is>
          <t>Kg</t>
        </is>
      </c>
      <c r="J409" s="76" t="n">
        <v>1475</v>
      </c>
      <c r="K409" s="76" t="n">
        <v>1670</v>
      </c>
      <c r="L409" s="75" t="n">
        <v>15</v>
      </c>
      <c r="M409" s="67" t="inlineStr">
        <is>
          <t>Kg</t>
        </is>
      </c>
      <c r="N409" s="76" t="n">
        <v>15</v>
      </c>
      <c r="O409" s="67" t="n"/>
      <c r="P409" s="68" t="n"/>
    </row>
    <row r="410" ht="19.5" customHeight="1" s="45">
      <c r="B410" s="74" t="inlineStr">
        <is>
          <t>PO-0406</t>
        </is>
      </c>
      <c r="C410" s="67" t="inlineStr">
        <is>
          <t>M5-R-04</t>
        </is>
      </c>
      <c r="D410" s="67" t="inlineStr">
        <is>
          <t>M5</t>
        </is>
      </c>
      <c r="E410" s="67" t="inlineStr">
        <is>
          <t>Khuchra</t>
        </is>
      </c>
      <c r="F410" s="67" t="inlineStr">
        <is>
          <t>S03</t>
        </is>
      </c>
      <c r="G410" s="75" t="n">
        <v>945</v>
      </c>
      <c r="H410" s="75" t="n">
        <v>1035</v>
      </c>
      <c r="I410" s="67" t="inlineStr">
        <is>
          <t>Kg</t>
        </is>
      </c>
      <c r="J410" s="76" t="n">
        <v>945</v>
      </c>
      <c r="K410" s="76" t="n">
        <v>1035</v>
      </c>
      <c r="L410" s="75" t="n">
        <v>15</v>
      </c>
      <c r="M410" s="67" t="inlineStr">
        <is>
          <t>Kg</t>
        </is>
      </c>
      <c r="N410" s="76" t="n">
        <v>15</v>
      </c>
      <c r="O410" s="67" t="n"/>
      <c r="P410" s="68" t="n"/>
    </row>
    <row r="411" ht="19.5" customHeight="1" s="45">
      <c r="B411" s="74" t="inlineStr">
        <is>
          <t>PO-0407</t>
        </is>
      </c>
      <c r="C411" s="67" t="inlineStr">
        <is>
          <t>M5-R-04</t>
        </is>
      </c>
      <c r="D411" s="67" t="inlineStr">
        <is>
          <t>M5</t>
        </is>
      </c>
      <c r="E411" s="67" t="inlineStr">
        <is>
          <t>Khuchra</t>
        </is>
      </c>
      <c r="F411" s="67" t="inlineStr">
        <is>
          <t>S05</t>
        </is>
      </c>
      <c r="G411" s="75" t="n">
        <v>530</v>
      </c>
      <c r="H411" s="75" t="n">
        <v>580</v>
      </c>
      <c r="I411" s="67" t="inlineStr">
        <is>
          <t>Kg</t>
        </is>
      </c>
      <c r="J411" s="76" t="n">
        <v>530</v>
      </c>
      <c r="K411" s="76" t="n">
        <v>580</v>
      </c>
      <c r="L411" s="75" t="n">
        <v>15</v>
      </c>
      <c r="M411" s="67" t="inlineStr">
        <is>
          <t>Kg</t>
        </is>
      </c>
      <c r="N411" s="76" t="n">
        <v>15</v>
      </c>
      <c r="O411" s="67" t="n"/>
      <c r="P411" s="68" t="n"/>
    </row>
    <row r="412" ht="19.5" customHeight="1" s="45">
      <c r="B412" s="74" t="inlineStr">
        <is>
          <t>PO-0408</t>
        </is>
      </c>
      <c r="C412" s="67" t="inlineStr">
        <is>
          <t>M5-R-04</t>
        </is>
      </c>
      <c r="D412" s="67" t="inlineStr">
        <is>
          <t>M5</t>
        </is>
      </c>
      <c r="E412" s="67" t="inlineStr">
        <is>
          <t>Khuchra</t>
        </is>
      </c>
      <c r="F412" s="67" t="inlineStr">
        <is>
          <t>S06</t>
        </is>
      </c>
      <c r="G412" s="75" t="n">
        <v>360</v>
      </c>
      <c r="H412" s="75" t="n">
        <v>465</v>
      </c>
      <c r="I412" s="67" t="inlineStr">
        <is>
          <t>Kg</t>
        </is>
      </c>
      <c r="J412" s="76" t="n">
        <v>360</v>
      </c>
      <c r="K412" s="76" t="n">
        <v>465</v>
      </c>
      <c r="L412" s="75" t="n">
        <v>10</v>
      </c>
      <c r="M412" s="67" t="inlineStr">
        <is>
          <t>Kg</t>
        </is>
      </c>
      <c r="N412" s="76" t="n">
        <v>10</v>
      </c>
      <c r="O412" s="67" t="inlineStr">
        <is>
          <t>PAIR-M5-01</t>
        </is>
      </c>
      <c r="P412" s="68" t="n"/>
    </row>
    <row r="413" ht="19.5" customHeight="1" s="45">
      <c r="B413" s="74" t="inlineStr">
        <is>
          <t>PO-0409</t>
        </is>
      </c>
      <c r="C413" s="67" t="inlineStr">
        <is>
          <t>M5-R-05</t>
        </is>
      </c>
      <c r="D413" s="67" t="inlineStr">
        <is>
          <t>M5</t>
        </is>
      </c>
      <c r="E413" s="67" t="inlineStr">
        <is>
          <t>Khuchra</t>
        </is>
      </c>
      <c r="F413" s="67" t="inlineStr">
        <is>
          <t>S01</t>
        </is>
      </c>
      <c r="G413" s="75" t="n">
        <v>1280</v>
      </c>
      <c r="H413" s="75" t="n">
        <v>1495</v>
      </c>
      <c r="I413" s="67" t="inlineStr">
        <is>
          <t>Kg</t>
        </is>
      </c>
      <c r="J413" s="76" t="n">
        <v>1280</v>
      </c>
      <c r="K413" s="76" t="n">
        <v>1495</v>
      </c>
      <c r="L413" s="75" t="n">
        <v>20</v>
      </c>
      <c r="M413" s="67" t="inlineStr">
        <is>
          <t>Kg</t>
        </is>
      </c>
      <c r="N413" s="76" t="n">
        <v>20</v>
      </c>
      <c r="O413" s="67" t="n"/>
      <c r="P413" s="68" t="n"/>
    </row>
    <row r="414" ht="19.5" customHeight="1" s="45">
      <c r="B414" s="74" t="inlineStr">
        <is>
          <t>PO-0410</t>
        </is>
      </c>
      <c r="C414" s="67" t="inlineStr">
        <is>
          <t>M5-R-05</t>
        </is>
      </c>
      <c r="D414" s="67" t="inlineStr">
        <is>
          <t>M5</t>
        </is>
      </c>
      <c r="E414" s="67" t="inlineStr">
        <is>
          <t>Khuchra</t>
        </is>
      </c>
      <c r="F414" s="67" t="inlineStr">
        <is>
          <t>S02</t>
        </is>
      </c>
      <c r="G414" s="75" t="n">
        <v>1410</v>
      </c>
      <c r="H414" s="75" t="n">
        <v>1620</v>
      </c>
      <c r="I414" s="67" t="inlineStr">
        <is>
          <t>Kg</t>
        </is>
      </c>
      <c r="J414" s="76" t="n">
        <v>1410</v>
      </c>
      <c r="K414" s="76" t="n">
        <v>1620</v>
      </c>
      <c r="L414" s="75" t="n">
        <v>25</v>
      </c>
      <c r="M414" s="67" t="inlineStr">
        <is>
          <t>Kg</t>
        </is>
      </c>
      <c r="N414" s="76" t="n">
        <v>25</v>
      </c>
      <c r="O414" s="67" t="n"/>
      <c r="P414" s="68" t="n"/>
    </row>
    <row r="415" ht="19.5" customHeight="1" s="45">
      <c r="B415" s="74" t="inlineStr">
        <is>
          <t>PO-0411</t>
        </is>
      </c>
      <c r="C415" s="67" t="inlineStr">
        <is>
          <t>M5-R-05</t>
        </is>
      </c>
      <c r="D415" s="67" t="inlineStr">
        <is>
          <t>M5</t>
        </is>
      </c>
      <c r="E415" s="67" t="inlineStr">
        <is>
          <t>Khuchra</t>
        </is>
      </c>
      <c r="F415" s="67" t="inlineStr">
        <is>
          <t>S03</t>
        </is>
      </c>
      <c r="G415" s="75" t="n">
        <v>925</v>
      </c>
      <c r="H415" s="75" t="n">
        <v>1025</v>
      </c>
      <c r="I415" s="67" t="inlineStr">
        <is>
          <t>Kg</t>
        </is>
      </c>
      <c r="J415" s="76" t="n">
        <v>925</v>
      </c>
      <c r="K415" s="76" t="n">
        <v>1025</v>
      </c>
      <c r="L415" s="75" t="n">
        <v>20</v>
      </c>
      <c r="M415" s="67" t="inlineStr">
        <is>
          <t>Kg</t>
        </is>
      </c>
      <c r="N415" s="76" t="n">
        <v>20</v>
      </c>
      <c r="O415" s="67" t="n"/>
      <c r="P415" s="68" t="n"/>
    </row>
    <row r="416" ht="19.5" customHeight="1" s="45">
      <c r="B416" s="74" t="inlineStr">
        <is>
          <t>PO-0412</t>
        </is>
      </c>
      <c r="C416" s="67" t="inlineStr">
        <is>
          <t>M5-R-05</t>
        </is>
      </c>
      <c r="D416" s="67" t="inlineStr">
        <is>
          <t>M5</t>
        </is>
      </c>
      <c r="E416" s="67" t="inlineStr">
        <is>
          <t>Khuchra</t>
        </is>
      </c>
      <c r="F416" s="67" t="inlineStr">
        <is>
          <t>S05</t>
        </is>
      </c>
      <c r="G416" s="75" t="n">
        <v>530</v>
      </c>
      <c r="H416" s="75" t="n">
        <v>595</v>
      </c>
      <c r="I416" s="67" t="inlineStr">
        <is>
          <t>Kg</t>
        </is>
      </c>
      <c r="J416" s="76" t="n">
        <v>530</v>
      </c>
      <c r="K416" s="76" t="n">
        <v>595</v>
      </c>
      <c r="L416" s="75" t="n">
        <v>25</v>
      </c>
      <c r="M416" s="67" t="inlineStr">
        <is>
          <t>Kg</t>
        </is>
      </c>
      <c r="N416" s="76" t="n">
        <v>25</v>
      </c>
      <c r="O416" s="67" t="n"/>
      <c r="P416" s="68" t="n"/>
    </row>
    <row r="417" ht="19.5" customHeight="1" s="45">
      <c r="B417" s="74" t="inlineStr">
        <is>
          <t>PO-0413</t>
        </is>
      </c>
      <c r="C417" s="67" t="inlineStr">
        <is>
          <t>M5-R-05</t>
        </is>
      </c>
      <c r="D417" s="67" t="inlineStr">
        <is>
          <t>M5</t>
        </is>
      </c>
      <c r="E417" s="67" t="inlineStr">
        <is>
          <t>Khuchra</t>
        </is>
      </c>
      <c r="F417" s="67" t="inlineStr">
        <is>
          <t>S06</t>
        </is>
      </c>
      <c r="G417" s="75" t="n">
        <v>405</v>
      </c>
      <c r="H417" s="75" t="n">
        <v>455</v>
      </c>
      <c r="I417" s="67" t="inlineStr">
        <is>
          <t>Kg</t>
        </is>
      </c>
      <c r="J417" s="76" t="n">
        <v>405</v>
      </c>
      <c r="K417" s="76" t="n">
        <v>455</v>
      </c>
      <c r="L417" s="75" t="n">
        <v>15</v>
      </c>
      <c r="M417" s="67" t="inlineStr">
        <is>
          <t>Kg</t>
        </is>
      </c>
      <c r="N417" s="76" t="n">
        <v>15</v>
      </c>
      <c r="O417" s="67" t="n"/>
      <c r="P417" s="68" t="n"/>
    </row>
    <row r="418" ht="19.5" customHeight="1" s="45">
      <c r="B418" s="74" t="inlineStr">
        <is>
          <t>PO-0414</t>
        </is>
      </c>
      <c r="C418" s="67" t="inlineStr">
        <is>
          <t>M6-A-01</t>
        </is>
      </c>
      <c r="D418" s="67" t="inlineStr">
        <is>
          <t>M6</t>
        </is>
      </c>
      <c r="E418" s="67" t="inlineStr">
        <is>
          <t>Aratdar</t>
        </is>
      </c>
      <c r="F418" s="67" t="inlineStr">
        <is>
          <t>S01</t>
        </is>
      </c>
      <c r="G418" s="75" t="n">
        <v>37500</v>
      </c>
      <c r="H418" s="75" t="inlineStr">
        <is>
          <t>D</t>
        </is>
      </c>
      <c r="I418" s="67" t="inlineStr">
        <is>
          <t>Maund</t>
        </is>
      </c>
      <c r="J418" s="76" t="n">
        <v>1004.82</v>
      </c>
      <c r="K418" s="76" t="n"/>
      <c r="L418" s="75" t="n">
        <v>7.7</v>
      </c>
      <c r="M418" s="67" t="inlineStr">
        <is>
          <t>Maund</t>
        </is>
      </c>
      <c r="N418" s="76" t="n">
        <v>287.36</v>
      </c>
      <c r="O418" s="67" t="n"/>
      <c r="P418" s="68" t="n"/>
    </row>
    <row r="419" ht="19.5" customHeight="1" s="45">
      <c r="B419" s="74" t="inlineStr">
        <is>
          <t>PO-0415</t>
        </is>
      </c>
      <c r="C419" s="67" t="inlineStr">
        <is>
          <t>M6-A-01</t>
        </is>
      </c>
      <c r="D419" s="67" t="inlineStr">
        <is>
          <t>M6</t>
        </is>
      </c>
      <c r="E419" s="67" t="inlineStr">
        <is>
          <t>Aratdar</t>
        </is>
      </c>
      <c r="F419" s="67" t="inlineStr">
        <is>
          <t>S02</t>
        </is>
      </c>
      <c r="G419" s="75" t="n">
        <v>44000</v>
      </c>
      <c r="H419" s="75" t="n">
        <v>45750</v>
      </c>
      <c r="I419" s="67" t="inlineStr">
        <is>
          <t>Maund</t>
        </is>
      </c>
      <c r="J419" s="76" t="n">
        <v>1178.99</v>
      </c>
      <c r="K419" s="76" t="n">
        <v>1225.88</v>
      </c>
      <c r="L419" s="75" t="n">
        <v>8.4</v>
      </c>
      <c r="M419" s="67" t="inlineStr">
        <is>
          <t>Maund</t>
        </is>
      </c>
      <c r="N419" s="76" t="n">
        <v>313.49</v>
      </c>
      <c r="O419" s="67" t="n"/>
      <c r="P419" s="68" t="n"/>
    </row>
    <row r="420" ht="19.5" customHeight="1" s="45">
      <c r="B420" s="74" t="inlineStr">
        <is>
          <t>PO-0416</t>
        </is>
      </c>
      <c r="C420" s="67" t="inlineStr">
        <is>
          <t>M6-A-01</t>
        </is>
      </c>
      <c r="D420" s="67" t="inlineStr">
        <is>
          <t>M6</t>
        </is>
      </c>
      <c r="E420" s="67" t="inlineStr">
        <is>
          <t>Aratdar</t>
        </is>
      </c>
      <c r="F420" s="67" t="inlineStr">
        <is>
          <t>S03</t>
        </is>
      </c>
      <c r="G420" s="75" t="n">
        <v>28750</v>
      </c>
      <c r="H420" s="75" t="n">
        <v>30000</v>
      </c>
      <c r="I420" s="67" t="inlineStr">
        <is>
          <t>Maund</t>
        </is>
      </c>
      <c r="J420" s="76" t="n">
        <v>770.36</v>
      </c>
      <c r="K420" s="76" t="n">
        <v>803.86</v>
      </c>
      <c r="L420" s="75" t="n">
        <v>5.3</v>
      </c>
      <c r="M420" s="67" t="inlineStr">
        <is>
          <t>Maund</t>
        </is>
      </c>
      <c r="N420" s="76" t="n">
        <v>197.8</v>
      </c>
      <c r="O420" s="67" t="n"/>
      <c r="P420" s="68" t="n"/>
    </row>
    <row r="421" ht="19.5" customHeight="1" s="45">
      <c r="B421" s="74" t="inlineStr">
        <is>
          <t>PO-0417</t>
        </is>
      </c>
      <c r="C421" s="67" t="inlineStr">
        <is>
          <t>M6-A-01</t>
        </is>
      </c>
      <c r="D421" s="67" t="inlineStr">
        <is>
          <t>M6</t>
        </is>
      </c>
      <c r="E421" s="67" t="inlineStr">
        <is>
          <t>Aratdar</t>
        </is>
      </c>
      <c r="F421" s="67" t="inlineStr">
        <is>
          <t>S05</t>
        </is>
      </c>
      <c r="G421" s="75" t="n">
        <v>15500</v>
      </c>
      <c r="H421" s="75" t="n">
        <v>16250</v>
      </c>
      <c r="I421" s="67" t="inlineStr">
        <is>
          <t>Maund</t>
        </is>
      </c>
      <c r="J421" s="76" t="n">
        <v>415.33</v>
      </c>
      <c r="K421" s="76" t="n">
        <v>435.42</v>
      </c>
      <c r="L421" s="75" t="n">
        <v>5</v>
      </c>
      <c r="M421" s="67" t="inlineStr">
        <is>
          <t>Maund</t>
        </is>
      </c>
      <c r="N421" s="76" t="n">
        <v>186.6</v>
      </c>
      <c r="O421" s="67" t="n"/>
      <c r="P421" s="68" t="n"/>
    </row>
    <row r="422" ht="19.5" customHeight="1" s="45">
      <c r="B422" s="74" t="inlineStr">
        <is>
          <t>PO-0418</t>
        </is>
      </c>
      <c r="C422" s="67" t="inlineStr">
        <is>
          <t>M6-A-01</t>
        </is>
      </c>
      <c r="D422" s="67" t="inlineStr">
        <is>
          <t>M6</t>
        </is>
      </c>
      <c r="E422" s="67" t="inlineStr">
        <is>
          <t>Aratdar</t>
        </is>
      </c>
      <c r="F422" s="67" t="inlineStr">
        <is>
          <t>S06</t>
        </is>
      </c>
      <c r="G422" s="75" t="n">
        <v>12000</v>
      </c>
      <c r="H422" s="75" t="n">
        <v>12500</v>
      </c>
      <c r="I422" s="67" t="inlineStr">
        <is>
          <t>Maund</t>
        </is>
      </c>
      <c r="J422" s="76" t="n">
        <v>321.54</v>
      </c>
      <c r="K422" s="76" t="n">
        <v>334.94</v>
      </c>
      <c r="L422" s="75" t="n">
        <v>5</v>
      </c>
      <c r="M422" s="67" t="inlineStr">
        <is>
          <t>Maund</t>
        </is>
      </c>
      <c r="N422" s="76" t="n">
        <v>186.6</v>
      </c>
      <c r="O422" s="67" t="n"/>
      <c r="P422" s="68" t="n"/>
    </row>
    <row r="423" ht="19.5" customHeight="1" s="45">
      <c r="B423" s="74" t="inlineStr">
        <is>
          <t>PO-0419</t>
        </is>
      </c>
      <c r="C423" s="67" t="inlineStr">
        <is>
          <t>M6-A-02</t>
        </is>
      </c>
      <c r="D423" s="67" t="inlineStr">
        <is>
          <t>M6</t>
        </is>
      </c>
      <c r="E423" s="67" t="inlineStr">
        <is>
          <t>Aratdar</t>
        </is>
      </c>
      <c r="F423" s="67" t="inlineStr">
        <is>
          <t>S01</t>
        </is>
      </c>
      <c r="G423" s="75" t="n">
        <v>39250</v>
      </c>
      <c r="H423" s="75" t="n">
        <v>41250</v>
      </c>
      <c r="I423" s="67" t="inlineStr">
        <is>
          <t>Maund</t>
        </is>
      </c>
      <c r="J423" s="76" t="n">
        <v>1051.71</v>
      </c>
      <c r="K423" s="76" t="n">
        <v>1105.31</v>
      </c>
      <c r="L423" s="75" t="n">
        <v>5.7</v>
      </c>
      <c r="M423" s="67" t="inlineStr">
        <is>
          <t>Maund</t>
        </is>
      </c>
      <c r="N423" s="76" t="n">
        <v>212.72</v>
      </c>
      <c r="O423" s="67" t="n"/>
      <c r="P423" s="68" t="n"/>
    </row>
    <row r="424" ht="19.5" customHeight="1" s="45">
      <c r="B424" s="74" t="inlineStr">
        <is>
          <t>PO-0420</t>
        </is>
      </c>
      <c r="C424" s="67" t="inlineStr">
        <is>
          <t>M6-A-02</t>
        </is>
      </c>
      <c r="D424" s="67" t="inlineStr">
        <is>
          <t>M6</t>
        </is>
      </c>
      <c r="E424" s="67" t="inlineStr">
        <is>
          <t>Aratdar</t>
        </is>
      </c>
      <c r="F424" s="67" t="inlineStr">
        <is>
          <t>S02</t>
        </is>
      </c>
      <c r="G424" s="75" t="n">
        <v>45500</v>
      </c>
      <c r="H424" s="75" t="n">
        <v>47250</v>
      </c>
      <c r="I424" s="67" t="inlineStr">
        <is>
          <t>Maund</t>
        </is>
      </c>
      <c r="J424" s="76" t="n">
        <v>1219.19</v>
      </c>
      <c r="K424" s="76" t="n">
        <v>1266.08</v>
      </c>
      <c r="L424" s="75" t="n">
        <v>4.1</v>
      </c>
      <c r="M424" s="67" t="inlineStr">
        <is>
          <t>Maund</t>
        </is>
      </c>
      <c r="N424" s="76" t="n">
        <v>153.01</v>
      </c>
      <c r="O424" s="67" t="n"/>
      <c r="P424" s="68" t="n"/>
    </row>
    <row r="425" ht="19.5" customHeight="1" s="45">
      <c r="B425" s="74" t="inlineStr">
        <is>
          <t>PO-0421</t>
        </is>
      </c>
      <c r="C425" s="67" t="inlineStr">
        <is>
          <t>M6-A-02</t>
        </is>
      </c>
      <c r="D425" s="67" t="inlineStr">
        <is>
          <t>M6</t>
        </is>
      </c>
      <c r="E425" s="67" t="inlineStr">
        <is>
          <t>Aratdar</t>
        </is>
      </c>
      <c r="F425" s="67" t="inlineStr">
        <is>
          <t>S03</t>
        </is>
      </c>
      <c r="G425" s="75" t="n">
        <v>28500</v>
      </c>
      <c r="H425" s="75" t="n">
        <v>29750</v>
      </c>
      <c r="I425" s="67" t="inlineStr">
        <is>
          <t>Maund</t>
        </is>
      </c>
      <c r="J425" s="76" t="n">
        <v>763.67</v>
      </c>
      <c r="K425" s="76" t="n">
        <v>797.16</v>
      </c>
      <c r="L425" s="75" t="n">
        <v>4.7</v>
      </c>
      <c r="M425" s="67" t="inlineStr">
        <is>
          <t>Maund</t>
        </is>
      </c>
      <c r="N425" s="76" t="n">
        <v>175.4</v>
      </c>
      <c r="O425" s="67" t="inlineStr">
        <is>
          <t>PAIR-M6-01</t>
        </is>
      </c>
      <c r="P425" s="68" t="n"/>
    </row>
    <row r="426" ht="19.5" customHeight="1" s="45">
      <c r="B426" s="74" t="inlineStr">
        <is>
          <t>PO-0422</t>
        </is>
      </c>
      <c r="C426" s="67" t="inlineStr">
        <is>
          <t>M6-A-02</t>
        </is>
      </c>
      <c r="D426" s="67" t="inlineStr">
        <is>
          <t>M6</t>
        </is>
      </c>
      <c r="E426" s="67" t="inlineStr">
        <is>
          <t>Aratdar</t>
        </is>
      </c>
      <c r="F426" s="67" t="inlineStr">
        <is>
          <t>S05</t>
        </is>
      </c>
      <c r="G426" s="75" t="n">
        <v>15500</v>
      </c>
      <c r="H426" s="75" t="n">
        <v>16250</v>
      </c>
      <c r="I426" s="67" t="inlineStr">
        <is>
          <t>Maund</t>
        </is>
      </c>
      <c r="J426" s="76" t="n">
        <v>415.33</v>
      </c>
      <c r="K426" s="76" t="n">
        <v>435.42</v>
      </c>
      <c r="L426" s="75" t="n">
        <v>5.5</v>
      </c>
      <c r="M426" s="67" t="inlineStr">
        <is>
          <t>Maund</t>
        </is>
      </c>
      <c r="N426" s="76" t="n">
        <v>205.26</v>
      </c>
      <c r="O426" s="67" t="n"/>
      <c r="P426" s="68" t="n"/>
    </row>
    <row r="427" ht="19.5" customHeight="1" s="45">
      <c r="B427" s="74" t="inlineStr">
        <is>
          <t>PO-0423</t>
        </is>
      </c>
      <c r="C427" s="67" t="inlineStr">
        <is>
          <t>M6-A-02</t>
        </is>
      </c>
      <c r="D427" s="67" t="inlineStr">
        <is>
          <t>M6</t>
        </is>
      </c>
      <c r="E427" s="67" t="inlineStr">
        <is>
          <t>Aratdar</t>
        </is>
      </c>
      <c r="F427" s="67" t="inlineStr">
        <is>
          <t>S07</t>
        </is>
      </c>
      <c r="G427" s="75" t="n">
        <v>13750</v>
      </c>
      <c r="H427" s="75" t="n">
        <v>14250</v>
      </c>
      <c r="I427" s="67" t="inlineStr">
        <is>
          <t>Maund</t>
        </is>
      </c>
      <c r="J427" s="76" t="n">
        <v>368.44</v>
      </c>
      <c r="K427" s="76" t="n">
        <v>381.83</v>
      </c>
      <c r="L427" s="75" t="n">
        <v>4.4</v>
      </c>
      <c r="M427" s="67" t="inlineStr">
        <is>
          <t>Maund</t>
        </is>
      </c>
      <c r="N427" s="76" t="n">
        <v>164.21</v>
      </c>
      <c r="O427" s="67" t="n"/>
      <c r="P427" s="68" t="n"/>
    </row>
    <row r="428" ht="19.5" customHeight="1" s="45">
      <c r="B428" s="74" t="inlineStr">
        <is>
          <t>PO-0424</t>
        </is>
      </c>
      <c r="C428" s="67" t="inlineStr">
        <is>
          <t>M6-A-03</t>
        </is>
      </c>
      <c r="D428" s="67" t="inlineStr">
        <is>
          <t>M6</t>
        </is>
      </c>
      <c r="E428" s="67" t="inlineStr">
        <is>
          <t>Aratdar</t>
        </is>
      </c>
      <c r="F428" s="67" t="inlineStr">
        <is>
          <t>S01</t>
        </is>
      </c>
      <c r="G428" s="75" t="n">
        <v>41750</v>
      </c>
      <c r="H428" s="75" t="n">
        <v>43250</v>
      </c>
      <c r="I428" s="67" t="inlineStr">
        <is>
          <t>Maund</t>
        </is>
      </c>
      <c r="J428" s="76" t="n">
        <v>1118.7</v>
      </c>
      <c r="K428" s="76" t="n">
        <v>1158.9</v>
      </c>
      <c r="L428" s="75" t="n">
        <v>2.2</v>
      </c>
      <c r="M428" s="67" t="inlineStr">
        <is>
          <t>Maund</t>
        </is>
      </c>
      <c r="N428" s="76" t="n">
        <v>82.09999999999999</v>
      </c>
      <c r="O428" s="67" t="n"/>
      <c r="P428" s="68" t="n"/>
    </row>
    <row r="429" ht="19.5" customHeight="1" s="45">
      <c r="B429" s="74" t="inlineStr">
        <is>
          <t>PO-0425</t>
        </is>
      </c>
      <c r="C429" s="67" t="inlineStr">
        <is>
          <t>M6-A-03</t>
        </is>
      </c>
      <c r="D429" s="67" t="inlineStr">
        <is>
          <t>M6</t>
        </is>
      </c>
      <c r="E429" s="67" t="inlineStr">
        <is>
          <t>Aratdar</t>
        </is>
      </c>
      <c r="F429" s="67" t="inlineStr">
        <is>
          <t>S02</t>
        </is>
      </c>
      <c r="G429" s="75" t="n">
        <v>43000</v>
      </c>
      <c r="H429" s="75" t="n">
        <v>45500</v>
      </c>
      <c r="I429" s="67" t="inlineStr">
        <is>
          <t>Maund</t>
        </is>
      </c>
      <c r="J429" s="76" t="n">
        <v>1152.2</v>
      </c>
      <c r="K429" s="76" t="n">
        <v>1219.19</v>
      </c>
      <c r="L429" s="75" t="n">
        <v>2.1</v>
      </c>
      <c r="M429" s="67" t="inlineStr">
        <is>
          <t>Maund</t>
        </is>
      </c>
      <c r="N429" s="76" t="n">
        <v>78.37</v>
      </c>
      <c r="O429" s="67" t="n"/>
      <c r="P429" s="68" t="n"/>
    </row>
    <row r="430" ht="19.5" customHeight="1" s="45">
      <c r="B430" s="74" t="inlineStr">
        <is>
          <t>PO-0426</t>
        </is>
      </c>
      <c r="C430" s="67" t="inlineStr">
        <is>
          <t>M6-A-03</t>
        </is>
      </c>
      <c r="D430" s="67" t="inlineStr">
        <is>
          <t>M6</t>
        </is>
      </c>
      <c r="E430" s="67" t="inlineStr">
        <is>
          <t>Aratdar</t>
        </is>
      </c>
      <c r="F430" s="67" t="inlineStr">
        <is>
          <t>S03</t>
        </is>
      </c>
      <c r="G430" s="75" t="n">
        <v>29250</v>
      </c>
      <c r="H430" s="75" t="n">
        <v>30750</v>
      </c>
      <c r="I430" s="67" t="inlineStr">
        <is>
          <t>Maund</t>
        </is>
      </c>
      <c r="J430" s="76" t="n">
        <v>783.76</v>
      </c>
      <c r="K430" s="76" t="n">
        <v>823.95</v>
      </c>
      <c r="L430" s="75" t="n">
        <v>1.5</v>
      </c>
      <c r="M430" s="67" t="inlineStr">
        <is>
          <t>Maund</t>
        </is>
      </c>
      <c r="N430" s="76" t="n">
        <v>55.98</v>
      </c>
      <c r="O430" s="67" t="n"/>
      <c r="P430" s="68" t="n"/>
    </row>
    <row r="431" ht="19.5" customHeight="1" s="45">
      <c r="B431" s="74" t="inlineStr">
        <is>
          <t>PO-0427</t>
        </is>
      </c>
      <c r="C431" s="67" t="inlineStr">
        <is>
          <t>M6-A-03</t>
        </is>
      </c>
      <c r="D431" s="67" t="inlineStr">
        <is>
          <t>M6</t>
        </is>
      </c>
      <c r="E431" s="67" t="inlineStr">
        <is>
          <t>Aratdar</t>
        </is>
      </c>
      <c r="F431" s="67" t="inlineStr">
        <is>
          <t>S04</t>
        </is>
      </c>
      <c r="G431" s="75" t="n">
        <v>23500</v>
      </c>
      <c r="H431" s="75" t="n">
        <v>24500</v>
      </c>
      <c r="I431" s="67" t="inlineStr">
        <is>
          <t>Maund</t>
        </is>
      </c>
      <c r="J431" s="76" t="n">
        <v>629.6900000000001</v>
      </c>
      <c r="K431" s="76" t="n">
        <v>656.48</v>
      </c>
      <c r="L431" s="75" t="n">
        <v>3.3</v>
      </c>
      <c r="M431" s="67" t="inlineStr">
        <is>
          <t>Maund</t>
        </is>
      </c>
      <c r="N431" s="76" t="n">
        <v>123.16</v>
      </c>
      <c r="O431" s="67" t="n"/>
      <c r="P431" s="68" t="n"/>
    </row>
    <row r="432" ht="19.5" customHeight="1" s="45">
      <c r="B432" s="74" t="inlineStr">
        <is>
          <t>PO-0428</t>
        </is>
      </c>
      <c r="C432" s="67" t="inlineStr">
        <is>
          <t>M6-A-03</t>
        </is>
      </c>
      <c r="D432" s="67" t="inlineStr">
        <is>
          <t>M6</t>
        </is>
      </c>
      <c r="E432" s="67" t="inlineStr">
        <is>
          <t>Aratdar</t>
        </is>
      </c>
      <c r="F432" s="67" t="inlineStr">
        <is>
          <t>S05</t>
        </is>
      </c>
      <c r="G432" s="75" t="n">
        <v>16000</v>
      </c>
      <c r="H432" s="75" t="n">
        <v>16750</v>
      </c>
      <c r="I432" s="67" t="inlineStr">
        <is>
          <t>Maund</t>
        </is>
      </c>
      <c r="J432" s="76" t="n">
        <v>428.72</v>
      </c>
      <c r="K432" s="76" t="n">
        <v>448.82</v>
      </c>
      <c r="L432" s="75" t="n">
        <v>2.5</v>
      </c>
      <c r="M432" s="67" t="inlineStr">
        <is>
          <t>Maund</t>
        </is>
      </c>
      <c r="N432" s="76" t="n">
        <v>93.3</v>
      </c>
      <c r="O432" s="67" t="n"/>
      <c r="P432" s="68" t="n"/>
    </row>
    <row r="433" ht="19.5" customHeight="1" s="45">
      <c r="B433" s="74" t="inlineStr">
        <is>
          <t>PO-0429</t>
        </is>
      </c>
      <c r="C433" s="67" t="inlineStr">
        <is>
          <t>M6-A-04</t>
        </is>
      </c>
      <c r="D433" s="67" t="inlineStr">
        <is>
          <t>M6</t>
        </is>
      </c>
      <c r="E433" s="67" t="inlineStr">
        <is>
          <t>Aratdar</t>
        </is>
      </c>
      <c r="F433" s="67" t="inlineStr">
        <is>
          <t>S01</t>
        </is>
      </c>
      <c r="G433" s="75" t="n">
        <v>41250</v>
      </c>
      <c r="H433" s="75" t="n">
        <v>42750</v>
      </c>
      <c r="I433" s="67" t="inlineStr">
        <is>
          <t>Maund</t>
        </is>
      </c>
      <c r="J433" s="76" t="n">
        <v>1105.31</v>
      </c>
      <c r="K433" s="76" t="n">
        <v>1145.5</v>
      </c>
      <c r="L433" s="75" t="n">
        <v>7.4</v>
      </c>
      <c r="M433" s="67" t="inlineStr">
        <is>
          <t>Maund</t>
        </is>
      </c>
      <c r="N433" s="76" t="n">
        <v>276.17</v>
      </c>
      <c r="O433" s="67" t="n"/>
      <c r="P433" s="68" t="n"/>
    </row>
    <row r="434" ht="19.5" customHeight="1" s="45">
      <c r="B434" s="74" t="inlineStr">
        <is>
          <t>PO-0430</t>
        </is>
      </c>
      <c r="C434" s="67" t="inlineStr">
        <is>
          <t>M6-A-04</t>
        </is>
      </c>
      <c r="D434" s="67" t="inlineStr">
        <is>
          <t>M6</t>
        </is>
      </c>
      <c r="E434" s="67" t="inlineStr">
        <is>
          <t>Aratdar</t>
        </is>
      </c>
      <c r="F434" s="67" t="inlineStr">
        <is>
          <t>S03</t>
        </is>
      </c>
      <c r="G434" s="75" t="n">
        <v>28250</v>
      </c>
      <c r="H434" s="75" t="n">
        <v>29250</v>
      </c>
      <c r="I434" s="67" t="inlineStr">
        <is>
          <t>Maund</t>
        </is>
      </c>
      <c r="J434" s="76" t="n">
        <v>756.97</v>
      </c>
      <c r="K434" s="76" t="n">
        <v>783.76</v>
      </c>
      <c r="L434" s="75" t="n">
        <v>4.9</v>
      </c>
      <c r="M434" s="67" t="inlineStr">
        <is>
          <t>Maund</t>
        </is>
      </c>
      <c r="N434" s="76" t="n">
        <v>182.87</v>
      </c>
      <c r="O434" s="67" t="n"/>
      <c r="P434" s="68" t="n"/>
    </row>
    <row r="435" ht="19.5" customHeight="1" s="45">
      <c r="B435" s="74" t="inlineStr">
        <is>
          <t>PO-0431</t>
        </is>
      </c>
      <c r="C435" s="67" t="inlineStr">
        <is>
          <t>M6-A-04</t>
        </is>
      </c>
      <c r="D435" s="67" t="inlineStr">
        <is>
          <t>M6</t>
        </is>
      </c>
      <c r="E435" s="67" t="inlineStr">
        <is>
          <t>Aratdar</t>
        </is>
      </c>
      <c r="F435" s="67" t="inlineStr">
        <is>
          <t>S04</t>
        </is>
      </c>
      <c r="G435" s="75" t="n">
        <v>23250</v>
      </c>
      <c r="H435" s="75" t="n">
        <v>24750</v>
      </c>
      <c r="I435" s="67" t="inlineStr">
        <is>
          <t>Maund</t>
        </is>
      </c>
      <c r="J435" s="76" t="n">
        <v>622.99</v>
      </c>
      <c r="K435" s="76" t="n">
        <v>663.1799999999999</v>
      </c>
      <c r="L435" s="75" t="n">
        <v>6.7</v>
      </c>
      <c r="M435" s="67" t="inlineStr">
        <is>
          <t>Maund</t>
        </is>
      </c>
      <c r="N435" s="76" t="n">
        <v>250.04</v>
      </c>
      <c r="O435" s="67" t="n"/>
      <c r="P435" s="68" t="n"/>
    </row>
    <row r="436" ht="19.5" customHeight="1" s="45">
      <c r="B436" s="74" t="inlineStr">
        <is>
          <t>PO-0432</t>
        </is>
      </c>
      <c r="C436" s="67" t="inlineStr">
        <is>
          <t>M6-A-04</t>
        </is>
      </c>
      <c r="D436" s="67" t="inlineStr">
        <is>
          <t>M6</t>
        </is>
      </c>
      <c r="E436" s="67" t="inlineStr">
        <is>
          <t>Aratdar</t>
        </is>
      </c>
      <c r="F436" s="67" t="inlineStr">
        <is>
          <t>S06</t>
        </is>
      </c>
      <c r="G436" s="75" t="n">
        <v>12000</v>
      </c>
      <c r="H436" s="75" t="n">
        <v>12250</v>
      </c>
      <c r="I436" s="67" t="inlineStr">
        <is>
          <t>Maund</t>
        </is>
      </c>
      <c r="J436" s="76" t="n">
        <v>321.54</v>
      </c>
      <c r="K436" s="76" t="n">
        <v>328.24</v>
      </c>
      <c r="L436" s="75" t="n">
        <v>7.6</v>
      </c>
      <c r="M436" s="67" t="inlineStr">
        <is>
          <t>Maund</t>
        </is>
      </c>
      <c r="N436" s="76" t="n">
        <v>283.63</v>
      </c>
      <c r="O436" s="67" t="n"/>
      <c r="P436" s="68" t="n"/>
    </row>
    <row r="437" ht="19.5" customHeight="1" s="45">
      <c r="B437" s="74" t="inlineStr">
        <is>
          <t>PO-0433</t>
        </is>
      </c>
      <c r="C437" s="67" t="inlineStr">
        <is>
          <t>M6-A-04</t>
        </is>
      </c>
      <c r="D437" s="67" t="inlineStr">
        <is>
          <t>M6</t>
        </is>
      </c>
      <c r="E437" s="67" t="inlineStr">
        <is>
          <t>Aratdar</t>
        </is>
      </c>
      <c r="F437" s="67" t="inlineStr">
        <is>
          <t>S09</t>
        </is>
      </c>
      <c r="G437" s="75" t="n">
        <v>7700</v>
      </c>
      <c r="H437" s="75" t="n">
        <v>8100</v>
      </c>
      <c r="I437" s="67" t="inlineStr">
        <is>
          <t>Maund</t>
        </is>
      </c>
      <c r="J437" s="76" t="n">
        <v>206.32</v>
      </c>
      <c r="K437" s="76" t="n">
        <v>217.04</v>
      </c>
      <c r="L437" s="75" t="n">
        <v>5.9</v>
      </c>
      <c r="M437" s="67" t="inlineStr">
        <is>
          <t>Maund</t>
        </is>
      </c>
      <c r="N437" s="76" t="n">
        <v>220.19</v>
      </c>
      <c r="O437" s="67" t="n"/>
      <c r="P437" s="68" t="n"/>
    </row>
    <row r="438" ht="19.5" customHeight="1" s="45">
      <c r="B438" s="74" t="inlineStr">
        <is>
          <t>PO-0434</t>
        </is>
      </c>
      <c r="C438" s="67" t="inlineStr">
        <is>
          <t>M6-A-05</t>
        </is>
      </c>
      <c r="D438" s="67" t="inlineStr">
        <is>
          <t>M6</t>
        </is>
      </c>
      <c r="E438" s="67" t="inlineStr">
        <is>
          <t>Aratdar</t>
        </is>
      </c>
      <c r="F438" s="67" t="inlineStr">
        <is>
          <t>S01</t>
        </is>
      </c>
      <c r="G438" s="75" t="n">
        <v>41500</v>
      </c>
      <c r="H438" s="75" t="n">
        <v>43000</v>
      </c>
      <c r="I438" s="67" t="inlineStr">
        <is>
          <t>Maund</t>
        </is>
      </c>
      <c r="J438" s="76" t="n">
        <v>1112</v>
      </c>
      <c r="K438" s="76" t="n">
        <v>1152.2</v>
      </c>
      <c r="L438" s="75" t="n">
        <v>1.9</v>
      </c>
      <c r="M438" s="67" t="inlineStr">
        <is>
          <t>Maund</t>
        </is>
      </c>
      <c r="N438" s="76" t="n">
        <v>70.91</v>
      </c>
      <c r="O438" s="67" t="n"/>
      <c r="P438" s="68" t="n"/>
    </row>
    <row r="439" ht="19.5" customHeight="1" s="45">
      <c r="B439" s="74" t="inlineStr">
        <is>
          <t>PO-0435</t>
        </is>
      </c>
      <c r="C439" s="67" t="inlineStr">
        <is>
          <t>M6-A-05</t>
        </is>
      </c>
      <c r="D439" s="67" t="inlineStr">
        <is>
          <t>M6</t>
        </is>
      </c>
      <c r="E439" s="67" t="inlineStr">
        <is>
          <t>Aratdar</t>
        </is>
      </c>
      <c r="F439" s="67" t="inlineStr">
        <is>
          <t>S02</t>
        </is>
      </c>
      <c r="G439" s="75" t="n">
        <v>41500</v>
      </c>
      <c r="H439" s="75" t="n">
        <v>43000</v>
      </c>
      <c r="I439" s="67" t="inlineStr">
        <is>
          <t>Maund</t>
        </is>
      </c>
      <c r="J439" s="76" t="n">
        <v>1112</v>
      </c>
      <c r="K439" s="76" t="n">
        <v>1152.2</v>
      </c>
      <c r="L439" s="75" t="n">
        <v>2.8</v>
      </c>
      <c r="M439" s="67" t="inlineStr">
        <is>
          <t>Maund</t>
        </is>
      </c>
      <c r="N439" s="76" t="n">
        <v>104.5</v>
      </c>
      <c r="O439" s="67" t="n"/>
      <c r="P439" s="68" t="n"/>
    </row>
    <row r="440" ht="19.5" customHeight="1" s="45">
      <c r="B440" s="74" t="inlineStr">
        <is>
          <t>PO-0436</t>
        </is>
      </c>
      <c r="C440" s="67" t="inlineStr">
        <is>
          <t>M6-A-05</t>
        </is>
      </c>
      <c r="D440" s="67" t="inlineStr">
        <is>
          <t>M6</t>
        </is>
      </c>
      <c r="E440" s="67" t="inlineStr">
        <is>
          <t>Aratdar</t>
        </is>
      </c>
      <c r="F440" s="67" t="inlineStr">
        <is>
          <t>S03</t>
        </is>
      </c>
      <c r="G440" s="75" t="n">
        <v>27500</v>
      </c>
      <c r="H440" s="75" t="n">
        <v>29000</v>
      </c>
      <c r="I440" s="67" t="inlineStr">
        <is>
          <t>Maund</t>
        </is>
      </c>
      <c r="J440" s="76" t="n">
        <v>736.87</v>
      </c>
      <c r="K440" s="76" t="n">
        <v>777.0599999999999</v>
      </c>
      <c r="L440" s="75" t="n">
        <v>1.7</v>
      </c>
      <c r="M440" s="67" t="inlineStr">
        <is>
          <t>Maund</t>
        </is>
      </c>
      <c r="N440" s="76" t="n">
        <v>63.44</v>
      </c>
      <c r="O440" s="67" t="n"/>
      <c r="P440" s="68" t="n"/>
    </row>
    <row r="441" ht="19.5" customHeight="1" s="45">
      <c r="B441" s="74" t="inlineStr">
        <is>
          <t>PO-0437</t>
        </is>
      </c>
      <c r="C441" s="67" t="inlineStr">
        <is>
          <t>M6-A-05</t>
        </is>
      </c>
      <c r="D441" s="67" t="inlineStr">
        <is>
          <t>M6</t>
        </is>
      </c>
      <c r="E441" s="67" t="inlineStr">
        <is>
          <t>Aratdar</t>
        </is>
      </c>
      <c r="F441" s="67" t="inlineStr">
        <is>
          <t>S04</t>
        </is>
      </c>
      <c r="G441" s="75" t="n">
        <v>26000</v>
      </c>
      <c r="H441" s="75" t="n">
        <v>27250</v>
      </c>
      <c r="I441" s="67" t="inlineStr">
        <is>
          <t>Maund</t>
        </is>
      </c>
      <c r="J441" s="76" t="n">
        <v>696.6799999999999</v>
      </c>
      <c r="K441" s="76" t="n">
        <v>730.17</v>
      </c>
      <c r="L441" s="75" t="n">
        <v>1.9</v>
      </c>
      <c r="M441" s="67" t="inlineStr">
        <is>
          <t>Maund</t>
        </is>
      </c>
      <c r="N441" s="76" t="n">
        <v>70.91</v>
      </c>
      <c r="O441" s="67" t="inlineStr">
        <is>
          <t>PAIR-M6-02</t>
        </is>
      </c>
      <c r="P441" s="68" t="n"/>
    </row>
    <row r="442" ht="19.5" customHeight="1" s="45">
      <c r="B442" s="74" t="inlineStr">
        <is>
          <t>PO-0438</t>
        </is>
      </c>
      <c r="C442" s="67" t="inlineStr">
        <is>
          <t>M6-A-05</t>
        </is>
      </c>
      <c r="D442" s="67" t="inlineStr">
        <is>
          <t>M6</t>
        </is>
      </c>
      <c r="E442" s="67" t="inlineStr">
        <is>
          <t>Aratdar</t>
        </is>
      </c>
      <c r="F442" s="67" t="inlineStr">
        <is>
          <t>S05</t>
        </is>
      </c>
      <c r="G442" s="75" t="n">
        <v>16250</v>
      </c>
      <c r="H442" s="75" t="n">
        <v>17000</v>
      </c>
      <c r="I442" s="67" t="inlineStr">
        <is>
          <t>Maund</t>
        </is>
      </c>
      <c r="J442" s="76" t="n">
        <v>435.42</v>
      </c>
      <c r="K442" s="76" t="n">
        <v>455.52</v>
      </c>
      <c r="L442" s="75" t="n">
        <v>1.4</v>
      </c>
      <c r="M442" s="67" t="inlineStr">
        <is>
          <t>Maund</t>
        </is>
      </c>
      <c r="N442" s="76" t="n">
        <v>52.25</v>
      </c>
      <c r="O442" s="67" t="n"/>
      <c r="P442" s="68" t="n"/>
    </row>
    <row r="443" ht="19.5" customHeight="1" s="45">
      <c r="B443" s="74" t="inlineStr">
        <is>
          <t>PO-0439</t>
        </is>
      </c>
      <c r="C443" s="67" t="inlineStr">
        <is>
          <t>M6-B-01</t>
        </is>
      </c>
      <c r="D443" s="67" t="inlineStr">
        <is>
          <t>M6</t>
        </is>
      </c>
      <c r="E443" s="67" t="inlineStr">
        <is>
          <t>Bepari_Faria</t>
        </is>
      </c>
      <c r="F443" s="67" t="inlineStr">
        <is>
          <t>S01</t>
        </is>
      </c>
      <c r="G443" s="75" t="n">
        <v>43000</v>
      </c>
      <c r="H443" s="75" t="n">
        <v>47000</v>
      </c>
      <c r="I443" s="67" t="inlineStr">
        <is>
          <t>Maund</t>
        </is>
      </c>
      <c r="J443" s="76" t="n">
        <v>1152.2</v>
      </c>
      <c r="K443" s="76" t="n">
        <v>1259.38</v>
      </c>
      <c r="L443" s="75" t="n">
        <v>1.3</v>
      </c>
      <c r="M443" s="67" t="inlineStr">
        <is>
          <t>Maund</t>
        </is>
      </c>
      <c r="N443" s="76" t="n">
        <v>48.52</v>
      </c>
      <c r="O443" s="67" t="n"/>
      <c r="P443" s="68" t="n"/>
    </row>
    <row r="444" ht="19.5" customHeight="1" s="45">
      <c r="B444" s="74" t="inlineStr">
        <is>
          <t>PO-0440</t>
        </is>
      </c>
      <c r="C444" s="67" t="inlineStr">
        <is>
          <t>M6-B-01</t>
        </is>
      </c>
      <c r="D444" s="67" t="inlineStr">
        <is>
          <t>M6</t>
        </is>
      </c>
      <c r="E444" s="67" t="inlineStr">
        <is>
          <t>Bepari_Faria</t>
        </is>
      </c>
      <c r="F444" s="67" t="inlineStr">
        <is>
          <t>S03</t>
        </is>
      </c>
      <c r="G444" s="75" t="n">
        <v>28250</v>
      </c>
      <c r="H444" s="75" t="n">
        <v>31750</v>
      </c>
      <c r="I444" s="67" t="inlineStr">
        <is>
          <t>Maund</t>
        </is>
      </c>
      <c r="J444" s="76" t="n">
        <v>756.97</v>
      </c>
      <c r="K444" s="76" t="n">
        <v>850.75</v>
      </c>
      <c r="L444" s="75" t="n">
        <v>1.4</v>
      </c>
      <c r="M444" s="67" t="inlineStr">
        <is>
          <t>Maund</t>
        </is>
      </c>
      <c r="N444" s="76" t="n">
        <v>52.25</v>
      </c>
      <c r="O444" s="67" t="n"/>
      <c r="P444" s="68" t="n"/>
    </row>
    <row r="445" ht="19.5" customHeight="1" s="45">
      <c r="B445" s="74" t="inlineStr">
        <is>
          <t>PO-0441</t>
        </is>
      </c>
      <c r="C445" s="67" t="inlineStr">
        <is>
          <t>M6-B-01</t>
        </is>
      </c>
      <c r="D445" s="67" t="inlineStr">
        <is>
          <t>M6</t>
        </is>
      </c>
      <c r="E445" s="67" t="inlineStr">
        <is>
          <t>Bepari_Faria</t>
        </is>
      </c>
      <c r="F445" s="67" t="inlineStr">
        <is>
          <t>S05</t>
        </is>
      </c>
      <c r="G445" s="75" t="n">
        <v>17250</v>
      </c>
      <c r="H445" s="75" t="n">
        <v>18750</v>
      </c>
      <c r="I445" s="67" t="inlineStr">
        <is>
          <t>Maund</t>
        </is>
      </c>
      <c r="J445" s="76" t="n">
        <v>462.22</v>
      </c>
      <c r="K445" s="76" t="n">
        <v>502.41</v>
      </c>
      <c r="L445" s="75" t="n">
        <v>2.2</v>
      </c>
      <c r="M445" s="67" t="inlineStr">
        <is>
          <t>Maund</t>
        </is>
      </c>
      <c r="N445" s="76" t="n">
        <v>82.09999999999999</v>
      </c>
      <c r="O445" s="67" t="n"/>
      <c r="P445" s="68" t="n"/>
    </row>
    <row r="446" ht="19.5" customHeight="1" s="45">
      <c r="B446" s="74" t="inlineStr">
        <is>
          <t>PO-0442</t>
        </is>
      </c>
      <c r="C446" s="67" t="inlineStr">
        <is>
          <t>M6-B-01</t>
        </is>
      </c>
      <c r="D446" s="67" t="inlineStr">
        <is>
          <t>M6</t>
        </is>
      </c>
      <c r="E446" s="67" t="inlineStr">
        <is>
          <t>Bepari_Faria</t>
        </is>
      </c>
      <c r="F446" s="67" t="inlineStr">
        <is>
          <t>S06</t>
        </is>
      </c>
      <c r="G446" s="75" t="n">
        <v>12250</v>
      </c>
      <c r="H446" s="75" t="n">
        <v>13250</v>
      </c>
      <c r="I446" s="67" t="inlineStr">
        <is>
          <t>Maund</t>
        </is>
      </c>
      <c r="J446" s="76" t="n">
        <v>328.24</v>
      </c>
      <c r="K446" s="76" t="n">
        <v>355.04</v>
      </c>
      <c r="L446" s="75" t="n">
        <v>1.6</v>
      </c>
      <c r="M446" s="67" t="inlineStr">
        <is>
          <t>Maund</t>
        </is>
      </c>
      <c r="N446" s="76" t="n">
        <v>59.71</v>
      </c>
      <c r="O446" s="67" t="n"/>
      <c r="P446" s="68" t="n"/>
    </row>
    <row r="447" ht="19.5" customHeight="1" s="45">
      <c r="B447" s="74" t="inlineStr">
        <is>
          <t>PO-0443</t>
        </is>
      </c>
      <c r="C447" s="67" t="inlineStr">
        <is>
          <t>M6-B-01</t>
        </is>
      </c>
      <c r="D447" s="67" t="inlineStr">
        <is>
          <t>M6</t>
        </is>
      </c>
      <c r="E447" s="67" t="inlineStr">
        <is>
          <t>Bepari_Faria</t>
        </is>
      </c>
      <c r="F447" s="67" t="inlineStr">
        <is>
          <t>S09</t>
        </is>
      </c>
      <c r="G447" s="75" t="n">
        <v>7500</v>
      </c>
      <c r="H447" s="75" t="n">
        <v>8000</v>
      </c>
      <c r="I447" s="67" t="inlineStr">
        <is>
          <t>Maund</t>
        </is>
      </c>
      <c r="J447" s="76" t="n">
        <v>200.96</v>
      </c>
      <c r="K447" s="76" t="n">
        <v>214.36</v>
      </c>
      <c r="L447" s="75" t="n">
        <v>1.7</v>
      </c>
      <c r="M447" s="67" t="inlineStr">
        <is>
          <t>Maund</t>
        </is>
      </c>
      <c r="N447" s="76" t="n">
        <v>63.44</v>
      </c>
      <c r="O447" s="67" t="n"/>
      <c r="P447" s="68" t="n"/>
    </row>
    <row r="448" ht="19.5" customHeight="1" s="45">
      <c r="B448" s="74" t="inlineStr">
        <is>
          <t>PO-0444</t>
        </is>
      </c>
      <c r="C448" s="67" t="inlineStr">
        <is>
          <t>M6-B-01</t>
        </is>
      </c>
      <c r="D448" s="67" t="inlineStr">
        <is>
          <t>M6</t>
        </is>
      </c>
      <c r="E448" s="67" t="inlineStr">
        <is>
          <t>Bepari_Faria</t>
        </is>
      </c>
      <c r="F448" s="67" t="inlineStr">
        <is>
          <t>S04</t>
        </is>
      </c>
      <c r="G448" s="75" t="inlineStr">
        <is>
          <t>K</t>
        </is>
      </c>
      <c r="H448" s="75" t="inlineStr">
        <is>
          <t>K</t>
        </is>
      </c>
      <c r="I448" s="67" t="n"/>
      <c r="J448" s="76" t="n"/>
      <c r="K448" s="76" t="n"/>
      <c r="L448" s="75" t="n"/>
      <c r="M448" s="67" t="n"/>
      <c r="N448" s="76" t="n"/>
      <c r="O448" s="67" t="n"/>
      <c r="P448" s="68" t="inlineStr">
        <is>
          <t>Species not handled today</t>
        </is>
      </c>
    </row>
    <row r="449" ht="19.5" customHeight="1" s="45">
      <c r="B449" s="74" t="inlineStr">
        <is>
          <t>PO-0445</t>
        </is>
      </c>
      <c r="C449" s="67" t="inlineStr">
        <is>
          <t>M6-B-01</t>
        </is>
      </c>
      <c r="D449" s="67" t="inlineStr">
        <is>
          <t>M6</t>
        </is>
      </c>
      <c r="E449" s="67" t="inlineStr">
        <is>
          <t>Bepari_Faria</t>
        </is>
      </c>
      <c r="F449" s="67" t="inlineStr">
        <is>
          <t>S07</t>
        </is>
      </c>
      <c r="G449" s="75" t="inlineStr">
        <is>
          <t>K</t>
        </is>
      </c>
      <c r="H449" s="75" t="inlineStr">
        <is>
          <t>K</t>
        </is>
      </c>
      <c r="I449" s="67" t="n"/>
      <c r="J449" s="76" t="n"/>
      <c r="K449" s="76" t="n"/>
      <c r="L449" s="75" t="n"/>
      <c r="M449" s="67" t="n"/>
      <c r="N449" s="76" t="n"/>
      <c r="O449" s="67" t="n"/>
      <c r="P449" s="68" t="inlineStr">
        <is>
          <t>Species not handled today</t>
        </is>
      </c>
    </row>
    <row r="450" ht="19.5" customHeight="1" s="45">
      <c r="B450" s="74" t="inlineStr">
        <is>
          <t>PO-0446</t>
        </is>
      </c>
      <c r="C450" s="67" t="inlineStr">
        <is>
          <t>M6-B-02</t>
        </is>
      </c>
      <c r="D450" s="67" t="inlineStr">
        <is>
          <t>M6</t>
        </is>
      </c>
      <c r="E450" s="67" t="inlineStr">
        <is>
          <t>Bepari_Faria</t>
        </is>
      </c>
      <c r="F450" s="67" t="inlineStr">
        <is>
          <t>S01</t>
        </is>
      </c>
      <c r="G450" s="75" t="n">
        <v>42500</v>
      </c>
      <c r="H450" s="75" t="n">
        <v>45250</v>
      </c>
      <c r="I450" s="67" t="inlineStr">
        <is>
          <t>Maund</t>
        </is>
      </c>
      <c r="J450" s="76" t="n">
        <v>1138.8</v>
      </c>
      <c r="K450" s="76" t="n">
        <v>1212.49</v>
      </c>
      <c r="L450" s="75" t="n">
        <v>2.5</v>
      </c>
      <c r="M450" s="67" t="inlineStr">
        <is>
          <t>Maund</t>
        </is>
      </c>
      <c r="N450" s="76" t="n">
        <v>93.3</v>
      </c>
      <c r="O450" s="67" t="n"/>
      <c r="P450" s="68" t="n"/>
    </row>
    <row r="451" ht="19.5" customHeight="1" s="45">
      <c r="B451" s="74" t="inlineStr">
        <is>
          <t>PO-0447</t>
        </is>
      </c>
      <c r="C451" s="67" t="inlineStr">
        <is>
          <t>M6-B-02</t>
        </is>
      </c>
      <c r="D451" s="67" t="inlineStr">
        <is>
          <t>M6</t>
        </is>
      </c>
      <c r="E451" s="67" t="inlineStr">
        <is>
          <t>Bepari_Faria</t>
        </is>
      </c>
      <c r="F451" s="67" t="inlineStr">
        <is>
          <t>S02</t>
        </is>
      </c>
      <c r="G451" s="75" t="n">
        <v>45000</v>
      </c>
      <c r="H451" s="75" t="n">
        <v>50000</v>
      </c>
      <c r="I451" s="67" t="inlineStr">
        <is>
          <t>Maund</t>
        </is>
      </c>
      <c r="J451" s="76" t="n">
        <v>1205.79</v>
      </c>
      <c r="K451" s="76" t="n">
        <v>1339.76</v>
      </c>
      <c r="L451" s="75" t="n">
        <v>2.6</v>
      </c>
      <c r="M451" s="67" t="inlineStr">
        <is>
          <t>Maund</t>
        </is>
      </c>
      <c r="N451" s="76" t="n">
        <v>97.03</v>
      </c>
      <c r="O451" s="67" t="n"/>
      <c r="P451" s="68" t="n"/>
    </row>
    <row r="452" ht="19.5" customHeight="1" s="45">
      <c r="B452" s="74" t="inlineStr">
        <is>
          <t>PO-0448</t>
        </is>
      </c>
      <c r="C452" s="67" t="inlineStr">
        <is>
          <t>M6-B-02</t>
        </is>
      </c>
      <c r="D452" s="67" t="inlineStr">
        <is>
          <t>M6</t>
        </is>
      </c>
      <c r="E452" s="67" t="inlineStr">
        <is>
          <t>Bepari_Faria</t>
        </is>
      </c>
      <c r="F452" s="67" t="inlineStr">
        <is>
          <t>S03</t>
        </is>
      </c>
      <c r="G452" s="75" t="n">
        <v>28500</v>
      </c>
      <c r="H452" s="75" t="n">
        <v>31000</v>
      </c>
      <c r="I452" s="67" t="inlineStr">
        <is>
          <t>Maund</t>
        </is>
      </c>
      <c r="J452" s="76" t="n">
        <v>763.67</v>
      </c>
      <c r="K452" s="76" t="n">
        <v>830.65</v>
      </c>
      <c r="L452" s="75" t="n">
        <v>2.5</v>
      </c>
      <c r="M452" s="67" t="inlineStr">
        <is>
          <t>Maund</t>
        </is>
      </c>
      <c r="N452" s="76" t="n">
        <v>93.3</v>
      </c>
      <c r="O452" s="67" t="n"/>
      <c r="P452" s="68" t="n"/>
    </row>
    <row r="453" ht="19.5" customHeight="1" s="45">
      <c r="B453" s="74" t="inlineStr">
        <is>
          <t>PO-0449</t>
        </is>
      </c>
      <c r="C453" s="67" t="inlineStr">
        <is>
          <t>M6-B-02</t>
        </is>
      </c>
      <c r="D453" s="67" t="inlineStr">
        <is>
          <t>M6</t>
        </is>
      </c>
      <c r="E453" s="67" t="inlineStr">
        <is>
          <t>Bepari_Faria</t>
        </is>
      </c>
      <c r="F453" s="67" t="inlineStr">
        <is>
          <t>S05</t>
        </is>
      </c>
      <c r="G453" s="75" t="n">
        <v>15750</v>
      </c>
      <c r="H453" s="75" t="n">
        <v>17250</v>
      </c>
      <c r="I453" s="67" t="inlineStr">
        <is>
          <t>Maund</t>
        </is>
      </c>
      <c r="J453" s="76" t="n">
        <v>422.03</v>
      </c>
      <c r="K453" s="76" t="n">
        <v>462.22</v>
      </c>
      <c r="L453" s="75" t="n">
        <v>1.5</v>
      </c>
      <c r="M453" s="67" t="inlineStr">
        <is>
          <t>Maund</t>
        </is>
      </c>
      <c r="N453" s="76" t="n">
        <v>55.98</v>
      </c>
      <c r="O453" s="67" t="n"/>
      <c r="P453" s="68" t="n"/>
    </row>
    <row r="454" ht="19.5" customHeight="1" s="45">
      <c r="B454" s="74" t="inlineStr">
        <is>
          <t>PO-0450</t>
        </is>
      </c>
      <c r="C454" s="67" t="inlineStr">
        <is>
          <t>M6-B-02</t>
        </is>
      </c>
      <c r="D454" s="67" t="inlineStr">
        <is>
          <t>M6</t>
        </is>
      </c>
      <c r="E454" s="67" t="inlineStr">
        <is>
          <t>Bepari_Faria</t>
        </is>
      </c>
      <c r="F454" s="67" t="inlineStr">
        <is>
          <t>S06</t>
        </is>
      </c>
      <c r="G454" s="75" t="n">
        <v>12750</v>
      </c>
      <c r="H454" s="75" t="n">
        <v>14250</v>
      </c>
      <c r="I454" s="67" t="inlineStr">
        <is>
          <t>Maund</t>
        </is>
      </c>
      <c r="J454" s="76" t="n">
        <v>341.64</v>
      </c>
      <c r="K454" s="76" t="n">
        <v>381.83</v>
      </c>
      <c r="L454" s="75" t="n">
        <v>1.7</v>
      </c>
      <c r="M454" s="67" t="inlineStr">
        <is>
          <t>Maund</t>
        </is>
      </c>
      <c r="N454" s="76" t="n">
        <v>63.44</v>
      </c>
      <c r="O454" s="67" t="n"/>
      <c r="P454" s="68" t="n"/>
    </row>
    <row r="455" ht="19.5" customHeight="1" s="45">
      <c r="B455" s="74" t="inlineStr">
        <is>
          <t>PO-0451</t>
        </is>
      </c>
      <c r="C455" s="67" t="inlineStr">
        <is>
          <t>M6-B-03</t>
        </is>
      </c>
      <c r="D455" s="67" t="inlineStr">
        <is>
          <t>M6</t>
        </is>
      </c>
      <c r="E455" s="67" t="inlineStr">
        <is>
          <t>Bepari_Faria</t>
        </is>
      </c>
      <c r="F455" s="67" t="inlineStr">
        <is>
          <t>S01</t>
        </is>
      </c>
      <c r="G455" s="75" t="n">
        <v>41500</v>
      </c>
      <c r="H455" s="75" t="n">
        <v>45000</v>
      </c>
      <c r="I455" s="67" t="inlineStr">
        <is>
          <t>Maund</t>
        </is>
      </c>
      <c r="J455" s="76" t="n">
        <v>1112</v>
      </c>
      <c r="K455" s="76" t="n">
        <v>1205.79</v>
      </c>
      <c r="L455" s="75" t="n">
        <v>0.3</v>
      </c>
      <c r="M455" s="67" t="inlineStr">
        <is>
          <t>Maund</t>
        </is>
      </c>
      <c r="N455" s="76" t="n">
        <v>11.2</v>
      </c>
      <c r="O455" s="67" t="n"/>
      <c r="P455" s="68" t="n"/>
    </row>
    <row r="456" ht="19.5" customHeight="1" s="45">
      <c r="B456" s="74" t="inlineStr">
        <is>
          <t>PO-0452</t>
        </is>
      </c>
      <c r="C456" s="67" t="inlineStr">
        <is>
          <t>M6-B-03</t>
        </is>
      </c>
      <c r="D456" s="67" t="inlineStr">
        <is>
          <t>M6</t>
        </is>
      </c>
      <c r="E456" s="67" t="inlineStr">
        <is>
          <t>Bepari_Faria</t>
        </is>
      </c>
      <c r="F456" s="67" t="inlineStr">
        <is>
          <t>S02</t>
        </is>
      </c>
      <c r="G456" s="75" t="n">
        <v>47500</v>
      </c>
      <c r="H456" s="75" t="n">
        <v>53250</v>
      </c>
      <c r="I456" s="67" t="inlineStr">
        <is>
          <t>Maund</t>
        </is>
      </c>
      <c r="J456" s="76" t="n">
        <v>1272.78</v>
      </c>
      <c r="K456" s="76" t="n">
        <v>1426.85</v>
      </c>
      <c r="L456" s="75" t="n">
        <v>0.2</v>
      </c>
      <c r="M456" s="67" t="inlineStr">
        <is>
          <t>Maund</t>
        </is>
      </c>
      <c r="N456" s="76" t="n">
        <v>7.46</v>
      </c>
      <c r="O456" s="67" t="n"/>
      <c r="P456" s="68" t="n"/>
    </row>
    <row r="457" ht="19.5" customHeight="1" s="45">
      <c r="B457" s="74" t="inlineStr">
        <is>
          <t>PO-0453</t>
        </is>
      </c>
      <c r="C457" s="67" t="inlineStr">
        <is>
          <t>M6-B-03</t>
        </is>
      </c>
      <c r="D457" s="67" t="inlineStr">
        <is>
          <t>M6</t>
        </is>
      </c>
      <c r="E457" s="67" t="inlineStr">
        <is>
          <t>Bepari_Faria</t>
        </is>
      </c>
      <c r="F457" s="67" t="inlineStr">
        <is>
          <t>S04</t>
        </is>
      </c>
      <c r="G457" s="75" t="n">
        <v>25500</v>
      </c>
      <c r="H457" s="75" t="n">
        <v>28500</v>
      </c>
      <c r="I457" s="67" t="inlineStr">
        <is>
          <t>Maund</t>
        </is>
      </c>
      <c r="J457" s="76" t="n">
        <v>683.28</v>
      </c>
      <c r="K457" s="76" t="n">
        <v>763.67</v>
      </c>
      <c r="L457" s="75" t="n">
        <v>0.3</v>
      </c>
      <c r="M457" s="67" t="inlineStr">
        <is>
          <t>Maund</t>
        </is>
      </c>
      <c r="N457" s="76" t="n">
        <v>11.2</v>
      </c>
      <c r="O457" s="67" t="n"/>
      <c r="P457" s="68" t="n"/>
    </row>
    <row r="458" ht="19.5" customHeight="1" s="45">
      <c r="B458" s="74" t="inlineStr">
        <is>
          <t>PO-0454</t>
        </is>
      </c>
      <c r="C458" s="67" t="inlineStr">
        <is>
          <t>M6-B-03</t>
        </is>
      </c>
      <c r="D458" s="67" t="inlineStr">
        <is>
          <t>M6</t>
        </is>
      </c>
      <c r="E458" s="67" t="inlineStr">
        <is>
          <t>Bepari_Faria</t>
        </is>
      </c>
      <c r="F458" s="67" t="inlineStr">
        <is>
          <t>S05</t>
        </is>
      </c>
      <c r="G458" s="75" t="n">
        <v>16750</v>
      </c>
      <c r="H458" s="75" t="n">
        <v>18250</v>
      </c>
      <c r="I458" s="67" t="inlineStr">
        <is>
          <t>Maund</t>
        </is>
      </c>
      <c r="J458" s="76" t="n">
        <v>448.82</v>
      </c>
      <c r="K458" s="76" t="n">
        <v>489.01</v>
      </c>
      <c r="L458" s="75" t="n">
        <v>0.1</v>
      </c>
      <c r="M458" s="67" t="inlineStr">
        <is>
          <t>Maund</t>
        </is>
      </c>
      <c r="N458" s="76" t="n">
        <v>3.73</v>
      </c>
      <c r="O458" s="67" t="n"/>
      <c r="P458" s="68" t="n"/>
    </row>
    <row r="459" ht="19.5" customHeight="1" s="45">
      <c r="B459" s="74" t="inlineStr">
        <is>
          <t>PO-0455</t>
        </is>
      </c>
      <c r="C459" s="67" t="inlineStr">
        <is>
          <t>M6-B-03</t>
        </is>
      </c>
      <c r="D459" s="67" t="inlineStr">
        <is>
          <t>M6</t>
        </is>
      </c>
      <c r="E459" s="67" t="inlineStr">
        <is>
          <t>Bepari_Faria</t>
        </is>
      </c>
      <c r="F459" s="67" t="inlineStr">
        <is>
          <t>S06</t>
        </is>
      </c>
      <c r="G459" s="75" t="n">
        <v>12000</v>
      </c>
      <c r="H459" s="75" t="n">
        <v>13750</v>
      </c>
      <c r="I459" s="67" t="inlineStr">
        <is>
          <t>Maund</t>
        </is>
      </c>
      <c r="J459" s="76" t="n">
        <v>321.54</v>
      </c>
      <c r="K459" s="76" t="n">
        <v>368.44</v>
      </c>
      <c r="L459" s="75" t="n">
        <v>0.2</v>
      </c>
      <c r="M459" s="67" t="inlineStr">
        <is>
          <t>Maund</t>
        </is>
      </c>
      <c r="N459" s="76" t="n">
        <v>7.46</v>
      </c>
      <c r="O459" s="67" t="n"/>
      <c r="P459" s="68" t="n"/>
    </row>
    <row r="460" ht="19.5" customHeight="1" s="45">
      <c r="B460" s="74" t="inlineStr">
        <is>
          <t>PO-0456</t>
        </is>
      </c>
      <c r="C460" s="67" t="inlineStr">
        <is>
          <t>M6-B-04</t>
        </is>
      </c>
      <c r="D460" s="67" t="inlineStr">
        <is>
          <t>M6</t>
        </is>
      </c>
      <c r="E460" s="67" t="inlineStr">
        <is>
          <t>Bepari_Faria</t>
        </is>
      </c>
      <c r="F460" s="67" t="inlineStr">
        <is>
          <t>S01</t>
        </is>
      </c>
      <c r="G460" s="75" t="n">
        <v>40750</v>
      </c>
      <c r="H460" s="75" t="n">
        <v>44000</v>
      </c>
      <c r="I460" s="67" t="inlineStr">
        <is>
          <t>Maund</t>
        </is>
      </c>
      <c r="J460" s="76" t="n">
        <v>1091.91</v>
      </c>
      <c r="K460" s="76" t="n">
        <v>1178.99</v>
      </c>
      <c r="L460" s="75" t="n">
        <v>0.3</v>
      </c>
      <c r="M460" s="67" t="inlineStr">
        <is>
          <t>Maund</t>
        </is>
      </c>
      <c r="N460" s="76" t="n">
        <v>11.2</v>
      </c>
      <c r="O460" s="67" t="n"/>
      <c r="P460" s="68" t="n"/>
    </row>
    <row r="461" ht="19.5" customHeight="1" s="45">
      <c r="B461" s="74" t="inlineStr">
        <is>
          <t>PO-0457</t>
        </is>
      </c>
      <c r="C461" s="67" t="inlineStr">
        <is>
          <t>M6-B-04</t>
        </is>
      </c>
      <c r="D461" s="67" t="inlineStr">
        <is>
          <t>M6</t>
        </is>
      </c>
      <c r="E461" s="67" t="inlineStr">
        <is>
          <t>Bepari_Faria</t>
        </is>
      </c>
      <c r="F461" s="67" t="inlineStr">
        <is>
          <t>S02</t>
        </is>
      </c>
      <c r="G461" s="75" t="n">
        <v>42000</v>
      </c>
      <c r="H461" s="75" t="n">
        <v>45500</v>
      </c>
      <c r="I461" s="67" t="inlineStr">
        <is>
          <t>Maund</t>
        </is>
      </c>
      <c r="J461" s="76" t="n">
        <v>1125.4</v>
      </c>
      <c r="K461" s="76" t="n">
        <v>1219.19</v>
      </c>
      <c r="L461" s="75" t="n">
        <v>0.2</v>
      </c>
      <c r="M461" s="67" t="inlineStr">
        <is>
          <t>Maund</t>
        </is>
      </c>
      <c r="N461" s="76" t="n">
        <v>7.46</v>
      </c>
      <c r="O461" s="67" t="n"/>
      <c r="P461" s="68" t="n"/>
    </row>
    <row r="462" ht="19.5" customHeight="1" s="45">
      <c r="B462" s="74" t="inlineStr">
        <is>
          <t>PO-0458</t>
        </is>
      </c>
      <c r="C462" s="67" t="inlineStr">
        <is>
          <t>M6-B-04</t>
        </is>
      </c>
      <c r="D462" s="67" t="inlineStr">
        <is>
          <t>M6</t>
        </is>
      </c>
      <c r="E462" s="67" t="inlineStr">
        <is>
          <t>Bepari_Faria</t>
        </is>
      </c>
      <c r="F462" s="67" t="inlineStr">
        <is>
          <t>S03</t>
        </is>
      </c>
      <c r="G462" s="75" t="n">
        <v>29500</v>
      </c>
      <c r="H462" s="75" t="n">
        <v>31000</v>
      </c>
      <c r="I462" s="67" t="inlineStr">
        <is>
          <t>Maund</t>
        </is>
      </c>
      <c r="J462" s="76" t="n">
        <v>790.46</v>
      </c>
      <c r="K462" s="76" t="n">
        <v>830.65</v>
      </c>
      <c r="L462" s="75" t="n">
        <v>0.4</v>
      </c>
      <c r="M462" s="67" t="inlineStr">
        <is>
          <t>Maund</t>
        </is>
      </c>
      <c r="N462" s="76" t="n">
        <v>14.93</v>
      </c>
      <c r="O462" s="67" t="n"/>
      <c r="P462" s="68" t="n"/>
    </row>
    <row r="463" ht="19.5" customHeight="1" s="45">
      <c r="B463" s="74" t="inlineStr">
        <is>
          <t>PO-0459</t>
        </is>
      </c>
      <c r="C463" s="67" t="inlineStr">
        <is>
          <t>M6-B-04</t>
        </is>
      </c>
      <c r="D463" s="67" t="inlineStr">
        <is>
          <t>M6</t>
        </is>
      </c>
      <c r="E463" s="67" t="inlineStr">
        <is>
          <t>Bepari_Faria</t>
        </is>
      </c>
      <c r="F463" s="67" t="inlineStr">
        <is>
          <t>S05</t>
        </is>
      </c>
      <c r="G463" s="75" t="n">
        <v>16750</v>
      </c>
      <c r="H463" s="75" t="n">
        <v>18000</v>
      </c>
      <c r="I463" s="67" t="inlineStr">
        <is>
          <t>Maund</t>
        </is>
      </c>
      <c r="J463" s="76" t="n">
        <v>448.82</v>
      </c>
      <c r="K463" s="76" t="n">
        <v>482.32</v>
      </c>
      <c r="L463" s="75" t="n">
        <v>0.3</v>
      </c>
      <c r="M463" s="67" t="inlineStr">
        <is>
          <t>Maund</t>
        </is>
      </c>
      <c r="N463" s="76" t="n">
        <v>11.2</v>
      </c>
      <c r="O463" s="67" t="n"/>
      <c r="P463" s="68" t="n"/>
    </row>
    <row r="464" ht="19.5" customHeight="1" s="45">
      <c r="B464" s="74" t="inlineStr">
        <is>
          <t>PO-0460</t>
        </is>
      </c>
      <c r="C464" s="67" t="inlineStr">
        <is>
          <t>M6-B-04</t>
        </is>
      </c>
      <c r="D464" s="67" t="inlineStr">
        <is>
          <t>M6</t>
        </is>
      </c>
      <c r="E464" s="67" t="inlineStr">
        <is>
          <t>Bepari_Faria</t>
        </is>
      </c>
      <c r="F464" s="67" t="inlineStr">
        <is>
          <t>S06</t>
        </is>
      </c>
      <c r="G464" s="75" t="n">
        <v>13000</v>
      </c>
      <c r="H464" s="75" t="n">
        <v>14250</v>
      </c>
      <c r="I464" s="67" t="inlineStr">
        <is>
          <t>Maund</t>
        </is>
      </c>
      <c r="J464" s="76" t="n">
        <v>348.34</v>
      </c>
      <c r="K464" s="76" t="n">
        <v>381.83</v>
      </c>
      <c r="L464" s="75" t="n">
        <v>0.5</v>
      </c>
      <c r="M464" s="67" t="inlineStr">
        <is>
          <t>Maund</t>
        </is>
      </c>
      <c r="N464" s="76" t="n">
        <v>18.66</v>
      </c>
      <c r="O464" s="67" t="n"/>
      <c r="P464" s="68" t="n"/>
    </row>
    <row r="465" ht="19.5" customHeight="1" s="45">
      <c r="B465" s="74" t="inlineStr">
        <is>
          <t>PO-0461</t>
        </is>
      </c>
      <c r="C465" s="67" t="inlineStr">
        <is>
          <t>M6-B-05</t>
        </is>
      </c>
      <c r="D465" s="67" t="inlineStr">
        <is>
          <t>M6</t>
        </is>
      </c>
      <c r="E465" s="67" t="inlineStr">
        <is>
          <t>Bepari_Faria</t>
        </is>
      </c>
      <c r="F465" s="67" t="inlineStr">
        <is>
          <t>S01</t>
        </is>
      </c>
      <c r="G465" s="75" t="n">
        <v>44000</v>
      </c>
      <c r="H465" s="75" t="n">
        <v>48750</v>
      </c>
      <c r="I465" s="67" t="inlineStr">
        <is>
          <t>Maund</t>
        </is>
      </c>
      <c r="J465" s="76" t="n">
        <v>1178.99</v>
      </c>
      <c r="K465" s="76" t="n">
        <v>1306.27</v>
      </c>
      <c r="L465" s="75" t="n">
        <v>0.8</v>
      </c>
      <c r="M465" s="67" t="inlineStr">
        <is>
          <t>Maund</t>
        </is>
      </c>
      <c r="N465" s="76" t="n">
        <v>29.86</v>
      </c>
      <c r="O465" s="67" t="n"/>
      <c r="P465" s="68" t="n"/>
    </row>
    <row r="466" ht="19.5" customHeight="1" s="45">
      <c r="B466" s="74" t="inlineStr">
        <is>
          <t>PO-0462</t>
        </is>
      </c>
      <c r="C466" s="67" t="inlineStr">
        <is>
          <t>M6-B-05</t>
        </is>
      </c>
      <c r="D466" s="67" t="inlineStr">
        <is>
          <t>M6</t>
        </is>
      </c>
      <c r="E466" s="67" t="inlineStr">
        <is>
          <t>Bepari_Faria</t>
        </is>
      </c>
      <c r="F466" s="67" t="inlineStr">
        <is>
          <t>S04</t>
        </is>
      </c>
      <c r="G466" s="75" t="n">
        <v>25000</v>
      </c>
      <c r="H466" s="75" t="n">
        <v>27750</v>
      </c>
      <c r="I466" s="67" t="inlineStr">
        <is>
          <t>Maund</t>
        </is>
      </c>
      <c r="J466" s="76" t="n">
        <v>669.88</v>
      </c>
      <c r="K466" s="76" t="n">
        <v>743.5700000000001</v>
      </c>
      <c r="L466" s="75" t="n">
        <v>0.4</v>
      </c>
      <c r="M466" s="67" t="inlineStr">
        <is>
          <t>Maund</t>
        </is>
      </c>
      <c r="N466" s="76" t="n">
        <v>14.93</v>
      </c>
      <c r="O466" s="67" t="n"/>
      <c r="P466" s="68" t="n"/>
    </row>
    <row r="467" ht="19.5" customHeight="1" s="45">
      <c r="B467" s="74" t="inlineStr">
        <is>
          <t>PO-0463</t>
        </is>
      </c>
      <c r="C467" s="67" t="inlineStr">
        <is>
          <t>M6-B-05</t>
        </is>
      </c>
      <c r="D467" s="67" t="inlineStr">
        <is>
          <t>M6</t>
        </is>
      </c>
      <c r="E467" s="67" t="inlineStr">
        <is>
          <t>Bepari_Faria</t>
        </is>
      </c>
      <c r="F467" s="67" t="inlineStr">
        <is>
          <t>S05</t>
        </is>
      </c>
      <c r="G467" s="75" t="n">
        <v>17750</v>
      </c>
      <c r="H467" s="75" t="n">
        <v>19000</v>
      </c>
      <c r="I467" s="67" t="inlineStr">
        <is>
          <t>Maund</t>
        </is>
      </c>
      <c r="J467" s="76" t="n">
        <v>475.62</v>
      </c>
      <c r="K467" s="76" t="n">
        <v>509.11</v>
      </c>
      <c r="L467" s="75" t="n">
        <v>1</v>
      </c>
      <c r="M467" s="67" t="inlineStr">
        <is>
          <t>Maund</t>
        </is>
      </c>
      <c r="N467" s="76" t="n">
        <v>37.32</v>
      </c>
      <c r="O467" s="67" t="n"/>
      <c r="P467" s="68" t="n"/>
    </row>
    <row r="468" ht="19.5" customHeight="1" s="45">
      <c r="B468" s="74" t="inlineStr">
        <is>
          <t>PO-0464</t>
        </is>
      </c>
      <c r="C468" s="67" t="inlineStr">
        <is>
          <t>M6-B-05</t>
        </is>
      </c>
      <c r="D468" s="67" t="inlineStr">
        <is>
          <t>M6</t>
        </is>
      </c>
      <c r="E468" s="67" t="inlineStr">
        <is>
          <t>Bepari_Faria</t>
        </is>
      </c>
      <c r="F468" s="67" t="inlineStr">
        <is>
          <t>S06</t>
        </is>
      </c>
      <c r="G468" s="75" t="n">
        <v>12250</v>
      </c>
      <c r="H468" s="75" t="n">
        <v>13500</v>
      </c>
      <c r="I468" s="67" t="inlineStr">
        <is>
          <t>Maund</t>
        </is>
      </c>
      <c r="J468" s="76" t="n">
        <v>328.24</v>
      </c>
      <c r="K468" s="76" t="n">
        <v>361.74</v>
      </c>
      <c r="L468" s="75" t="n">
        <v>0.7</v>
      </c>
      <c r="M468" s="67" t="inlineStr">
        <is>
          <t>Maund</t>
        </is>
      </c>
      <c r="N468" s="76" t="n">
        <v>26.12</v>
      </c>
      <c r="O468" s="67" t="n"/>
      <c r="P468" s="68" t="n"/>
    </row>
    <row r="469" ht="19.5" customHeight="1" s="45">
      <c r="B469" s="74" t="inlineStr">
        <is>
          <t>PO-0465</t>
        </is>
      </c>
      <c r="C469" s="67" t="inlineStr">
        <is>
          <t>M6-B-05</t>
        </is>
      </c>
      <c r="D469" s="67" t="inlineStr">
        <is>
          <t>M6</t>
        </is>
      </c>
      <c r="E469" s="67" t="inlineStr">
        <is>
          <t>Bepari_Faria</t>
        </is>
      </c>
      <c r="F469" s="67" t="inlineStr">
        <is>
          <t>S09</t>
        </is>
      </c>
      <c r="G469" s="75" t="n">
        <v>7600</v>
      </c>
      <c r="H469" s="75" t="n">
        <v>8400</v>
      </c>
      <c r="I469" s="67" t="inlineStr">
        <is>
          <t>Maund</t>
        </is>
      </c>
      <c r="J469" s="76" t="n">
        <v>203.64</v>
      </c>
      <c r="K469" s="76" t="n">
        <v>225.08</v>
      </c>
      <c r="L469" s="75" t="n">
        <v>0.8</v>
      </c>
      <c r="M469" s="67" t="inlineStr">
        <is>
          <t>Maund</t>
        </is>
      </c>
      <c r="N469" s="76" t="n">
        <v>29.86</v>
      </c>
      <c r="O469" s="67" t="n"/>
      <c r="P469" s="68" t="n"/>
    </row>
    <row r="470" ht="19.5" customHeight="1" s="45">
      <c r="B470" s="74" t="inlineStr">
        <is>
          <t>PO-0466</t>
        </is>
      </c>
      <c r="C470" s="67" t="inlineStr">
        <is>
          <t>M6-B-05</t>
        </is>
      </c>
      <c r="D470" s="67" t="inlineStr">
        <is>
          <t>M6</t>
        </is>
      </c>
      <c r="E470" s="67" t="inlineStr">
        <is>
          <t>Bepari_Faria</t>
        </is>
      </c>
      <c r="F470" s="67" t="inlineStr">
        <is>
          <t>S07</t>
        </is>
      </c>
      <c r="G470" s="75" t="inlineStr">
        <is>
          <t>K</t>
        </is>
      </c>
      <c r="H470" s="75" t="inlineStr">
        <is>
          <t>K</t>
        </is>
      </c>
      <c r="I470" s="67" t="n"/>
      <c r="J470" s="76" t="n"/>
      <c r="K470" s="76" t="n"/>
      <c r="L470" s="75" t="n"/>
      <c r="M470" s="67" t="n"/>
      <c r="N470" s="76" t="n"/>
      <c r="O470" s="67" t="n"/>
      <c r="P470" s="68" t="inlineStr">
        <is>
          <t>Species not handled today</t>
        </is>
      </c>
    </row>
    <row r="471" ht="19.5" customHeight="1" s="45">
      <c r="B471" s="74" t="inlineStr">
        <is>
          <t>PO-0467</t>
        </is>
      </c>
      <c r="C471" s="67" t="inlineStr">
        <is>
          <t>M6-R-01</t>
        </is>
      </c>
      <c r="D471" s="67" t="inlineStr">
        <is>
          <t>M6</t>
        </is>
      </c>
      <c r="E471" s="67" t="inlineStr">
        <is>
          <t>Khuchra</t>
        </is>
      </c>
      <c r="F471" s="67" t="inlineStr">
        <is>
          <t>S01</t>
        </is>
      </c>
      <c r="G471" s="75" t="n">
        <v>1220</v>
      </c>
      <c r="H471" s="75" t="n">
        <v>1400</v>
      </c>
      <c r="I471" s="67" t="inlineStr">
        <is>
          <t>Kg</t>
        </is>
      </c>
      <c r="J471" s="76" t="n">
        <v>1220</v>
      </c>
      <c r="K471" s="76" t="n">
        <v>1400</v>
      </c>
      <c r="L471" s="75" t="n">
        <v>10</v>
      </c>
      <c r="M471" s="67" t="inlineStr">
        <is>
          <t>Kg</t>
        </is>
      </c>
      <c r="N471" s="76" t="n">
        <v>10</v>
      </c>
      <c r="O471" s="67" t="n"/>
      <c r="P471" s="68" t="n"/>
    </row>
    <row r="472" ht="19.5" customHeight="1" s="45">
      <c r="B472" s="74" t="inlineStr">
        <is>
          <t>PO-0468</t>
        </is>
      </c>
      <c r="C472" s="67" t="inlineStr">
        <is>
          <t>M6-R-01</t>
        </is>
      </c>
      <c r="D472" s="67" t="inlineStr">
        <is>
          <t>M6</t>
        </is>
      </c>
      <c r="E472" s="67" t="inlineStr">
        <is>
          <t>Khuchra</t>
        </is>
      </c>
      <c r="F472" s="67" t="inlineStr">
        <is>
          <t>S02</t>
        </is>
      </c>
      <c r="G472" s="75" t="n">
        <v>1310</v>
      </c>
      <c r="H472" s="75" t="n">
        <v>1430</v>
      </c>
      <c r="I472" s="67" t="inlineStr">
        <is>
          <t>Kg</t>
        </is>
      </c>
      <c r="J472" s="76" t="n">
        <v>1310</v>
      </c>
      <c r="K472" s="76" t="n">
        <v>1430</v>
      </c>
      <c r="L472" s="75" t="n">
        <v>10</v>
      </c>
      <c r="M472" s="67" t="inlineStr">
        <is>
          <t>Kg</t>
        </is>
      </c>
      <c r="N472" s="76" t="n">
        <v>10</v>
      </c>
      <c r="O472" s="67" t="n"/>
      <c r="P472" s="68" t="n"/>
    </row>
    <row r="473" ht="19.5" customHeight="1" s="45">
      <c r="B473" s="74" t="inlineStr">
        <is>
          <t>PO-0469</t>
        </is>
      </c>
      <c r="C473" s="67" t="inlineStr">
        <is>
          <t>M6-R-01</t>
        </is>
      </c>
      <c r="D473" s="67" t="inlineStr">
        <is>
          <t>M6</t>
        </is>
      </c>
      <c r="E473" s="67" t="inlineStr">
        <is>
          <t>Khuchra</t>
        </is>
      </c>
      <c r="F473" s="67" t="inlineStr">
        <is>
          <t>S03</t>
        </is>
      </c>
      <c r="G473" s="75" t="n">
        <v>795</v>
      </c>
      <c r="H473" s="75" t="n">
        <v>1010</v>
      </c>
      <c r="I473" s="67" t="inlineStr">
        <is>
          <t>Kg</t>
        </is>
      </c>
      <c r="J473" s="76" t="n">
        <v>795</v>
      </c>
      <c r="K473" s="76" t="n">
        <v>1010</v>
      </c>
      <c r="L473" s="75" t="n">
        <v>10</v>
      </c>
      <c r="M473" s="67" t="inlineStr">
        <is>
          <t>Kg</t>
        </is>
      </c>
      <c r="N473" s="76" t="n">
        <v>10</v>
      </c>
      <c r="O473" s="67" t="inlineStr">
        <is>
          <t>PAIR-M6-01</t>
        </is>
      </c>
      <c r="P473" s="68" t="n"/>
    </row>
    <row r="474" ht="19.5" customHeight="1" s="45">
      <c r="B474" s="74" t="inlineStr">
        <is>
          <t>PO-0470</t>
        </is>
      </c>
      <c r="C474" s="67" t="inlineStr">
        <is>
          <t>M6-R-01</t>
        </is>
      </c>
      <c r="D474" s="67" t="inlineStr">
        <is>
          <t>M6</t>
        </is>
      </c>
      <c r="E474" s="67" t="inlineStr">
        <is>
          <t>Khuchra</t>
        </is>
      </c>
      <c r="F474" s="67" t="inlineStr">
        <is>
          <t>S04</t>
        </is>
      </c>
      <c r="G474" s="75" t="n">
        <v>725</v>
      </c>
      <c r="H474" s="75" t="n">
        <v>840</v>
      </c>
      <c r="I474" s="67" t="inlineStr">
        <is>
          <t>Kg</t>
        </is>
      </c>
      <c r="J474" s="76" t="n">
        <v>725</v>
      </c>
      <c r="K474" s="76" t="n">
        <v>840</v>
      </c>
      <c r="L474" s="75" t="n">
        <v>15</v>
      </c>
      <c r="M474" s="67" t="inlineStr">
        <is>
          <t>Kg</t>
        </is>
      </c>
      <c r="N474" s="76" t="n">
        <v>15</v>
      </c>
      <c r="O474" s="67" t="n"/>
      <c r="P474" s="68" t="n"/>
    </row>
    <row r="475" ht="19.5" customHeight="1" s="45">
      <c r="B475" s="74" t="inlineStr">
        <is>
          <t>PO-0471</t>
        </is>
      </c>
      <c r="C475" s="67" t="inlineStr">
        <is>
          <t>M6-R-01</t>
        </is>
      </c>
      <c r="D475" s="67" t="inlineStr">
        <is>
          <t>M6</t>
        </is>
      </c>
      <c r="E475" s="67" t="inlineStr">
        <is>
          <t>Khuchra</t>
        </is>
      </c>
      <c r="F475" s="67" t="inlineStr">
        <is>
          <t>S05</t>
        </is>
      </c>
      <c r="G475" s="75" t="n">
        <v>460</v>
      </c>
      <c r="H475" s="75" t="n">
        <v>535</v>
      </c>
      <c r="I475" s="67" t="inlineStr">
        <is>
          <t>Kg</t>
        </is>
      </c>
      <c r="J475" s="76" t="n">
        <v>460</v>
      </c>
      <c r="K475" s="76" t="n">
        <v>535</v>
      </c>
      <c r="L475" s="75" t="n">
        <v>5</v>
      </c>
      <c r="M475" s="67" t="inlineStr">
        <is>
          <t>Kg</t>
        </is>
      </c>
      <c r="N475" s="76" t="n">
        <v>5</v>
      </c>
      <c r="O475" s="67" t="n"/>
      <c r="P475" s="68" t="n"/>
    </row>
    <row r="476" ht="19.5" customHeight="1" s="45">
      <c r="B476" s="74" t="inlineStr">
        <is>
          <t>PO-0472</t>
        </is>
      </c>
      <c r="C476" s="67" t="inlineStr">
        <is>
          <t>M6-R-02</t>
        </is>
      </c>
      <c r="D476" s="67" t="inlineStr">
        <is>
          <t>M6</t>
        </is>
      </c>
      <c r="E476" s="67" t="inlineStr">
        <is>
          <t>Khuchra</t>
        </is>
      </c>
      <c r="F476" s="67" t="inlineStr">
        <is>
          <t>S01</t>
        </is>
      </c>
      <c r="G476" s="75" t="n">
        <v>45250</v>
      </c>
      <c r="H476" s="75" t="n">
        <v>51000</v>
      </c>
      <c r="I476" s="67" t="inlineStr">
        <is>
          <t>Maund</t>
        </is>
      </c>
      <c r="J476" s="76" t="n">
        <v>1212.49</v>
      </c>
      <c r="K476" s="76" t="n">
        <v>1366.56</v>
      </c>
      <c r="L476" s="75" t="n">
        <v>0.6</v>
      </c>
      <c r="M476" s="67" t="inlineStr">
        <is>
          <t>Maund</t>
        </is>
      </c>
      <c r="N476" s="76" t="n">
        <v>22.39</v>
      </c>
      <c r="O476" s="67" t="n"/>
      <c r="P476" s="68" t="n"/>
    </row>
    <row r="477" ht="19.5" customHeight="1" s="45">
      <c r="B477" s="74" t="inlineStr">
        <is>
          <t>PO-0473</t>
        </is>
      </c>
      <c r="C477" s="67" t="inlineStr">
        <is>
          <t>M6-R-02</t>
        </is>
      </c>
      <c r="D477" s="67" t="inlineStr">
        <is>
          <t>M6</t>
        </is>
      </c>
      <c r="E477" s="67" t="inlineStr">
        <is>
          <t>Khuchra</t>
        </is>
      </c>
      <c r="F477" s="67" t="inlineStr">
        <is>
          <t>S02</t>
        </is>
      </c>
      <c r="G477" s="75" t="n">
        <v>47500</v>
      </c>
      <c r="H477" s="75" t="n">
        <v>53750</v>
      </c>
      <c r="I477" s="67" t="inlineStr">
        <is>
          <t>Maund</t>
        </is>
      </c>
      <c r="J477" s="76" t="n">
        <v>1272.78</v>
      </c>
      <c r="K477" s="76" t="n">
        <v>1440.25</v>
      </c>
      <c r="L477" s="75" t="n">
        <v>0.4</v>
      </c>
      <c r="M477" s="67" t="inlineStr">
        <is>
          <t>Maund</t>
        </is>
      </c>
      <c r="N477" s="76" t="n">
        <v>14.93</v>
      </c>
      <c r="O477" s="67" t="n"/>
      <c r="P477" s="68" t="n"/>
    </row>
    <row r="478" ht="19.5" customHeight="1" s="45">
      <c r="B478" s="74" t="inlineStr">
        <is>
          <t>PO-0474</t>
        </is>
      </c>
      <c r="C478" s="67" t="inlineStr">
        <is>
          <t>M6-R-02</t>
        </is>
      </c>
      <c r="D478" s="67" t="inlineStr">
        <is>
          <t>M6</t>
        </is>
      </c>
      <c r="E478" s="67" t="inlineStr">
        <is>
          <t>Khuchra</t>
        </is>
      </c>
      <c r="F478" s="67" t="inlineStr">
        <is>
          <t>S04</t>
        </is>
      </c>
      <c r="G478" s="75" t="n">
        <v>28750</v>
      </c>
      <c r="H478" s="75" t="n">
        <v>32500</v>
      </c>
      <c r="I478" s="67" t="inlineStr">
        <is>
          <t>Maund</t>
        </is>
      </c>
      <c r="J478" s="76" t="n">
        <v>770.36</v>
      </c>
      <c r="K478" s="76" t="n">
        <v>870.85</v>
      </c>
      <c r="L478" s="75" t="n">
        <v>0.7</v>
      </c>
      <c r="M478" s="67" t="inlineStr">
        <is>
          <t>Maund</t>
        </is>
      </c>
      <c r="N478" s="76" t="n">
        <v>26.12</v>
      </c>
      <c r="O478" s="67" t="n"/>
      <c r="P478" s="68" t="n"/>
    </row>
    <row r="479" ht="19.5" customHeight="1" s="45">
      <c r="B479" s="74" t="inlineStr">
        <is>
          <t>PO-0475</t>
        </is>
      </c>
      <c r="C479" s="67" t="inlineStr">
        <is>
          <t>M6-R-02</t>
        </is>
      </c>
      <c r="D479" s="67" t="inlineStr">
        <is>
          <t>M6</t>
        </is>
      </c>
      <c r="E479" s="67" t="inlineStr">
        <is>
          <t>Khuchra</t>
        </is>
      </c>
      <c r="F479" s="67" t="inlineStr">
        <is>
          <t>S05</t>
        </is>
      </c>
      <c r="G479" s="75" t="n">
        <v>17500</v>
      </c>
      <c r="H479" s="75" t="n">
        <v>19750</v>
      </c>
      <c r="I479" s="67" t="inlineStr">
        <is>
          <t>Maund</t>
        </is>
      </c>
      <c r="J479" s="76" t="n">
        <v>468.92</v>
      </c>
      <c r="K479" s="76" t="n">
        <v>529.21</v>
      </c>
      <c r="L479" s="75" t="n">
        <v>0.4</v>
      </c>
      <c r="M479" s="67" t="inlineStr">
        <is>
          <t>Maund</t>
        </is>
      </c>
      <c r="N479" s="76" t="n">
        <v>14.93</v>
      </c>
      <c r="O479" s="67" t="n"/>
      <c r="P479" s="68" t="n"/>
    </row>
    <row r="480" ht="19.5" customHeight="1" s="45">
      <c r="B480" s="74" t="inlineStr">
        <is>
          <t>PO-0476</t>
        </is>
      </c>
      <c r="C480" s="67" t="inlineStr">
        <is>
          <t>M6-R-02</t>
        </is>
      </c>
      <c r="D480" s="67" t="inlineStr">
        <is>
          <t>M6</t>
        </is>
      </c>
      <c r="E480" s="67" t="inlineStr">
        <is>
          <t>Khuchra</t>
        </is>
      </c>
      <c r="F480" s="67" t="inlineStr">
        <is>
          <t>S06</t>
        </is>
      </c>
      <c r="G480" s="75" t="n">
        <v>14250</v>
      </c>
      <c r="H480" s="75" t="n">
        <v>16500</v>
      </c>
      <c r="I480" s="67" t="inlineStr">
        <is>
          <t>Maund</t>
        </is>
      </c>
      <c r="J480" s="76" t="n">
        <v>381.83</v>
      </c>
      <c r="K480" s="76" t="n">
        <v>442.12</v>
      </c>
      <c r="L480" s="75" t="n">
        <v>0.5</v>
      </c>
      <c r="M480" s="67" t="inlineStr">
        <is>
          <t>Maund</t>
        </is>
      </c>
      <c r="N480" s="76" t="n">
        <v>18.66</v>
      </c>
      <c r="O480" s="67" t="n"/>
      <c r="P480" s="68" t="n"/>
    </row>
    <row r="481" ht="19.5" customHeight="1" s="45">
      <c r="B481" s="74" t="inlineStr">
        <is>
          <t>PO-0477</t>
        </is>
      </c>
      <c r="C481" s="67" t="inlineStr">
        <is>
          <t>M6-R-03</t>
        </is>
      </c>
      <c r="D481" s="67" t="inlineStr">
        <is>
          <t>M6</t>
        </is>
      </c>
      <c r="E481" s="67" t="inlineStr">
        <is>
          <t>Khuchra</t>
        </is>
      </c>
      <c r="F481" s="67" t="inlineStr">
        <is>
          <t>S02</t>
        </is>
      </c>
      <c r="G481" s="75" t="n">
        <v>1320</v>
      </c>
      <c r="H481" s="75" t="n">
        <v>1535</v>
      </c>
      <c r="I481" s="67" t="inlineStr">
        <is>
          <t>Kg</t>
        </is>
      </c>
      <c r="J481" s="76" t="n">
        <v>1320</v>
      </c>
      <c r="K481" s="76" t="n">
        <v>1535</v>
      </c>
      <c r="L481" s="75" t="n">
        <v>25</v>
      </c>
      <c r="M481" s="67" t="inlineStr">
        <is>
          <t>Kg</t>
        </is>
      </c>
      <c r="N481" s="76" t="n">
        <v>25</v>
      </c>
      <c r="O481" s="67" t="n"/>
      <c r="P481" s="68" t="n"/>
    </row>
    <row r="482" ht="19.5" customHeight="1" s="45">
      <c r="B482" s="74" t="inlineStr">
        <is>
          <t>PO-0478</t>
        </is>
      </c>
      <c r="C482" s="67" t="inlineStr">
        <is>
          <t>M6-R-03</t>
        </is>
      </c>
      <c r="D482" s="67" t="inlineStr">
        <is>
          <t>M6</t>
        </is>
      </c>
      <c r="E482" s="67" t="inlineStr">
        <is>
          <t>Khuchra</t>
        </is>
      </c>
      <c r="F482" s="67" t="inlineStr">
        <is>
          <t>S04</t>
        </is>
      </c>
      <c r="G482" s="75" t="n">
        <v>745</v>
      </c>
      <c r="H482" s="75" t="n">
        <v>855</v>
      </c>
      <c r="I482" s="67" t="inlineStr">
        <is>
          <t>Kg</t>
        </is>
      </c>
      <c r="J482" s="76" t="n">
        <v>745</v>
      </c>
      <c r="K482" s="76" t="n">
        <v>855</v>
      </c>
      <c r="L482" s="75" t="n">
        <v>25</v>
      </c>
      <c r="M482" s="67" t="inlineStr">
        <is>
          <t>Kg</t>
        </is>
      </c>
      <c r="N482" s="76" t="n">
        <v>25</v>
      </c>
      <c r="O482" s="67" t="n"/>
      <c r="P482" s="68" t="n"/>
    </row>
    <row r="483" ht="19.5" customHeight="1" s="45">
      <c r="B483" s="74" t="inlineStr">
        <is>
          <t>PO-0479</t>
        </is>
      </c>
      <c r="C483" s="67" t="inlineStr">
        <is>
          <t>M6-R-03</t>
        </is>
      </c>
      <c r="D483" s="67" t="inlineStr">
        <is>
          <t>M6</t>
        </is>
      </c>
      <c r="E483" s="67" t="inlineStr">
        <is>
          <t>Khuchra</t>
        </is>
      </c>
      <c r="F483" s="67" t="inlineStr">
        <is>
          <t>S05</t>
        </is>
      </c>
      <c r="G483" s="75" t="n">
        <v>475</v>
      </c>
      <c r="H483" s="75" t="inlineStr">
        <is>
          <t>D</t>
        </is>
      </c>
      <c r="I483" s="67" t="inlineStr">
        <is>
          <t>Kg</t>
        </is>
      </c>
      <c r="J483" s="76" t="n">
        <v>475</v>
      </c>
      <c r="K483" s="76" t="n"/>
      <c r="L483" s="75" t="n">
        <v>15</v>
      </c>
      <c r="M483" s="67" t="inlineStr">
        <is>
          <t>Kg</t>
        </is>
      </c>
      <c r="N483" s="76" t="n">
        <v>15</v>
      </c>
      <c r="O483" s="67" t="n"/>
      <c r="P483" s="68" t="n"/>
    </row>
    <row r="484" ht="19.5" customHeight="1" s="45">
      <c r="B484" s="74" t="inlineStr">
        <is>
          <t>PO-0480</t>
        </is>
      </c>
      <c r="C484" s="67" t="inlineStr">
        <is>
          <t>M6-R-03</t>
        </is>
      </c>
      <c r="D484" s="67" t="inlineStr">
        <is>
          <t>M6</t>
        </is>
      </c>
      <c r="E484" s="67" t="inlineStr">
        <is>
          <t>Khuchra</t>
        </is>
      </c>
      <c r="F484" s="67" t="inlineStr">
        <is>
          <t>S06</t>
        </is>
      </c>
      <c r="G484" s="75" t="n">
        <v>395</v>
      </c>
      <c r="H484" s="75" t="n">
        <v>450</v>
      </c>
      <c r="I484" s="67" t="inlineStr">
        <is>
          <t>Kg</t>
        </is>
      </c>
      <c r="J484" s="76" t="n">
        <v>395</v>
      </c>
      <c r="K484" s="76" t="n">
        <v>450</v>
      </c>
      <c r="L484" s="75" t="n">
        <v>25</v>
      </c>
      <c r="M484" s="67" t="inlineStr">
        <is>
          <t>Kg</t>
        </is>
      </c>
      <c r="N484" s="76" t="n">
        <v>25</v>
      </c>
      <c r="O484" s="67" t="n"/>
      <c r="P484" s="68" t="n"/>
    </row>
    <row r="485" ht="19.5" customHeight="1" s="45">
      <c r="B485" s="74" t="inlineStr">
        <is>
          <t>PO-0481</t>
        </is>
      </c>
      <c r="C485" s="67" t="inlineStr">
        <is>
          <t>M6-R-03</t>
        </is>
      </c>
      <c r="D485" s="67" t="inlineStr">
        <is>
          <t>M6</t>
        </is>
      </c>
      <c r="E485" s="67" t="inlineStr">
        <is>
          <t>Khuchra</t>
        </is>
      </c>
      <c r="F485" s="67" t="inlineStr">
        <is>
          <t>S07</t>
        </is>
      </c>
      <c r="G485" s="75" t="n">
        <v>435</v>
      </c>
      <c r="H485" s="75" t="n">
        <v>490</v>
      </c>
      <c r="I485" s="67" t="inlineStr">
        <is>
          <t>Kg</t>
        </is>
      </c>
      <c r="J485" s="76" t="n">
        <v>435</v>
      </c>
      <c r="K485" s="76" t="n">
        <v>490</v>
      </c>
      <c r="L485" s="75" t="n">
        <v>15</v>
      </c>
      <c r="M485" s="67" t="inlineStr">
        <is>
          <t>Kg</t>
        </is>
      </c>
      <c r="N485" s="76" t="n">
        <v>15</v>
      </c>
      <c r="O485" s="67" t="n"/>
      <c r="P485" s="68" t="n"/>
    </row>
    <row r="486" ht="19.5" customHeight="1" s="45">
      <c r="B486" s="74" t="inlineStr">
        <is>
          <t>PO-0482</t>
        </is>
      </c>
      <c r="C486" s="67" t="inlineStr">
        <is>
          <t>M6-R-04</t>
        </is>
      </c>
      <c r="D486" s="67" t="inlineStr">
        <is>
          <t>M6</t>
        </is>
      </c>
      <c r="E486" s="67" t="inlineStr">
        <is>
          <t>Khuchra</t>
        </is>
      </c>
      <c r="F486" s="67" t="inlineStr">
        <is>
          <t>S01</t>
        </is>
      </c>
      <c r="G486" s="75" t="n">
        <v>1260</v>
      </c>
      <c r="H486" s="75" t="inlineStr">
        <is>
          <t>K</t>
        </is>
      </c>
      <c r="I486" s="67" t="inlineStr">
        <is>
          <t>Kg</t>
        </is>
      </c>
      <c r="J486" s="76" t="n">
        <v>1260</v>
      </c>
      <c r="K486" s="76" t="n"/>
      <c r="L486" s="75" t="n">
        <v>10</v>
      </c>
      <c r="M486" s="67" t="inlineStr">
        <is>
          <t>Kg</t>
        </is>
      </c>
      <c r="N486" s="76" t="n">
        <v>10</v>
      </c>
      <c r="O486" s="67" t="n"/>
      <c r="P486" s="68" t="n"/>
    </row>
    <row r="487" ht="19.5" customHeight="1" s="45">
      <c r="B487" s="74" t="inlineStr">
        <is>
          <t>PO-0483</t>
        </is>
      </c>
      <c r="C487" s="67" t="inlineStr">
        <is>
          <t>M6-R-04</t>
        </is>
      </c>
      <c r="D487" s="67" t="inlineStr">
        <is>
          <t>M6</t>
        </is>
      </c>
      <c r="E487" s="67" t="inlineStr">
        <is>
          <t>Khuchra</t>
        </is>
      </c>
      <c r="F487" s="67" t="inlineStr">
        <is>
          <t>S02</t>
        </is>
      </c>
      <c r="G487" s="75" t="n">
        <v>1330</v>
      </c>
      <c r="H487" s="75" t="n">
        <v>1460</v>
      </c>
      <c r="I487" s="67" t="inlineStr">
        <is>
          <t>Kg</t>
        </is>
      </c>
      <c r="J487" s="76" t="n">
        <v>1330</v>
      </c>
      <c r="K487" s="76" t="n">
        <v>1460</v>
      </c>
      <c r="L487" s="75" t="n">
        <v>10</v>
      </c>
      <c r="M487" s="67" t="inlineStr">
        <is>
          <t>Kg</t>
        </is>
      </c>
      <c r="N487" s="76" t="n">
        <v>10</v>
      </c>
      <c r="O487" s="67" t="n"/>
      <c r="P487" s="68" t="n"/>
    </row>
    <row r="488" ht="19.5" customHeight="1" s="45">
      <c r="B488" s="74" t="inlineStr">
        <is>
          <t>PO-0484</t>
        </is>
      </c>
      <c r="C488" s="67" t="inlineStr">
        <is>
          <t>M6-R-04</t>
        </is>
      </c>
      <c r="D488" s="67" t="inlineStr">
        <is>
          <t>M6</t>
        </is>
      </c>
      <c r="E488" s="67" t="inlineStr">
        <is>
          <t>Khuchra</t>
        </is>
      </c>
      <c r="F488" s="67" t="inlineStr">
        <is>
          <t>S04</t>
        </is>
      </c>
      <c r="G488" s="75" t="n">
        <v>730</v>
      </c>
      <c r="H488" s="75" t="n">
        <v>815</v>
      </c>
      <c r="I488" s="67" t="inlineStr">
        <is>
          <t>Kg</t>
        </is>
      </c>
      <c r="J488" s="76" t="n">
        <v>730</v>
      </c>
      <c r="K488" s="76" t="n">
        <v>815</v>
      </c>
      <c r="L488" s="75" t="n">
        <v>5</v>
      </c>
      <c r="M488" s="67" t="inlineStr">
        <is>
          <t>Kg</t>
        </is>
      </c>
      <c r="N488" s="76" t="n">
        <v>5</v>
      </c>
      <c r="O488" s="67" t="inlineStr">
        <is>
          <t>PAIR-M6-02</t>
        </is>
      </c>
      <c r="P488" s="68" t="n"/>
    </row>
    <row r="489" ht="19.5" customHeight="1" s="45">
      <c r="B489" s="74" t="inlineStr">
        <is>
          <t>PO-0485</t>
        </is>
      </c>
      <c r="C489" s="67" t="inlineStr">
        <is>
          <t>M6-R-04</t>
        </is>
      </c>
      <c r="D489" s="67" t="inlineStr">
        <is>
          <t>M6</t>
        </is>
      </c>
      <c r="E489" s="67" t="inlineStr">
        <is>
          <t>Khuchra</t>
        </is>
      </c>
      <c r="F489" s="67" t="inlineStr">
        <is>
          <t>S05</t>
        </is>
      </c>
      <c r="G489" s="75" t="n">
        <v>480</v>
      </c>
      <c r="H489" s="75" t="n">
        <v>535</v>
      </c>
      <c r="I489" s="67" t="inlineStr">
        <is>
          <t>Kg</t>
        </is>
      </c>
      <c r="J489" s="76" t="n">
        <v>480</v>
      </c>
      <c r="K489" s="76" t="n">
        <v>535</v>
      </c>
      <c r="L489" s="75" t="n">
        <v>5</v>
      </c>
      <c r="M489" s="67" t="inlineStr">
        <is>
          <t>Kg</t>
        </is>
      </c>
      <c r="N489" s="76" t="n">
        <v>5</v>
      </c>
      <c r="O489" s="67" t="n"/>
      <c r="P489" s="68" t="n"/>
    </row>
    <row r="490" ht="19.5" customHeight="1" s="45">
      <c r="B490" s="74" t="inlineStr">
        <is>
          <t>PO-0486</t>
        </is>
      </c>
      <c r="C490" s="67" t="inlineStr">
        <is>
          <t>M6-R-04</t>
        </is>
      </c>
      <c r="D490" s="67" t="inlineStr">
        <is>
          <t>M6</t>
        </is>
      </c>
      <c r="E490" s="67" t="inlineStr">
        <is>
          <t>Khuchra</t>
        </is>
      </c>
      <c r="F490" s="67" t="inlineStr">
        <is>
          <t>S06</t>
        </is>
      </c>
      <c r="G490" s="75" t="n">
        <v>390</v>
      </c>
      <c r="H490" s="75" t="inlineStr">
        <is>
          <t>K</t>
        </is>
      </c>
      <c r="I490" s="67" t="inlineStr">
        <is>
          <t>Kg</t>
        </is>
      </c>
      <c r="J490" s="76" t="n">
        <v>390</v>
      </c>
      <c r="K490" s="76" t="n"/>
      <c r="L490" s="75" t="n">
        <v>10</v>
      </c>
      <c r="M490" s="67" t="inlineStr">
        <is>
          <t>Kg</t>
        </is>
      </c>
      <c r="N490" s="76" t="n">
        <v>10</v>
      </c>
      <c r="O490" s="67" t="n"/>
      <c r="P490" s="68" t="n"/>
    </row>
    <row r="491" ht="19.5" customHeight="1" s="45">
      <c r="B491" s="74" t="inlineStr">
        <is>
          <t>PO-0487</t>
        </is>
      </c>
      <c r="C491" s="67" t="inlineStr">
        <is>
          <t>M6-R-05</t>
        </is>
      </c>
      <c r="D491" s="67" t="inlineStr">
        <is>
          <t>M6</t>
        </is>
      </c>
      <c r="E491" s="67" t="inlineStr">
        <is>
          <t>Khuchra</t>
        </is>
      </c>
      <c r="F491" s="67" t="inlineStr">
        <is>
          <t>S01</t>
        </is>
      </c>
      <c r="G491" s="75" t="n">
        <v>1230</v>
      </c>
      <c r="H491" s="75" t="n">
        <v>1385</v>
      </c>
      <c r="I491" s="67" t="inlineStr">
        <is>
          <t>Kg</t>
        </is>
      </c>
      <c r="J491" s="76" t="n">
        <v>1230</v>
      </c>
      <c r="K491" s="76" t="n">
        <v>1385</v>
      </c>
      <c r="L491" s="75" t="n">
        <v>25</v>
      </c>
      <c r="M491" s="67" t="inlineStr">
        <is>
          <t>Kg</t>
        </is>
      </c>
      <c r="N491" s="76" t="n">
        <v>25</v>
      </c>
      <c r="O491" s="67" t="n"/>
      <c r="P491" s="68" t="n"/>
    </row>
    <row r="492" ht="19.5" customHeight="1" s="45">
      <c r="B492" s="74" t="inlineStr">
        <is>
          <t>PO-0488</t>
        </is>
      </c>
      <c r="C492" s="67" t="inlineStr">
        <is>
          <t>M6-R-05</t>
        </is>
      </c>
      <c r="D492" s="67" t="inlineStr">
        <is>
          <t>M6</t>
        </is>
      </c>
      <c r="E492" s="67" t="inlineStr">
        <is>
          <t>Khuchra</t>
        </is>
      </c>
      <c r="F492" s="67" t="inlineStr">
        <is>
          <t>S02</t>
        </is>
      </c>
      <c r="G492" s="75" t="n">
        <v>1325</v>
      </c>
      <c r="H492" s="75" t="inlineStr">
        <is>
          <t>K</t>
        </is>
      </c>
      <c r="I492" s="67" t="inlineStr">
        <is>
          <t>Kg</t>
        </is>
      </c>
      <c r="J492" s="76" t="n">
        <v>1325</v>
      </c>
      <c r="K492" s="76" t="n"/>
      <c r="L492" s="75" t="n">
        <v>25</v>
      </c>
      <c r="M492" s="67" t="inlineStr">
        <is>
          <t>Kg</t>
        </is>
      </c>
      <c r="N492" s="76" t="n">
        <v>25</v>
      </c>
      <c r="O492" s="67" t="n"/>
      <c r="P492" s="68" t="n"/>
    </row>
    <row r="493" ht="19.5" customHeight="1" s="45">
      <c r="B493" s="74" t="inlineStr">
        <is>
          <t>PO-0489</t>
        </is>
      </c>
      <c r="C493" s="67" t="inlineStr">
        <is>
          <t>M6-R-05</t>
        </is>
      </c>
      <c r="D493" s="67" t="inlineStr">
        <is>
          <t>M6</t>
        </is>
      </c>
      <c r="E493" s="67" t="inlineStr">
        <is>
          <t>Khuchra</t>
        </is>
      </c>
      <c r="F493" s="67" t="inlineStr">
        <is>
          <t>S03</t>
        </is>
      </c>
      <c r="G493" s="75" t="n">
        <v>895</v>
      </c>
      <c r="H493" s="75" t="n">
        <v>1010</v>
      </c>
      <c r="I493" s="67" t="inlineStr">
        <is>
          <t>Kg</t>
        </is>
      </c>
      <c r="J493" s="76" t="n">
        <v>895</v>
      </c>
      <c r="K493" s="76" t="n">
        <v>1010</v>
      </c>
      <c r="L493" s="75" t="n">
        <v>30</v>
      </c>
      <c r="M493" s="67" t="inlineStr">
        <is>
          <t>Kg</t>
        </is>
      </c>
      <c r="N493" s="76" t="n">
        <v>30</v>
      </c>
      <c r="O493" s="67" t="n"/>
      <c r="P493" s="68" t="n"/>
    </row>
    <row r="494" ht="19.5" customHeight="1" s="45">
      <c r="B494" s="74" t="inlineStr">
        <is>
          <t>PO-0490</t>
        </is>
      </c>
      <c r="C494" s="67" t="inlineStr">
        <is>
          <t>M6-R-05</t>
        </is>
      </c>
      <c r="D494" s="67" t="inlineStr">
        <is>
          <t>M6</t>
        </is>
      </c>
      <c r="E494" s="67" t="inlineStr">
        <is>
          <t>Khuchra</t>
        </is>
      </c>
      <c r="F494" s="67" t="inlineStr">
        <is>
          <t>S04</t>
        </is>
      </c>
      <c r="G494" s="75" t="n">
        <v>740</v>
      </c>
      <c r="H494" s="75" t="n">
        <v>830</v>
      </c>
      <c r="I494" s="67" t="inlineStr">
        <is>
          <t>Kg</t>
        </is>
      </c>
      <c r="J494" s="76" t="n">
        <v>740</v>
      </c>
      <c r="K494" s="76" t="n">
        <v>830</v>
      </c>
      <c r="L494" s="75" t="n">
        <v>20</v>
      </c>
      <c r="M494" s="67" t="inlineStr">
        <is>
          <t>Kg</t>
        </is>
      </c>
      <c r="N494" s="76" t="n">
        <v>20</v>
      </c>
      <c r="O494" s="67" t="n"/>
      <c r="P494" s="68" t="n"/>
    </row>
    <row r="495" ht="19.5" customHeight="1" s="45">
      <c r="B495" s="74" t="inlineStr">
        <is>
          <t>PO-0491</t>
        </is>
      </c>
      <c r="C495" s="67" t="inlineStr">
        <is>
          <t>M6-R-05</t>
        </is>
      </c>
      <c r="D495" s="67" t="inlineStr">
        <is>
          <t>M6</t>
        </is>
      </c>
      <c r="E495" s="67" t="inlineStr">
        <is>
          <t>Khuchra</t>
        </is>
      </c>
      <c r="F495" s="67" t="inlineStr">
        <is>
          <t>S05</t>
        </is>
      </c>
      <c r="G495" s="75" t="n">
        <v>495</v>
      </c>
      <c r="H495" s="75" t="n">
        <v>570</v>
      </c>
      <c r="I495" s="67" t="inlineStr">
        <is>
          <t>Kg</t>
        </is>
      </c>
      <c r="J495" s="76" t="n">
        <v>495</v>
      </c>
      <c r="K495" s="76" t="n">
        <v>570</v>
      </c>
      <c r="L495" s="75" t="n">
        <v>25</v>
      </c>
      <c r="M495" s="67" t="inlineStr">
        <is>
          <t>Kg</t>
        </is>
      </c>
      <c r="N495" s="76" t="n">
        <v>25</v>
      </c>
      <c r="O495" s="67" t="n"/>
      <c r="P495" s="68" t="n"/>
    </row>
    <row r="496" ht="19.5" customHeight="1" s="45">
      <c r="B496" s="74" t="inlineStr">
        <is>
          <t>PO-0492</t>
        </is>
      </c>
      <c r="C496" s="67" t="n"/>
      <c r="D496" s="67" t="n"/>
      <c r="E496" s="67" t="n"/>
      <c r="F496" s="67" t="n"/>
      <c r="G496" s="75" t="n"/>
      <c r="H496" s="75" t="n"/>
      <c r="I496" s="67" t="n"/>
      <c r="J496" s="76" t="n"/>
      <c r="K496" s="76" t="n"/>
      <c r="L496" s="75" t="n"/>
      <c r="M496" s="67" t="n"/>
      <c r="N496" s="76" t="n"/>
      <c r="O496" s="67" t="n"/>
      <c r="P496" s="68" t="n"/>
    </row>
    <row r="497" ht="19.5" customHeight="1" s="45">
      <c r="B497" s="74" t="inlineStr">
        <is>
          <t>PO-0493</t>
        </is>
      </c>
      <c r="C497" s="67" t="n"/>
      <c r="D497" s="67" t="n"/>
      <c r="E497" s="67" t="n"/>
      <c r="F497" s="67" t="n"/>
      <c r="G497" s="75" t="n"/>
      <c r="H497" s="75" t="n"/>
      <c r="I497" s="67" t="n"/>
      <c r="J497" s="76" t="n"/>
      <c r="K497" s="76" t="n"/>
      <c r="L497" s="75" t="n"/>
      <c r="M497" s="67" t="n"/>
      <c r="N497" s="76" t="n"/>
      <c r="O497" s="67" t="n"/>
      <c r="P497" s="68" t="n"/>
    </row>
    <row r="498" ht="19.5" customHeight="1" s="45">
      <c r="B498" s="74" t="inlineStr">
        <is>
          <t>PO-0494</t>
        </is>
      </c>
      <c r="C498" s="67" t="n"/>
      <c r="D498" s="67" t="n"/>
      <c r="E498" s="67" t="n"/>
      <c r="F498" s="67" t="n"/>
      <c r="G498" s="75" t="n"/>
      <c r="H498" s="75" t="n"/>
      <c r="I498" s="67" t="n"/>
      <c r="J498" s="76" t="n"/>
      <c r="K498" s="76" t="n"/>
      <c r="L498" s="75" t="n"/>
      <c r="M498" s="67" t="n"/>
      <c r="N498" s="76" t="n"/>
      <c r="O498" s="67" t="n"/>
      <c r="P498" s="68" t="n"/>
    </row>
    <row r="499" ht="19.5" customHeight="1" s="45">
      <c r="B499" s="74" t="inlineStr">
        <is>
          <t>PO-0495</t>
        </is>
      </c>
      <c r="C499" s="67" t="n"/>
      <c r="D499" s="67" t="n"/>
      <c r="E499" s="67" t="n"/>
      <c r="F499" s="67" t="n"/>
      <c r="G499" s="75" t="n"/>
      <c r="H499" s="75" t="n"/>
      <c r="I499" s="67" t="n"/>
      <c r="J499" s="76" t="n"/>
      <c r="K499" s="76" t="n"/>
      <c r="L499" s="75" t="n"/>
      <c r="M499" s="67" t="n"/>
      <c r="N499" s="76" t="n"/>
      <c r="O499" s="67" t="n"/>
      <c r="P499" s="68" t="n"/>
    </row>
    <row r="500" ht="19.5" customHeight="1" s="45">
      <c r="B500" s="74" t="inlineStr">
        <is>
          <t>PO-0496</t>
        </is>
      </c>
      <c r="C500" s="67" t="n"/>
      <c r="D500" s="67" t="n"/>
      <c r="E500" s="67" t="n"/>
      <c r="F500" s="67" t="n"/>
      <c r="G500" s="75" t="n"/>
      <c r="H500" s="75" t="n"/>
      <c r="I500" s="67" t="n"/>
      <c r="J500" s="76" t="n"/>
      <c r="K500" s="76" t="n"/>
      <c r="L500" s="75" t="n"/>
      <c r="M500" s="67" t="n"/>
      <c r="N500" s="76" t="n"/>
      <c r="O500" s="67" t="n"/>
      <c r="P500" s="68" t="n"/>
    </row>
    <row r="501" ht="19.5" customHeight="1" s="45">
      <c r="B501" s="74" t="inlineStr">
        <is>
          <t>PO-0497</t>
        </is>
      </c>
      <c r="C501" s="67" t="n"/>
      <c r="D501" s="67" t="n"/>
      <c r="E501" s="67" t="n"/>
      <c r="F501" s="67" t="n"/>
      <c r="G501" s="75" t="n"/>
      <c r="H501" s="75" t="n"/>
      <c r="I501" s="67" t="n"/>
      <c r="J501" s="76" t="n"/>
      <c r="K501" s="76" t="n"/>
      <c r="L501" s="75" t="n"/>
      <c r="M501" s="67" t="n"/>
      <c r="N501" s="76" t="n"/>
      <c r="O501" s="67" t="n"/>
      <c r="P501" s="68" t="n"/>
    </row>
    <row r="502" ht="19.5" customHeight="1" s="45">
      <c r="B502" s="74" t="inlineStr">
        <is>
          <t>PO-0498</t>
        </is>
      </c>
      <c r="C502" s="67" t="n"/>
      <c r="D502" s="67" t="n"/>
      <c r="E502" s="67" t="n"/>
      <c r="F502" s="67" t="n"/>
      <c r="G502" s="75" t="n"/>
      <c r="H502" s="75" t="n"/>
      <c r="I502" s="67" t="n"/>
      <c r="J502" s="76" t="n"/>
      <c r="K502" s="76" t="n"/>
      <c r="L502" s="75" t="n"/>
      <c r="M502" s="67" t="n"/>
      <c r="N502" s="76" t="n"/>
      <c r="O502" s="67" t="n"/>
      <c r="P502" s="68" t="n"/>
    </row>
    <row r="503" ht="19.5" customHeight="1" s="45">
      <c r="B503" s="74" t="inlineStr">
        <is>
          <t>PO-0499</t>
        </is>
      </c>
      <c r="C503" s="67" t="n"/>
      <c r="D503" s="67" t="n"/>
      <c r="E503" s="67" t="n"/>
      <c r="F503" s="67" t="n"/>
      <c r="G503" s="75" t="n"/>
      <c r="H503" s="75" t="n"/>
      <c r="I503" s="67" t="n"/>
      <c r="J503" s="76" t="n"/>
      <c r="K503" s="76" t="n"/>
      <c r="L503" s="75" t="n"/>
      <c r="M503" s="67" t="n"/>
      <c r="N503" s="76" t="n"/>
      <c r="O503" s="67" t="n"/>
      <c r="P503" s="68" t="n"/>
    </row>
    <row r="504" ht="19.5" customHeight="1" s="45">
      <c r="B504" s="74" t="inlineStr">
        <is>
          <t>PO-0500</t>
        </is>
      </c>
      <c r="C504" s="67" t="n"/>
      <c r="D504" s="67" t="n"/>
      <c r="E504" s="67" t="n"/>
      <c r="F504" s="67" t="n"/>
      <c r="G504" s="75" t="n"/>
      <c r="H504" s="75" t="n"/>
      <c r="I504" s="67" t="n"/>
      <c r="J504" s="76" t="n"/>
      <c r="K504" s="76" t="n"/>
      <c r="L504" s="75" t="n"/>
      <c r="M504" s="67" t="n"/>
      <c r="N504" s="76" t="n"/>
      <c r="O504" s="67" t="n"/>
      <c r="P504" s="68" t="n"/>
    </row>
    <row r="505" ht="15" customHeight="1" s="45">
      <c r="B505" s="50" t="n"/>
      <c r="C505" s="50" t="n"/>
      <c r="D505" s="50" t="n"/>
      <c r="E505" s="50" t="n"/>
      <c r="F505" s="50" t="n"/>
      <c r="G505" s="50" t="n"/>
      <c r="H505" s="50" t="n"/>
      <c r="I505" s="50" t="n"/>
      <c r="J505" s="50" t="n"/>
      <c r="K505" s="50" t="n"/>
      <c r="L505" s="50" t="n"/>
      <c r="M505" s="50" t="n"/>
      <c r="N505" s="50" t="n"/>
      <c r="O505" s="50" t="n"/>
      <c r="P505" s="50" t="n"/>
    </row>
    <row r="506" ht="14.25" customHeight="1" s="45">
      <c r="B506" s="54" t="inlineStr">
        <is>
          <t>Flags: K = not handled today, D = declined, '-' = not applicable. Blue columns convert maund quotes to BDT/kg automatically (1 maund = 37.32 kg).</t>
        </is>
      </c>
      <c r="C506" s="50" t="n"/>
      <c r="D506" s="50" t="n"/>
      <c r="E506" s="50" t="n"/>
      <c r="F506" s="50" t="n"/>
      <c r="G506" s="50" t="n"/>
      <c r="H506" s="50" t="n"/>
      <c r="I506" s="50" t="n"/>
      <c r="J506" s="50" t="n"/>
      <c r="K506" s="50" t="n"/>
      <c r="L506" s="50" t="n"/>
      <c r="M506" s="50" t="n"/>
      <c r="N506" s="50" t="n"/>
      <c r="O506" s="50" t="n"/>
      <c r="P506" s="50" t="n"/>
    </row>
  </sheetData>
  <autoFilter ref="B4:P504"/>
  <mergeCells count="1">
    <mergeCell ref="B2:P2"/>
  </mergeCells>
  <dataValidations count="6">
    <dataValidation sqref="L5:L504" showDropDown="0" showInputMessage="0" showErrorMessage="1" allowBlank="1" errorTitle="Out of range" error="Enter a number between 0 and 1000000." type="decimal" errorStyle="stop" operator="between">
      <formula1>0</formula1>
      <formula2>1000000</formula2>
    </dataValidation>
    <dataValidation sqref="D5:D504" showDropDown="0" showInputMessage="0" showErrorMessage="1" allowBlank="1" errorTitle="Invalid entry" error="Please choose one of the listed values." promptTitle="Dropdown" prompt="Select from list" type="list" errorStyle="stop" operator="between">
      <formula1>"M1,M2,M3,M4,M5,M6"</formula1>
      <formula2>0</formula2>
    </dataValidation>
    <dataValidation sqref="F5:F504" showDropDown="0" showInputMessage="0" showErrorMessage="1" allowBlank="1" errorTitle="Invalid entry" error="Please choose one of the listed values." promptTitle="Dropdown" prompt="Select from list" type="list" errorStyle="stop" operator="between">
      <formula1>"S01,S02,S03,S04,S05,S06,S07,S08,S09,S10"</formula1>
      <formula2>0</formula2>
    </dataValidation>
    <dataValidation sqref="I5:I504 M5:M504" showDropDown="0" showInputMessage="0" showErrorMessage="1" allowBlank="1" errorTitle="Invalid entry" error="Please choose one of the listed values." promptTitle="Dropdown" prompt="Select from list" type="list" errorStyle="stop" operator="between">
      <formula1>"Maund,Kg"</formula1>
      <formula2>0</formula2>
    </dataValidation>
    <dataValidation sqref="G5:H504" showDropDown="0" showInputMessage="0" showErrorMessage="1" allowBlank="1" errorTitle="Invalid price entry" error="Enter a price in BDT, or the flag K (not handled today) / D (declined) / - (not applicable)." promptTitle="Price or flag" prompt="Number = BDT amount; K = not handled today; D = declined to disclose; - = not applicable." type="custom" errorStyle="stop" operator="between">
      <formula1>OR(ISNUMBER($G5),$G5="K",$G5="D",$G5="-",$G5="")</formula1>
      <formula2>0</formula2>
    </dataValidation>
    <dataValidation sqref="E5:E504" showDropDown="0" showInputMessage="0" showErrorMessage="1" allowBlank="1" errorTitle="Invalid entry" error="তালিকা থেকে নির্বাচন করুন / Choose from the list" type="list" errorStyle="stop" operator="between">
      <formula1>"Aratdar,Bepari_Faria,Khuchra"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 filterMode="0">
    <tabColor rgb="FFD4820A"/>
    <outlinePr summaryBelow="1" summaryRight="1"/>
    <pageSetUpPr fitToPage="0"/>
  </sheetPr>
  <dimension ref="B2:M3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M1" activeCellId="0" sqref="M1"/>
    </sheetView>
  </sheetViews>
  <sheetFormatPr baseColWidth="8" defaultColWidth="8.6328125" defaultRowHeight="15" zeroHeight="0" outlineLevelRow="0"/>
  <cols>
    <col width="3" customWidth="1" style="44" min="1" max="1"/>
    <col width="19.73" customWidth="1" style="44" min="2" max="2"/>
    <col width="11.54" customWidth="1" style="44" min="3" max="3"/>
    <col width="18.45" customWidth="1" style="44" min="4" max="4"/>
    <col width="21.73" customWidth="1" style="44" min="5" max="5"/>
    <col width="17.63" customWidth="1" style="44" min="6" max="6"/>
    <col width="14.73" customWidth="1" style="44" min="7" max="7"/>
    <col width="8" customWidth="1" style="44" min="8" max="8"/>
    <col width="23.09" customWidth="1" style="44" min="9" max="9"/>
    <col width="17.82" customWidth="1" style="44" min="10" max="10"/>
    <col width="17.73" customWidth="1" style="44" min="11" max="11"/>
    <col width="16.45" customWidth="1" style="44" min="12" max="12"/>
    <col width="22" customWidth="1" style="44" min="13" max="13"/>
  </cols>
  <sheetData>
    <row r="2" ht="31.5" customHeight="1" s="45">
      <c r="B2" s="46" t="inlineStr">
        <is>
          <t>Form C - Focal Species Purchases (one row per consumer x species)</t>
        </is>
      </c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7" t="n"/>
      <c r="M2" s="48" t="n"/>
    </row>
    <row r="3" ht="7.5" customHeight="1" s="45">
      <c r="B3" s="50" t="n"/>
      <c r="C3" s="50" t="n"/>
      <c r="D3" s="50" t="n"/>
      <c r="E3" s="50" t="n"/>
      <c r="F3" s="50" t="n"/>
      <c r="G3" s="50" t="n"/>
      <c r="H3" s="50" t="n"/>
      <c r="I3" s="50" t="n"/>
      <c r="J3" s="50" t="n"/>
      <c r="K3" s="50" t="n"/>
      <c r="L3" s="50" t="n"/>
      <c r="M3" s="50" t="n"/>
    </row>
    <row r="4" ht="27.75" customHeight="1" s="45">
      <c r="B4" s="57" t="inlineStr">
        <is>
          <t>Respondent_ID</t>
        </is>
      </c>
      <c r="C4" s="57" t="inlineStr">
        <is>
          <t>Market</t>
        </is>
      </c>
      <c r="D4" s="57" t="inlineStr">
        <is>
          <t>Species_code</t>
        </is>
      </c>
      <c r="E4" s="57" t="inlineStr">
        <is>
          <t>Purchased_today</t>
        </is>
      </c>
      <c r="F4" s="57" t="inlineStr">
        <is>
          <t>Bought_from</t>
        </is>
      </c>
      <c r="G4" s="57" t="inlineStr">
        <is>
          <t>Price_raw</t>
        </is>
      </c>
      <c r="H4" s="57" t="inlineStr">
        <is>
          <t>Unit</t>
        </is>
      </c>
      <c r="I4" s="57" t="inlineStr">
        <is>
          <t>Price_BDT_per_kg</t>
        </is>
      </c>
      <c r="J4" s="57" t="inlineStr">
        <is>
          <t>Quantity_raw</t>
        </is>
      </c>
      <c r="K4" s="57" t="inlineStr">
        <is>
          <t>Quantity_unit</t>
        </is>
      </c>
      <c r="L4" s="57" t="inlineStr">
        <is>
          <t>Quantity_kg</t>
        </is>
      </c>
      <c r="M4" s="57" t="inlineStr">
        <is>
          <t>Notes</t>
        </is>
      </c>
    </row>
    <row r="5" ht="19.5" customHeight="1" s="45">
      <c r="B5" s="67" t="inlineStr">
        <is>
          <t>M1-C-01</t>
        </is>
      </c>
      <c r="C5" s="67" t="inlineStr">
        <is>
          <t>M1</t>
        </is>
      </c>
      <c r="D5" s="67" t="inlineStr">
        <is>
          <t>S07</t>
        </is>
      </c>
      <c r="E5" s="67" t="inlineStr">
        <is>
          <t>Yes</t>
        </is>
      </c>
      <c r="F5" s="67" t="inlineStr">
        <is>
          <t>Retailer</t>
        </is>
      </c>
      <c r="G5" s="75" t="n">
        <v>480</v>
      </c>
      <c r="H5" s="67" t="inlineStr">
        <is>
          <t>Kg</t>
        </is>
      </c>
      <c r="I5" s="76" t="n">
        <v>480</v>
      </c>
      <c r="J5" s="75" t="n">
        <v>2.5</v>
      </c>
      <c r="K5" s="67" t="inlineStr">
        <is>
          <t>Kg</t>
        </is>
      </c>
      <c r="L5" s="76" t="n">
        <v>2.5</v>
      </c>
      <c r="M5" s="68" t="n"/>
    </row>
    <row r="6" ht="19.5" customHeight="1" s="45">
      <c r="B6" s="67" t="inlineStr">
        <is>
          <t>M1-C-01</t>
        </is>
      </c>
      <c r="C6" s="67" t="inlineStr">
        <is>
          <t>M1</t>
        </is>
      </c>
      <c r="D6" s="67" t="inlineStr">
        <is>
          <t>S02</t>
        </is>
      </c>
      <c r="E6" s="67" t="inlineStr">
        <is>
          <t>Yes</t>
        </is>
      </c>
      <c r="F6" s="67" t="inlineStr">
        <is>
          <t>Retailer</t>
        </is>
      </c>
      <c r="G6" s="75" t="n">
        <v>1490</v>
      </c>
      <c r="H6" s="67" t="inlineStr">
        <is>
          <t>Kg</t>
        </is>
      </c>
      <c r="I6" s="76" t="n">
        <v>1490</v>
      </c>
      <c r="J6" s="75" t="n">
        <v>1</v>
      </c>
      <c r="K6" s="67" t="inlineStr">
        <is>
          <t>Kg</t>
        </is>
      </c>
      <c r="L6" s="76" t="n">
        <v>1</v>
      </c>
      <c r="M6" s="68" t="n"/>
    </row>
    <row r="7" ht="19.5" customHeight="1" s="45">
      <c r="B7" s="67" t="inlineStr">
        <is>
          <t>M1-C-02</t>
        </is>
      </c>
      <c r="C7" s="67" t="inlineStr">
        <is>
          <t>M1</t>
        </is>
      </c>
      <c r="D7" s="67" t="inlineStr">
        <is>
          <t>S04</t>
        </is>
      </c>
      <c r="E7" s="67" t="inlineStr">
        <is>
          <t>Yes</t>
        </is>
      </c>
      <c r="F7" s="67" t="inlineStr">
        <is>
          <t>Retailer</t>
        </is>
      </c>
      <c r="G7" s="75" t="n">
        <v>860</v>
      </c>
      <c r="H7" s="67" t="inlineStr">
        <is>
          <t>Kg</t>
        </is>
      </c>
      <c r="I7" s="76" t="n">
        <v>860</v>
      </c>
      <c r="J7" s="75" t="n">
        <v>2</v>
      </c>
      <c r="K7" s="67" t="inlineStr">
        <is>
          <t>Kg</t>
        </is>
      </c>
      <c r="L7" s="76" t="n">
        <v>2</v>
      </c>
      <c r="M7" s="68" t="n"/>
    </row>
    <row r="8" ht="19.5" customHeight="1" s="45">
      <c r="B8" s="67" t="inlineStr">
        <is>
          <t>M1-C-02</t>
        </is>
      </c>
      <c r="C8" s="67" t="inlineStr">
        <is>
          <t>M1</t>
        </is>
      </c>
      <c r="D8" s="67" t="inlineStr">
        <is>
          <t>S01</t>
        </is>
      </c>
      <c r="E8" s="67" t="inlineStr">
        <is>
          <t>Yes</t>
        </is>
      </c>
      <c r="F8" s="67" t="inlineStr">
        <is>
          <t>Retailer</t>
        </is>
      </c>
      <c r="G8" s="75" t="n">
        <v>1360</v>
      </c>
      <c r="H8" s="67" t="inlineStr">
        <is>
          <t>Kg</t>
        </is>
      </c>
      <c r="I8" s="76" t="n">
        <v>1360</v>
      </c>
      <c r="J8" s="75" t="n">
        <v>0.75</v>
      </c>
      <c r="K8" s="67" t="inlineStr">
        <is>
          <t>Kg</t>
        </is>
      </c>
      <c r="L8" s="76" t="n">
        <v>0.75</v>
      </c>
      <c r="M8" s="68" t="n"/>
    </row>
    <row r="9" ht="19.5" customHeight="1" s="45">
      <c r="B9" s="67" t="inlineStr">
        <is>
          <t>M1-C-02</t>
        </is>
      </c>
      <c r="C9" s="67" t="inlineStr">
        <is>
          <t>M1</t>
        </is>
      </c>
      <c r="D9" s="67" t="inlineStr">
        <is>
          <t>S02</t>
        </is>
      </c>
      <c r="E9" s="67" t="inlineStr">
        <is>
          <t>Yes</t>
        </is>
      </c>
      <c r="F9" s="67" t="inlineStr">
        <is>
          <t>Retailer</t>
        </is>
      </c>
      <c r="G9" s="75" t="n">
        <v>1545</v>
      </c>
      <c r="H9" s="67" t="inlineStr">
        <is>
          <t>Kg</t>
        </is>
      </c>
      <c r="I9" s="76" t="n">
        <v>1545</v>
      </c>
      <c r="J9" s="75" t="n">
        <v>2.5</v>
      </c>
      <c r="K9" s="67" t="inlineStr">
        <is>
          <t>Kg</t>
        </is>
      </c>
      <c r="L9" s="76" t="n">
        <v>2.5</v>
      </c>
      <c r="M9" s="68" t="n"/>
    </row>
    <row r="10" ht="19.5" customHeight="1" s="45">
      <c r="B10" s="67" t="inlineStr">
        <is>
          <t>M1-C-03</t>
        </is>
      </c>
      <c r="C10" s="67" t="inlineStr">
        <is>
          <t>M1</t>
        </is>
      </c>
      <c r="D10" s="67" t="inlineStr">
        <is>
          <t>S05</t>
        </is>
      </c>
      <c r="E10" s="67" t="inlineStr">
        <is>
          <t>Yes</t>
        </is>
      </c>
      <c r="F10" s="67" t="inlineStr">
        <is>
          <t>Retailer</t>
        </is>
      </c>
      <c r="G10" s="75" t="n">
        <v>555</v>
      </c>
      <c r="H10" s="67" t="inlineStr">
        <is>
          <t>Kg</t>
        </is>
      </c>
      <c r="I10" s="76" t="n">
        <v>555</v>
      </c>
      <c r="J10" s="75" t="n">
        <v>1.5</v>
      </c>
      <c r="K10" s="67" t="inlineStr">
        <is>
          <t>Kg</t>
        </is>
      </c>
      <c r="L10" s="76" t="n">
        <v>1.5</v>
      </c>
      <c r="M10" s="68" t="n"/>
    </row>
    <row r="11" ht="19.5" customHeight="1" s="45">
      <c r="B11" s="67" t="inlineStr">
        <is>
          <t>M1-C-03</t>
        </is>
      </c>
      <c r="C11" s="67" t="inlineStr">
        <is>
          <t>M1</t>
        </is>
      </c>
      <c r="D11" s="67" t="inlineStr">
        <is>
          <t>S01</t>
        </is>
      </c>
      <c r="E11" s="67" t="inlineStr">
        <is>
          <t>No</t>
        </is>
      </c>
      <c r="F11" s="67" t="n"/>
      <c r="G11" s="75" t="inlineStr">
        <is>
          <t>K</t>
        </is>
      </c>
      <c r="H11" s="67" t="n"/>
      <c r="I11" s="76" t="n"/>
      <c r="J11" s="75" t="n"/>
      <c r="K11" s="67" t="n"/>
      <c r="L11" s="76" t="n"/>
      <c r="M11" s="68" t="n"/>
    </row>
    <row r="12" ht="19.5" customHeight="1" s="45">
      <c r="B12" s="67" t="inlineStr">
        <is>
          <t>M1-C-04</t>
        </is>
      </c>
      <c r="C12" s="67" t="inlineStr">
        <is>
          <t>M1</t>
        </is>
      </c>
      <c r="D12" s="67" t="inlineStr">
        <is>
          <t>S03</t>
        </is>
      </c>
      <c r="E12" s="67" t="inlineStr">
        <is>
          <t>Yes</t>
        </is>
      </c>
      <c r="F12" s="67" t="inlineStr">
        <is>
          <t>Retailer</t>
        </is>
      </c>
      <c r="G12" s="75" t="n">
        <v>980</v>
      </c>
      <c r="H12" s="67" t="inlineStr">
        <is>
          <t>Kg</t>
        </is>
      </c>
      <c r="I12" s="76" t="n">
        <v>980</v>
      </c>
      <c r="J12" s="75" t="n">
        <v>2.5</v>
      </c>
      <c r="K12" s="67" t="inlineStr">
        <is>
          <t>Kg</t>
        </is>
      </c>
      <c r="L12" s="76" t="n">
        <v>2.5</v>
      </c>
      <c r="M12" s="68" t="n"/>
    </row>
    <row r="13" ht="19.5" customHeight="1" s="45">
      <c r="B13" s="67" t="inlineStr">
        <is>
          <t>M1-C-04</t>
        </is>
      </c>
      <c r="C13" s="67" t="inlineStr">
        <is>
          <t>M1</t>
        </is>
      </c>
      <c r="D13" s="67" t="inlineStr">
        <is>
          <t>S10</t>
        </is>
      </c>
      <c r="E13" s="67" t="inlineStr">
        <is>
          <t>Yes</t>
        </is>
      </c>
      <c r="F13" s="67" t="inlineStr">
        <is>
          <t>Retailer</t>
        </is>
      </c>
      <c r="G13" s="75" t="n">
        <v>225</v>
      </c>
      <c r="H13" s="67" t="inlineStr">
        <is>
          <t>Kg</t>
        </is>
      </c>
      <c r="I13" s="76" t="n">
        <v>225</v>
      </c>
      <c r="J13" s="75" t="n">
        <v>2</v>
      </c>
      <c r="K13" s="67" t="inlineStr">
        <is>
          <t>Kg</t>
        </is>
      </c>
      <c r="L13" s="76" t="n">
        <v>2</v>
      </c>
      <c r="M13" s="68" t="n"/>
    </row>
    <row r="14" ht="19.5" customHeight="1" s="45">
      <c r="B14" s="67" t="inlineStr">
        <is>
          <t>M1-C-05</t>
        </is>
      </c>
      <c r="C14" s="67" t="inlineStr">
        <is>
          <t>M1</t>
        </is>
      </c>
      <c r="D14" s="67" t="inlineStr">
        <is>
          <t>S05</t>
        </is>
      </c>
      <c r="E14" s="67" t="inlineStr">
        <is>
          <t>Yes</t>
        </is>
      </c>
      <c r="F14" s="67" t="inlineStr">
        <is>
          <t>Retailer</t>
        </is>
      </c>
      <c r="G14" s="75" t="n">
        <v>545</v>
      </c>
      <c r="H14" s="67" t="inlineStr">
        <is>
          <t>Kg</t>
        </is>
      </c>
      <c r="I14" s="76" t="n">
        <v>545</v>
      </c>
      <c r="J14" s="75" t="n">
        <v>0.75</v>
      </c>
      <c r="K14" s="67" t="inlineStr">
        <is>
          <t>Kg</t>
        </is>
      </c>
      <c r="L14" s="76" t="n">
        <v>0.75</v>
      </c>
      <c r="M14" s="68" t="n"/>
    </row>
    <row r="15" ht="19.5" customHeight="1" s="45">
      <c r="B15" s="67" t="inlineStr">
        <is>
          <t>M1-C-05</t>
        </is>
      </c>
      <c r="C15" s="67" t="inlineStr">
        <is>
          <t>M1</t>
        </is>
      </c>
      <c r="D15" s="67" t="inlineStr">
        <is>
          <t>S04</t>
        </is>
      </c>
      <c r="E15" s="67" t="inlineStr">
        <is>
          <t>Yes</t>
        </is>
      </c>
      <c r="F15" s="67" t="inlineStr">
        <is>
          <t>Retailer</t>
        </is>
      </c>
      <c r="G15" s="75" t="n">
        <v>875</v>
      </c>
      <c r="H15" s="67" t="inlineStr">
        <is>
          <t>Kg</t>
        </is>
      </c>
      <c r="I15" s="76" t="n">
        <v>875</v>
      </c>
      <c r="J15" s="75" t="n">
        <v>3</v>
      </c>
      <c r="K15" s="67" t="inlineStr">
        <is>
          <t>Kg</t>
        </is>
      </c>
      <c r="L15" s="76" t="n">
        <v>3</v>
      </c>
      <c r="M15" s="68" t="n"/>
    </row>
    <row r="16" ht="19.5" customHeight="1" s="45">
      <c r="B16" s="67" t="inlineStr">
        <is>
          <t>M1-C-05</t>
        </is>
      </c>
      <c r="C16" s="67" t="inlineStr">
        <is>
          <t>M1</t>
        </is>
      </c>
      <c r="D16" s="67" t="inlineStr">
        <is>
          <t>S07</t>
        </is>
      </c>
      <c r="E16" s="67" t="inlineStr">
        <is>
          <t>Yes</t>
        </is>
      </c>
      <c r="F16" s="67" t="inlineStr">
        <is>
          <t>Retailer</t>
        </is>
      </c>
      <c r="G16" s="75" t="n">
        <v>495</v>
      </c>
      <c r="H16" s="67" t="inlineStr">
        <is>
          <t>Kg</t>
        </is>
      </c>
      <c r="I16" s="76" t="n">
        <v>495</v>
      </c>
      <c r="J16" s="75" t="n">
        <v>1.5</v>
      </c>
      <c r="K16" s="67" t="inlineStr">
        <is>
          <t>Kg</t>
        </is>
      </c>
      <c r="L16" s="76" t="n">
        <v>1.5</v>
      </c>
      <c r="M16" s="68" t="n"/>
    </row>
    <row r="17" ht="19.5" customHeight="1" s="45">
      <c r="B17" s="67" t="inlineStr">
        <is>
          <t>M2-C-01</t>
        </is>
      </c>
      <c r="C17" s="67" t="inlineStr">
        <is>
          <t>M2</t>
        </is>
      </c>
      <c r="D17" s="67" t="inlineStr">
        <is>
          <t>S01</t>
        </is>
      </c>
      <c r="E17" s="67" t="inlineStr">
        <is>
          <t>Yes</t>
        </is>
      </c>
      <c r="F17" s="67" t="inlineStr">
        <is>
          <t>Retailer</t>
        </is>
      </c>
      <c r="G17" s="75" t="n">
        <v>1495</v>
      </c>
      <c r="H17" s="67" t="inlineStr">
        <is>
          <t>Kg</t>
        </is>
      </c>
      <c r="I17" s="76" t="n">
        <v>1495</v>
      </c>
      <c r="J17" s="75" t="n">
        <v>2</v>
      </c>
      <c r="K17" s="67" t="inlineStr">
        <is>
          <t>Kg</t>
        </is>
      </c>
      <c r="L17" s="76" t="n">
        <v>2</v>
      </c>
      <c r="M17" s="68" t="n"/>
    </row>
    <row r="18" ht="19.5" customHeight="1" s="45">
      <c r="B18" s="67" t="inlineStr">
        <is>
          <t>M2-C-01</t>
        </is>
      </c>
      <c r="C18" s="67" t="inlineStr">
        <is>
          <t>M2</t>
        </is>
      </c>
      <c r="D18" s="67" t="inlineStr">
        <is>
          <t>S07</t>
        </is>
      </c>
      <c r="E18" s="67" t="inlineStr">
        <is>
          <t>Yes</t>
        </is>
      </c>
      <c r="F18" s="67" t="inlineStr">
        <is>
          <t>Retailer</t>
        </is>
      </c>
      <c r="G18" s="75" t="n">
        <v>520</v>
      </c>
      <c r="H18" s="67" t="inlineStr">
        <is>
          <t>Kg</t>
        </is>
      </c>
      <c r="I18" s="76" t="n">
        <v>520</v>
      </c>
      <c r="J18" s="75" t="n">
        <v>2.5</v>
      </c>
      <c r="K18" s="67" t="inlineStr">
        <is>
          <t>Kg</t>
        </is>
      </c>
      <c r="L18" s="76" t="n">
        <v>2.5</v>
      </c>
      <c r="M18" s="68" t="n"/>
    </row>
    <row r="19" ht="19.5" customHeight="1" s="45">
      <c r="B19" s="67" t="inlineStr">
        <is>
          <t>M2-C-01</t>
        </is>
      </c>
      <c r="C19" s="67" t="inlineStr">
        <is>
          <t>M2</t>
        </is>
      </c>
      <c r="D19" s="67" t="inlineStr">
        <is>
          <t>S05</t>
        </is>
      </c>
      <c r="E19" s="67" t="inlineStr">
        <is>
          <t>No</t>
        </is>
      </c>
      <c r="F19" s="67" t="n"/>
      <c r="G19" s="75" t="inlineStr">
        <is>
          <t>K</t>
        </is>
      </c>
      <c r="H19" s="67" t="n"/>
      <c r="I19" s="76" t="n"/>
      <c r="J19" s="75" t="n"/>
      <c r="K19" s="67" t="n"/>
      <c r="L19" s="76" t="n"/>
      <c r="M19" s="68" t="n"/>
    </row>
    <row r="20" ht="19.5" customHeight="1" s="45">
      <c r="B20" s="67" t="inlineStr">
        <is>
          <t>M2-C-01</t>
        </is>
      </c>
      <c r="C20" s="67" t="inlineStr">
        <is>
          <t>M2</t>
        </is>
      </c>
      <c r="D20" s="67" t="inlineStr">
        <is>
          <t>S10</t>
        </is>
      </c>
      <c r="E20" s="67" t="inlineStr">
        <is>
          <t>No</t>
        </is>
      </c>
      <c r="F20" s="67" t="n"/>
      <c r="G20" s="75" t="inlineStr">
        <is>
          <t>K</t>
        </is>
      </c>
      <c r="H20" s="67" t="n"/>
      <c r="I20" s="76" t="n"/>
      <c r="J20" s="75" t="n"/>
      <c r="K20" s="67" t="n"/>
      <c r="L20" s="76" t="n"/>
      <c r="M20" s="68" t="n"/>
    </row>
    <row r="21" ht="19.5" customHeight="1" s="45">
      <c r="B21" s="67" t="inlineStr">
        <is>
          <t>M2-C-02</t>
        </is>
      </c>
      <c r="C21" s="67" t="inlineStr">
        <is>
          <t>M2</t>
        </is>
      </c>
      <c r="D21" s="67" t="inlineStr">
        <is>
          <t>S09</t>
        </is>
      </c>
      <c r="E21" s="67" t="inlineStr">
        <is>
          <t>Yes</t>
        </is>
      </c>
      <c r="F21" s="67" t="inlineStr">
        <is>
          <t>Hawker</t>
        </is>
      </c>
      <c r="G21" s="75" t="n">
        <v>275</v>
      </c>
      <c r="H21" s="67" t="inlineStr">
        <is>
          <t>Kg</t>
        </is>
      </c>
      <c r="I21" s="76" t="n">
        <v>275</v>
      </c>
      <c r="J21" s="75" t="n">
        <v>1</v>
      </c>
      <c r="K21" s="67" t="inlineStr">
        <is>
          <t>Kg</t>
        </is>
      </c>
      <c r="L21" s="76" t="n">
        <v>1</v>
      </c>
      <c r="M21" s="68" t="n"/>
    </row>
    <row r="22" ht="19.5" customHeight="1" s="45">
      <c r="B22" s="67" t="inlineStr">
        <is>
          <t>M2-C-02</t>
        </is>
      </c>
      <c r="C22" s="67" t="inlineStr">
        <is>
          <t>M2</t>
        </is>
      </c>
      <c r="D22" s="67" t="inlineStr">
        <is>
          <t>S01</t>
        </is>
      </c>
      <c r="E22" s="67" t="inlineStr">
        <is>
          <t>Yes</t>
        </is>
      </c>
      <c r="F22" s="67" t="inlineStr">
        <is>
          <t>Retailer</t>
        </is>
      </c>
      <c r="G22" s="75" t="n">
        <v>1460</v>
      </c>
      <c r="H22" s="67" t="inlineStr">
        <is>
          <t>Kg</t>
        </is>
      </c>
      <c r="I22" s="76" t="n">
        <v>1460</v>
      </c>
      <c r="J22" s="75" t="n">
        <v>2.5</v>
      </c>
      <c r="K22" s="67" t="inlineStr">
        <is>
          <t>Kg</t>
        </is>
      </c>
      <c r="L22" s="76" t="n">
        <v>2.5</v>
      </c>
      <c r="M22" s="68" t="n"/>
    </row>
    <row r="23" ht="19.5" customHeight="1" s="45">
      <c r="B23" s="67" t="inlineStr">
        <is>
          <t>M2-C-03</t>
        </is>
      </c>
      <c r="C23" s="67" t="inlineStr">
        <is>
          <t>M2</t>
        </is>
      </c>
      <c r="D23" s="67" t="inlineStr">
        <is>
          <t>S01</t>
        </is>
      </c>
      <c r="E23" s="67" t="inlineStr">
        <is>
          <t>Yes</t>
        </is>
      </c>
      <c r="F23" s="67" t="inlineStr">
        <is>
          <t>Retailer</t>
        </is>
      </c>
      <c r="G23" s="75" t="n">
        <v>1475</v>
      </c>
      <c r="H23" s="67" t="inlineStr">
        <is>
          <t>Kg</t>
        </is>
      </c>
      <c r="I23" s="76" t="n">
        <v>1475</v>
      </c>
      <c r="J23" s="75" t="n">
        <v>2.5</v>
      </c>
      <c r="K23" s="67" t="inlineStr">
        <is>
          <t>Kg</t>
        </is>
      </c>
      <c r="L23" s="76" t="n">
        <v>2.5</v>
      </c>
      <c r="M23" s="68" t="n"/>
    </row>
    <row r="24" ht="19.5" customHeight="1" s="45">
      <c r="B24" s="67" t="inlineStr">
        <is>
          <t>M2-C-03</t>
        </is>
      </c>
      <c r="C24" s="67" t="inlineStr">
        <is>
          <t>M2</t>
        </is>
      </c>
      <c r="D24" s="67" t="inlineStr">
        <is>
          <t>S10</t>
        </is>
      </c>
      <c r="E24" s="67" t="inlineStr">
        <is>
          <t>Yes</t>
        </is>
      </c>
      <c r="F24" s="67" t="inlineStr">
        <is>
          <t>Retailer</t>
        </is>
      </c>
      <c r="G24" s="75" t="n">
        <v>235</v>
      </c>
      <c r="H24" s="67" t="inlineStr">
        <is>
          <t>Kg</t>
        </is>
      </c>
      <c r="I24" s="76" t="n">
        <v>235</v>
      </c>
      <c r="J24" s="75" t="n">
        <v>1.5</v>
      </c>
      <c r="K24" s="67" t="inlineStr">
        <is>
          <t>Kg</t>
        </is>
      </c>
      <c r="L24" s="76" t="n">
        <v>1.5</v>
      </c>
      <c r="M24" s="68" t="n"/>
    </row>
    <row r="25" ht="19.5" customHeight="1" s="45">
      <c r="B25" s="67" t="inlineStr">
        <is>
          <t>M2-C-03</t>
        </is>
      </c>
      <c r="C25" s="67" t="inlineStr">
        <is>
          <t>M2</t>
        </is>
      </c>
      <c r="D25" s="67" t="inlineStr">
        <is>
          <t>S05</t>
        </is>
      </c>
      <c r="E25" s="67" t="inlineStr">
        <is>
          <t>Yes</t>
        </is>
      </c>
      <c r="F25" s="67" t="inlineStr">
        <is>
          <t>Retailer</t>
        </is>
      </c>
      <c r="G25" s="75" t="n">
        <v>575</v>
      </c>
      <c r="H25" s="67" t="inlineStr">
        <is>
          <t>Kg</t>
        </is>
      </c>
      <c r="I25" s="76" t="n">
        <v>575</v>
      </c>
      <c r="J25" s="75" t="n">
        <v>2.5</v>
      </c>
      <c r="K25" s="67" t="inlineStr">
        <is>
          <t>Kg</t>
        </is>
      </c>
      <c r="L25" s="76" t="n">
        <v>2.5</v>
      </c>
      <c r="M25" s="68" t="n"/>
    </row>
    <row r="26" ht="19.5" customHeight="1" s="45">
      <c r="B26" s="67" t="inlineStr">
        <is>
          <t>M2-C-04</t>
        </is>
      </c>
      <c r="C26" s="67" t="inlineStr">
        <is>
          <t>M2</t>
        </is>
      </c>
      <c r="D26" s="67" t="inlineStr">
        <is>
          <t>S05</t>
        </is>
      </c>
      <c r="E26" s="67" t="inlineStr">
        <is>
          <t>Yes</t>
        </is>
      </c>
      <c r="F26" s="67" t="inlineStr">
        <is>
          <t>Retailer</t>
        </is>
      </c>
      <c r="G26" s="75" t="n">
        <v>565</v>
      </c>
      <c r="H26" s="67" t="inlineStr">
        <is>
          <t>Kg</t>
        </is>
      </c>
      <c r="I26" s="76" t="n">
        <v>565</v>
      </c>
      <c r="J26" s="75" t="n">
        <v>0.75</v>
      </c>
      <c r="K26" s="67" t="inlineStr">
        <is>
          <t>Kg</t>
        </is>
      </c>
      <c r="L26" s="76" t="n">
        <v>0.75</v>
      </c>
      <c r="M26" s="68" t="n"/>
    </row>
    <row r="27" ht="19.5" customHeight="1" s="45">
      <c r="B27" s="67" t="inlineStr">
        <is>
          <t>M2-C-04</t>
        </is>
      </c>
      <c r="C27" s="67" t="inlineStr">
        <is>
          <t>M2</t>
        </is>
      </c>
      <c r="D27" s="67" t="inlineStr">
        <is>
          <t>S06</t>
        </is>
      </c>
      <c r="E27" s="67" t="inlineStr">
        <is>
          <t>Yes</t>
        </is>
      </c>
      <c r="F27" s="67" t="inlineStr">
        <is>
          <t>Retailer</t>
        </is>
      </c>
      <c r="G27" s="75" t="n">
        <v>440</v>
      </c>
      <c r="H27" s="67" t="inlineStr">
        <is>
          <t>Kg</t>
        </is>
      </c>
      <c r="I27" s="76" t="n">
        <v>440</v>
      </c>
      <c r="J27" s="75" t="n">
        <v>1.5</v>
      </c>
      <c r="K27" s="67" t="inlineStr">
        <is>
          <t>Kg</t>
        </is>
      </c>
      <c r="L27" s="76" t="n">
        <v>1.5</v>
      </c>
      <c r="M27" s="68" t="n"/>
    </row>
    <row r="28" ht="19.5" customHeight="1" s="45">
      <c r="B28" s="67" t="inlineStr">
        <is>
          <t>M2-C-04</t>
        </is>
      </c>
      <c r="C28" s="67" t="inlineStr">
        <is>
          <t>M2</t>
        </is>
      </c>
      <c r="D28" s="67" t="inlineStr">
        <is>
          <t>S04</t>
        </is>
      </c>
      <c r="E28" s="67" t="inlineStr">
        <is>
          <t>Yes</t>
        </is>
      </c>
      <c r="F28" s="67" t="inlineStr">
        <is>
          <t>Retailer</t>
        </is>
      </c>
      <c r="G28" s="75" t="n">
        <v>895</v>
      </c>
      <c r="H28" s="67" t="inlineStr">
        <is>
          <t>Kg</t>
        </is>
      </c>
      <c r="I28" s="76" t="n">
        <v>895</v>
      </c>
      <c r="J28" s="75" t="n">
        <v>1.5</v>
      </c>
      <c r="K28" s="67" t="inlineStr">
        <is>
          <t>Kg</t>
        </is>
      </c>
      <c r="L28" s="76" t="n">
        <v>1.5</v>
      </c>
      <c r="M28" s="68" t="n"/>
    </row>
    <row r="29" ht="19.5" customHeight="1" s="45">
      <c r="B29" s="67" t="inlineStr">
        <is>
          <t>M2-C-04</t>
        </is>
      </c>
      <c r="C29" s="67" t="inlineStr">
        <is>
          <t>M2</t>
        </is>
      </c>
      <c r="D29" s="67" t="inlineStr">
        <is>
          <t>S09</t>
        </is>
      </c>
      <c r="E29" s="67" t="inlineStr">
        <is>
          <t>No</t>
        </is>
      </c>
      <c r="F29" s="67" t="n"/>
      <c r="G29" s="75" t="inlineStr">
        <is>
          <t>K</t>
        </is>
      </c>
      <c r="H29" s="67" t="n"/>
      <c r="I29" s="76" t="n"/>
      <c r="J29" s="75" t="n"/>
      <c r="K29" s="67" t="n"/>
      <c r="L29" s="76" t="n"/>
      <c r="M29" s="68" t="n"/>
    </row>
    <row r="30" ht="19.5" customHeight="1" s="45">
      <c r="B30" s="67" t="inlineStr">
        <is>
          <t>M2-C-04</t>
        </is>
      </c>
      <c r="C30" s="67" t="inlineStr">
        <is>
          <t>M2</t>
        </is>
      </c>
      <c r="D30" s="67" t="inlineStr">
        <is>
          <t>S02</t>
        </is>
      </c>
      <c r="E30" s="67" t="inlineStr">
        <is>
          <t>No</t>
        </is>
      </c>
      <c r="F30" s="67" t="n"/>
      <c r="G30" s="75" t="inlineStr">
        <is>
          <t>K</t>
        </is>
      </c>
      <c r="H30" s="67" t="n"/>
      <c r="I30" s="76" t="n"/>
      <c r="J30" s="75" t="n"/>
      <c r="K30" s="67" t="n"/>
      <c r="L30" s="76" t="n"/>
      <c r="M30" s="68" t="n"/>
    </row>
    <row r="31" ht="19.5" customHeight="1" s="45">
      <c r="B31" s="67" t="inlineStr">
        <is>
          <t>M2-C-05</t>
        </is>
      </c>
      <c r="C31" s="67" t="inlineStr">
        <is>
          <t>M2</t>
        </is>
      </c>
      <c r="D31" s="67" t="inlineStr">
        <is>
          <t>S09</t>
        </is>
      </c>
      <c r="E31" s="67" t="inlineStr">
        <is>
          <t>Yes</t>
        </is>
      </c>
      <c r="F31" s="67" t="inlineStr">
        <is>
          <t>Retailer</t>
        </is>
      </c>
      <c r="G31" s="75" t="n">
        <v>275</v>
      </c>
      <c r="H31" s="67" t="inlineStr">
        <is>
          <t>Kg</t>
        </is>
      </c>
      <c r="I31" s="76" t="n">
        <v>275</v>
      </c>
      <c r="J31" s="75" t="n">
        <v>3</v>
      </c>
      <c r="K31" s="67" t="inlineStr">
        <is>
          <t>Kg</t>
        </is>
      </c>
      <c r="L31" s="76" t="n">
        <v>3</v>
      </c>
      <c r="M31" s="68" t="n"/>
    </row>
    <row r="32" ht="19.5" customHeight="1" s="45">
      <c r="B32" s="67" t="inlineStr">
        <is>
          <t>M2-C-05</t>
        </is>
      </c>
      <c r="C32" s="67" t="inlineStr">
        <is>
          <t>M2</t>
        </is>
      </c>
      <c r="D32" s="67" t="inlineStr">
        <is>
          <t>S01</t>
        </is>
      </c>
      <c r="E32" s="67" t="inlineStr">
        <is>
          <t>Yes</t>
        </is>
      </c>
      <c r="F32" s="67" t="inlineStr">
        <is>
          <t>Retailer</t>
        </is>
      </c>
      <c r="G32" s="75" t="n">
        <v>1425</v>
      </c>
      <c r="H32" s="67" t="inlineStr">
        <is>
          <t>Kg</t>
        </is>
      </c>
      <c r="I32" s="76" t="n">
        <v>1425</v>
      </c>
      <c r="J32" s="75" t="n">
        <v>1</v>
      </c>
      <c r="K32" s="67" t="inlineStr">
        <is>
          <t>Kg</t>
        </is>
      </c>
      <c r="L32" s="76" t="n">
        <v>1</v>
      </c>
      <c r="M32" s="68" t="n"/>
    </row>
    <row r="33" ht="19.5" customHeight="1" s="45">
      <c r="B33" s="67" t="inlineStr">
        <is>
          <t>M2-C-05</t>
        </is>
      </c>
      <c r="C33" s="67" t="inlineStr">
        <is>
          <t>M2</t>
        </is>
      </c>
      <c r="D33" s="67" t="inlineStr">
        <is>
          <t>S08</t>
        </is>
      </c>
      <c r="E33" s="67" t="inlineStr">
        <is>
          <t>Yes</t>
        </is>
      </c>
      <c r="F33" s="67" t="inlineStr">
        <is>
          <t>Retailer</t>
        </is>
      </c>
      <c r="G33" s="75" t="n">
        <v>350</v>
      </c>
      <c r="H33" s="67" t="inlineStr">
        <is>
          <t>Kg</t>
        </is>
      </c>
      <c r="I33" s="76" t="n">
        <v>350</v>
      </c>
      <c r="J33" s="75" t="n">
        <v>1</v>
      </c>
      <c r="K33" s="67" t="inlineStr">
        <is>
          <t>Kg</t>
        </is>
      </c>
      <c r="L33" s="76" t="n">
        <v>1</v>
      </c>
      <c r="M33" s="68" t="n"/>
    </row>
    <row r="34" ht="19.5" customHeight="1" s="45">
      <c r="B34" s="67" t="inlineStr">
        <is>
          <t>M2-C-05</t>
        </is>
      </c>
      <c r="C34" s="67" t="inlineStr">
        <is>
          <t>M2</t>
        </is>
      </c>
      <c r="D34" s="67" t="inlineStr">
        <is>
          <t>S05</t>
        </is>
      </c>
      <c r="E34" s="67" t="inlineStr">
        <is>
          <t>No</t>
        </is>
      </c>
      <c r="F34" s="67" t="n"/>
      <c r="G34" s="75" t="inlineStr">
        <is>
          <t>K</t>
        </is>
      </c>
      <c r="H34" s="67" t="n"/>
      <c r="I34" s="76" t="n"/>
      <c r="J34" s="75" t="n"/>
      <c r="K34" s="67" t="n"/>
      <c r="L34" s="76" t="n"/>
      <c r="M34" s="68" t="n"/>
    </row>
    <row r="35" ht="19.5" customHeight="1" s="45">
      <c r="B35" s="67" t="inlineStr">
        <is>
          <t>M3-C-01</t>
        </is>
      </c>
      <c r="C35" s="67" t="inlineStr">
        <is>
          <t>M3</t>
        </is>
      </c>
      <c r="D35" s="67" t="inlineStr">
        <is>
          <t>S06</t>
        </is>
      </c>
      <c r="E35" s="67" t="inlineStr">
        <is>
          <t>Yes</t>
        </is>
      </c>
      <c r="F35" s="67" t="inlineStr">
        <is>
          <t>Retailer</t>
        </is>
      </c>
      <c r="G35" s="75" t="n">
        <v>460</v>
      </c>
      <c r="H35" s="67" t="inlineStr">
        <is>
          <t>Kg</t>
        </is>
      </c>
      <c r="I35" s="76" t="n">
        <v>460</v>
      </c>
      <c r="J35" s="75" t="n">
        <v>1</v>
      </c>
      <c r="K35" s="67" t="inlineStr">
        <is>
          <t>Kg</t>
        </is>
      </c>
      <c r="L35" s="76" t="n">
        <v>1</v>
      </c>
      <c r="M35" s="68" t="n"/>
    </row>
    <row r="36" ht="19.5" customHeight="1" s="45">
      <c r="B36" s="67" t="inlineStr">
        <is>
          <t>M3-C-01</t>
        </is>
      </c>
      <c r="C36" s="67" t="inlineStr">
        <is>
          <t>M3</t>
        </is>
      </c>
      <c r="D36" s="67" t="inlineStr">
        <is>
          <t>S02</t>
        </is>
      </c>
      <c r="E36" s="67" t="inlineStr">
        <is>
          <t>Yes</t>
        </is>
      </c>
      <c r="F36" s="67" t="inlineStr">
        <is>
          <t>Retailer</t>
        </is>
      </c>
      <c r="G36" s="75" t="n">
        <v>1670</v>
      </c>
      <c r="H36" s="67" t="inlineStr">
        <is>
          <t>Kg</t>
        </is>
      </c>
      <c r="I36" s="76" t="n">
        <v>1670</v>
      </c>
      <c r="J36" s="75" t="n">
        <v>2</v>
      </c>
      <c r="K36" s="67" t="inlineStr">
        <is>
          <t>Kg</t>
        </is>
      </c>
      <c r="L36" s="76" t="n">
        <v>2</v>
      </c>
      <c r="M36" s="68" t="n"/>
    </row>
    <row r="37" ht="19.5" customHeight="1" s="45">
      <c r="B37" s="67" t="inlineStr">
        <is>
          <t>M3-C-02</t>
        </is>
      </c>
      <c r="C37" s="67" t="inlineStr">
        <is>
          <t>M3</t>
        </is>
      </c>
      <c r="D37" s="67" t="inlineStr">
        <is>
          <t>S06</t>
        </is>
      </c>
      <c r="E37" s="67" t="inlineStr">
        <is>
          <t>Yes</t>
        </is>
      </c>
      <c r="F37" s="67" t="inlineStr">
        <is>
          <t>Retailer</t>
        </is>
      </c>
      <c r="G37" s="75" t="n">
        <v>445</v>
      </c>
      <c r="H37" s="67" t="inlineStr">
        <is>
          <t>Kg</t>
        </is>
      </c>
      <c r="I37" s="76" t="n">
        <v>445</v>
      </c>
      <c r="J37" s="75" t="n">
        <v>2.5</v>
      </c>
      <c r="K37" s="67" t="inlineStr">
        <is>
          <t>Kg</t>
        </is>
      </c>
      <c r="L37" s="76" t="n">
        <v>2.5</v>
      </c>
      <c r="M37" s="68" t="n"/>
    </row>
    <row r="38" ht="19.5" customHeight="1" s="45">
      <c r="B38" s="67" t="inlineStr">
        <is>
          <t>M3-C-02</t>
        </is>
      </c>
      <c r="C38" s="67" t="inlineStr">
        <is>
          <t>M3</t>
        </is>
      </c>
      <c r="D38" s="67" t="inlineStr">
        <is>
          <t>S09</t>
        </is>
      </c>
      <c r="E38" s="67" t="inlineStr">
        <is>
          <t>No</t>
        </is>
      </c>
      <c r="F38" s="67" t="n"/>
      <c r="G38" s="75" t="inlineStr">
        <is>
          <t>K</t>
        </is>
      </c>
      <c r="H38" s="67" t="n"/>
      <c r="I38" s="76" t="n"/>
      <c r="J38" s="75" t="n"/>
      <c r="K38" s="67" t="n"/>
      <c r="L38" s="76" t="n"/>
      <c r="M38" s="68" t="n"/>
    </row>
    <row r="39" ht="19.5" customHeight="1" s="45">
      <c r="B39" s="67" t="inlineStr">
        <is>
          <t>M3-C-03</t>
        </is>
      </c>
      <c r="C39" s="67" t="inlineStr">
        <is>
          <t>M3</t>
        </is>
      </c>
      <c r="D39" s="67" t="inlineStr">
        <is>
          <t>S05</t>
        </is>
      </c>
      <c r="E39" s="67" t="inlineStr">
        <is>
          <t>Yes</t>
        </is>
      </c>
      <c r="F39" s="67" t="inlineStr">
        <is>
          <t>Retailer</t>
        </is>
      </c>
      <c r="G39" s="75" t="n">
        <v>600</v>
      </c>
      <c r="H39" s="67" t="inlineStr">
        <is>
          <t>Kg</t>
        </is>
      </c>
      <c r="I39" s="76" t="n">
        <v>600</v>
      </c>
      <c r="J39" s="75" t="n">
        <v>2.5</v>
      </c>
      <c r="K39" s="67" t="inlineStr">
        <is>
          <t>Kg</t>
        </is>
      </c>
      <c r="L39" s="76" t="n">
        <v>2.5</v>
      </c>
      <c r="M39" s="68" t="n"/>
    </row>
    <row r="40" ht="19.5" customHeight="1" s="45">
      <c r="B40" s="67" t="inlineStr">
        <is>
          <t>M3-C-03</t>
        </is>
      </c>
      <c r="C40" s="67" t="inlineStr">
        <is>
          <t>M3</t>
        </is>
      </c>
      <c r="D40" s="67" t="inlineStr">
        <is>
          <t>S06</t>
        </is>
      </c>
      <c r="E40" s="67" t="inlineStr">
        <is>
          <t>Yes</t>
        </is>
      </c>
      <c r="F40" s="67" t="inlineStr">
        <is>
          <t>Retailer</t>
        </is>
      </c>
      <c r="G40" s="75" t="n">
        <v>445</v>
      </c>
      <c r="H40" s="67" t="inlineStr">
        <is>
          <t>Kg</t>
        </is>
      </c>
      <c r="I40" s="76" t="n">
        <v>445</v>
      </c>
      <c r="J40" s="75" t="n">
        <v>3</v>
      </c>
      <c r="K40" s="67" t="inlineStr">
        <is>
          <t>Kg</t>
        </is>
      </c>
      <c r="L40" s="76" t="n">
        <v>3</v>
      </c>
      <c r="M40" s="68" t="n"/>
    </row>
    <row r="41" ht="19.5" customHeight="1" s="45">
      <c r="B41" s="67" t="inlineStr">
        <is>
          <t>M3-C-03</t>
        </is>
      </c>
      <c r="C41" s="67" t="inlineStr">
        <is>
          <t>M3</t>
        </is>
      </c>
      <c r="D41" s="67" t="inlineStr">
        <is>
          <t>S01</t>
        </is>
      </c>
      <c r="E41" s="67" t="inlineStr">
        <is>
          <t>Yes</t>
        </is>
      </c>
      <c r="F41" s="67" t="inlineStr">
        <is>
          <t>Retailer</t>
        </is>
      </c>
      <c r="G41" s="75" t="n">
        <v>1520</v>
      </c>
      <c r="H41" s="67" t="inlineStr">
        <is>
          <t>Kg</t>
        </is>
      </c>
      <c r="I41" s="76" t="n">
        <v>1520</v>
      </c>
      <c r="J41" s="75" t="n">
        <v>3</v>
      </c>
      <c r="K41" s="67" t="inlineStr">
        <is>
          <t>Kg</t>
        </is>
      </c>
      <c r="L41" s="76" t="n">
        <v>3</v>
      </c>
      <c r="M41" s="68" t="n"/>
    </row>
    <row r="42" ht="19.5" customHeight="1" s="45">
      <c r="B42" s="67" t="inlineStr">
        <is>
          <t>M3-C-04</t>
        </is>
      </c>
      <c r="C42" s="67" t="inlineStr">
        <is>
          <t>M3</t>
        </is>
      </c>
      <c r="D42" s="67" t="inlineStr">
        <is>
          <t>S05</t>
        </is>
      </c>
      <c r="E42" s="67" t="inlineStr">
        <is>
          <t>Yes</t>
        </is>
      </c>
      <c r="F42" s="67" t="inlineStr">
        <is>
          <t>Retailer</t>
        </is>
      </c>
      <c r="G42" s="75" t="n">
        <v>600</v>
      </c>
      <c r="H42" s="67" t="inlineStr">
        <is>
          <t>Kg</t>
        </is>
      </c>
      <c r="I42" s="76" t="n">
        <v>600</v>
      </c>
      <c r="J42" s="75" t="n">
        <v>1</v>
      </c>
      <c r="K42" s="67" t="inlineStr">
        <is>
          <t>Kg</t>
        </is>
      </c>
      <c r="L42" s="76" t="n">
        <v>1</v>
      </c>
      <c r="M42" s="68" t="n"/>
    </row>
    <row r="43" ht="19.5" customHeight="1" s="45">
      <c r="B43" s="67" t="inlineStr">
        <is>
          <t>M3-C-05</t>
        </is>
      </c>
      <c r="C43" s="67" t="inlineStr">
        <is>
          <t>M3</t>
        </is>
      </c>
      <c r="D43" s="67" t="inlineStr">
        <is>
          <t>S01</t>
        </is>
      </c>
      <c r="E43" s="67" t="inlineStr">
        <is>
          <t>Yes</t>
        </is>
      </c>
      <c r="F43" s="67" t="inlineStr">
        <is>
          <t>Retailer</t>
        </is>
      </c>
      <c r="G43" s="75" t="n">
        <v>1495</v>
      </c>
      <c r="H43" s="67" t="inlineStr">
        <is>
          <t>Kg</t>
        </is>
      </c>
      <c r="I43" s="76" t="n">
        <v>1495</v>
      </c>
      <c r="J43" s="75" t="n">
        <v>1.5</v>
      </c>
      <c r="K43" s="67" t="inlineStr">
        <is>
          <t>Kg</t>
        </is>
      </c>
      <c r="L43" s="76" t="n">
        <v>1.5</v>
      </c>
      <c r="M43" s="68" t="n"/>
    </row>
    <row r="44" ht="19.5" customHeight="1" s="45">
      <c r="B44" s="67" t="inlineStr">
        <is>
          <t>M4-C-01</t>
        </is>
      </c>
      <c r="C44" s="67" t="inlineStr">
        <is>
          <t>M4</t>
        </is>
      </c>
      <c r="D44" s="67" t="inlineStr">
        <is>
          <t>S05</t>
        </is>
      </c>
      <c r="E44" s="67" t="inlineStr">
        <is>
          <t>Yes</t>
        </is>
      </c>
      <c r="F44" s="67" t="inlineStr">
        <is>
          <t>Retailer</t>
        </is>
      </c>
      <c r="G44" s="75" t="n">
        <v>585</v>
      </c>
      <c r="H44" s="67" t="inlineStr">
        <is>
          <t>Kg</t>
        </is>
      </c>
      <c r="I44" s="76" t="n">
        <v>585</v>
      </c>
      <c r="J44" s="75" t="n">
        <v>2.5</v>
      </c>
      <c r="K44" s="67" t="inlineStr">
        <is>
          <t>Kg</t>
        </is>
      </c>
      <c r="L44" s="76" t="n">
        <v>2.5</v>
      </c>
      <c r="M44" s="68" t="n"/>
    </row>
    <row r="45" ht="19.5" customHeight="1" s="45">
      <c r="B45" s="67" t="inlineStr">
        <is>
          <t>M4-C-02</t>
        </is>
      </c>
      <c r="C45" s="67" t="inlineStr">
        <is>
          <t>M4</t>
        </is>
      </c>
      <c r="D45" s="67" t="inlineStr">
        <is>
          <t>S01</t>
        </is>
      </c>
      <c r="E45" s="67" t="inlineStr">
        <is>
          <t>Yes</t>
        </is>
      </c>
      <c r="F45" s="67" t="inlineStr">
        <is>
          <t>Retailer</t>
        </is>
      </c>
      <c r="G45" s="75" t="n">
        <v>1475</v>
      </c>
      <c r="H45" s="67" t="inlineStr">
        <is>
          <t>Kg</t>
        </is>
      </c>
      <c r="I45" s="76" t="n">
        <v>1475</v>
      </c>
      <c r="J45" s="75" t="n">
        <v>0.5</v>
      </c>
      <c r="K45" s="67" t="inlineStr">
        <is>
          <t>Kg</t>
        </is>
      </c>
      <c r="L45" s="76" t="n">
        <v>0.5</v>
      </c>
      <c r="M45" s="68" t="n"/>
    </row>
    <row r="46" ht="19.5" customHeight="1" s="45">
      <c r="B46" s="67" t="inlineStr">
        <is>
          <t>M4-C-02</t>
        </is>
      </c>
      <c r="C46" s="67" t="inlineStr">
        <is>
          <t>M4</t>
        </is>
      </c>
      <c r="D46" s="67" t="inlineStr">
        <is>
          <t>S10</t>
        </is>
      </c>
      <c r="E46" s="67" t="inlineStr">
        <is>
          <t>Yes</t>
        </is>
      </c>
      <c r="F46" s="67" t="inlineStr">
        <is>
          <t>Retailer</t>
        </is>
      </c>
      <c r="G46" s="75" t="n">
        <v>230</v>
      </c>
      <c r="H46" s="67" t="inlineStr">
        <is>
          <t>Kg</t>
        </is>
      </c>
      <c r="I46" s="76" t="n">
        <v>230</v>
      </c>
      <c r="J46" s="75" t="n">
        <v>1</v>
      </c>
      <c r="K46" s="67" t="inlineStr">
        <is>
          <t>Kg</t>
        </is>
      </c>
      <c r="L46" s="76" t="n">
        <v>1</v>
      </c>
      <c r="M46" s="68" t="n"/>
    </row>
    <row r="47" ht="19.5" customHeight="1" s="45">
      <c r="B47" s="67" t="inlineStr">
        <is>
          <t>M4-C-03</t>
        </is>
      </c>
      <c r="C47" s="67" t="inlineStr">
        <is>
          <t>M4</t>
        </is>
      </c>
      <c r="D47" s="67" t="inlineStr">
        <is>
          <t>S07</t>
        </is>
      </c>
      <c r="E47" s="67" t="inlineStr">
        <is>
          <t>Yes</t>
        </is>
      </c>
      <c r="F47" s="67" t="inlineStr">
        <is>
          <t>Retailer</t>
        </is>
      </c>
      <c r="G47" s="75" t="n">
        <v>520</v>
      </c>
      <c r="H47" s="67" t="inlineStr">
        <is>
          <t>Kg</t>
        </is>
      </c>
      <c r="I47" s="76" t="n">
        <v>520</v>
      </c>
      <c r="J47" s="75" t="n">
        <v>3</v>
      </c>
      <c r="K47" s="67" t="inlineStr">
        <is>
          <t>Kg</t>
        </is>
      </c>
      <c r="L47" s="76" t="n">
        <v>3</v>
      </c>
      <c r="M47" s="68" t="n"/>
    </row>
    <row r="48" ht="19.5" customHeight="1" s="45">
      <c r="B48" s="67" t="inlineStr">
        <is>
          <t>M4-C-04</t>
        </is>
      </c>
      <c r="C48" s="67" t="inlineStr">
        <is>
          <t>M4</t>
        </is>
      </c>
      <c r="D48" s="67" t="inlineStr">
        <is>
          <t>S06</t>
        </is>
      </c>
      <c r="E48" s="67" t="inlineStr">
        <is>
          <t>Yes</t>
        </is>
      </c>
      <c r="F48" s="67" t="inlineStr">
        <is>
          <t>Hawker</t>
        </is>
      </c>
      <c r="G48" s="75" t="n">
        <v>450</v>
      </c>
      <c r="H48" s="67" t="inlineStr">
        <is>
          <t>Kg</t>
        </is>
      </c>
      <c r="I48" s="76" t="n">
        <v>450</v>
      </c>
      <c r="J48" s="75" t="n">
        <v>2.5</v>
      </c>
      <c r="K48" s="67" t="inlineStr">
        <is>
          <t>Kg</t>
        </is>
      </c>
      <c r="L48" s="76" t="n">
        <v>2.5</v>
      </c>
      <c r="M48" s="68" t="n"/>
    </row>
    <row r="49" ht="19.5" customHeight="1" s="45">
      <c r="B49" s="67" t="inlineStr">
        <is>
          <t>M4-C-05</t>
        </is>
      </c>
      <c r="C49" s="67" t="inlineStr">
        <is>
          <t>M4</t>
        </is>
      </c>
      <c r="D49" s="67" t="inlineStr">
        <is>
          <t>S06</t>
        </is>
      </c>
      <c r="E49" s="67" t="inlineStr">
        <is>
          <t>Yes</t>
        </is>
      </c>
      <c r="F49" s="67" t="inlineStr">
        <is>
          <t>Retailer</t>
        </is>
      </c>
      <c r="G49" s="75" t="n">
        <v>440</v>
      </c>
      <c r="H49" s="67" t="inlineStr">
        <is>
          <t>Kg</t>
        </is>
      </c>
      <c r="I49" s="76" t="n">
        <v>440</v>
      </c>
      <c r="J49" s="75" t="n">
        <v>3</v>
      </c>
      <c r="K49" s="67" t="inlineStr">
        <is>
          <t>Kg</t>
        </is>
      </c>
      <c r="L49" s="76" t="n">
        <v>3</v>
      </c>
      <c r="M49" s="68" t="n"/>
    </row>
    <row r="50" ht="19.5" customHeight="1" s="45">
      <c r="B50" s="67" t="inlineStr">
        <is>
          <t>M4-C-05</t>
        </is>
      </c>
      <c r="C50" s="67" t="inlineStr">
        <is>
          <t>M4</t>
        </is>
      </c>
      <c r="D50" s="67" t="inlineStr">
        <is>
          <t>S01</t>
        </is>
      </c>
      <c r="E50" s="67" t="inlineStr">
        <is>
          <t>Yes</t>
        </is>
      </c>
      <c r="F50" s="67" t="inlineStr">
        <is>
          <t>Retailer</t>
        </is>
      </c>
      <c r="G50" s="75" t="n">
        <v>1485</v>
      </c>
      <c r="H50" s="67" t="inlineStr">
        <is>
          <t>Kg</t>
        </is>
      </c>
      <c r="I50" s="76" t="n">
        <v>1485</v>
      </c>
      <c r="J50" s="75" t="n">
        <v>3</v>
      </c>
      <c r="K50" s="67" t="inlineStr">
        <is>
          <t>Kg</t>
        </is>
      </c>
      <c r="L50" s="76" t="n">
        <v>3</v>
      </c>
      <c r="M50" s="68" t="n"/>
    </row>
    <row r="51" ht="19.5" customHeight="1" s="45">
      <c r="B51" s="67" t="inlineStr">
        <is>
          <t>M4-C-05</t>
        </is>
      </c>
      <c r="C51" s="67" t="inlineStr">
        <is>
          <t>M4</t>
        </is>
      </c>
      <c r="D51" s="67" t="inlineStr">
        <is>
          <t>S05</t>
        </is>
      </c>
      <c r="E51" s="67" t="inlineStr">
        <is>
          <t>No</t>
        </is>
      </c>
      <c r="F51" s="67" t="n"/>
      <c r="G51" s="75" t="inlineStr">
        <is>
          <t>K</t>
        </is>
      </c>
      <c r="H51" s="67" t="n"/>
      <c r="I51" s="76" t="n"/>
      <c r="J51" s="75" t="n"/>
      <c r="K51" s="67" t="n"/>
      <c r="L51" s="76" t="n"/>
      <c r="M51" s="68" t="n"/>
    </row>
    <row r="52" ht="19.5" customHeight="1" s="45">
      <c r="B52" s="67" t="inlineStr">
        <is>
          <t>M5-C-01</t>
        </is>
      </c>
      <c r="C52" s="67" t="inlineStr">
        <is>
          <t>M5</t>
        </is>
      </c>
      <c r="D52" s="67" t="inlineStr">
        <is>
          <t>S05</t>
        </is>
      </c>
      <c r="E52" s="67" t="inlineStr">
        <is>
          <t>Yes</t>
        </is>
      </c>
      <c r="F52" s="67" t="inlineStr">
        <is>
          <t>Retailer</t>
        </is>
      </c>
      <c r="G52" s="75" t="n">
        <v>615</v>
      </c>
      <c r="H52" s="67" t="inlineStr">
        <is>
          <t>Kg</t>
        </is>
      </c>
      <c r="I52" s="76" t="n">
        <v>615</v>
      </c>
      <c r="J52" s="75" t="n">
        <v>1</v>
      </c>
      <c r="K52" s="67" t="inlineStr">
        <is>
          <t>Kg</t>
        </is>
      </c>
      <c r="L52" s="76" t="n">
        <v>1</v>
      </c>
      <c r="M52" s="68" t="n"/>
    </row>
    <row r="53" ht="19.5" customHeight="1" s="45">
      <c r="B53" s="67" t="inlineStr">
        <is>
          <t>M5-C-02</t>
        </is>
      </c>
      <c r="C53" s="67" t="inlineStr">
        <is>
          <t>M5</t>
        </is>
      </c>
      <c r="D53" s="67" t="inlineStr">
        <is>
          <t>S06</t>
        </is>
      </c>
      <c r="E53" s="67" t="inlineStr">
        <is>
          <t>Yes</t>
        </is>
      </c>
      <c r="F53" s="67" t="inlineStr">
        <is>
          <t>Retailer</t>
        </is>
      </c>
      <c r="G53" s="75" t="n">
        <v>465</v>
      </c>
      <c r="H53" s="67" t="inlineStr">
        <is>
          <t>Kg</t>
        </is>
      </c>
      <c r="I53" s="76" t="n">
        <v>465</v>
      </c>
      <c r="J53" s="75" t="n">
        <v>0.5</v>
      </c>
      <c r="K53" s="67" t="inlineStr">
        <is>
          <t>Kg</t>
        </is>
      </c>
      <c r="L53" s="76" t="n">
        <v>0.5</v>
      </c>
      <c r="M53" s="68" t="n"/>
    </row>
    <row r="54" ht="19.5" customHeight="1" s="45">
      <c r="B54" s="67" t="inlineStr">
        <is>
          <t>M5-C-02</t>
        </is>
      </c>
      <c r="C54" s="67" t="inlineStr">
        <is>
          <t>M5</t>
        </is>
      </c>
      <c r="D54" s="67" t="inlineStr">
        <is>
          <t>S09</t>
        </is>
      </c>
      <c r="E54" s="67" t="inlineStr">
        <is>
          <t>Yes</t>
        </is>
      </c>
      <c r="F54" s="67" t="inlineStr">
        <is>
          <t>Retailer</t>
        </is>
      </c>
      <c r="G54" s="75" t="n">
        <v>275</v>
      </c>
      <c r="H54" s="67" t="inlineStr">
        <is>
          <t>Kg</t>
        </is>
      </c>
      <c r="I54" s="76" t="n">
        <v>275</v>
      </c>
      <c r="J54" s="75" t="n">
        <v>1</v>
      </c>
      <c r="K54" s="67" t="inlineStr">
        <is>
          <t>Kg</t>
        </is>
      </c>
      <c r="L54" s="76" t="n">
        <v>1</v>
      </c>
      <c r="M54" s="68" t="n"/>
    </row>
    <row r="55" ht="19.5" customHeight="1" s="45">
      <c r="B55" s="67" t="inlineStr">
        <is>
          <t>M5-C-02</t>
        </is>
      </c>
      <c r="C55" s="67" t="inlineStr">
        <is>
          <t>M5</t>
        </is>
      </c>
      <c r="D55" s="67" t="inlineStr">
        <is>
          <t>S07</t>
        </is>
      </c>
      <c r="E55" s="67" t="inlineStr">
        <is>
          <t>Yes</t>
        </is>
      </c>
      <c r="F55" s="67" t="inlineStr">
        <is>
          <t>Retailer</t>
        </is>
      </c>
      <c r="G55" s="75" t="n">
        <v>530</v>
      </c>
      <c r="H55" s="67" t="inlineStr">
        <is>
          <t>Kg</t>
        </is>
      </c>
      <c r="I55" s="76" t="n">
        <v>530</v>
      </c>
      <c r="J55" s="75" t="n">
        <v>2</v>
      </c>
      <c r="K55" s="67" t="inlineStr">
        <is>
          <t>Kg</t>
        </is>
      </c>
      <c r="L55" s="76" t="n">
        <v>2</v>
      </c>
      <c r="M55" s="68" t="n"/>
    </row>
    <row r="56" ht="19.5" customHeight="1" s="45">
      <c r="B56" s="67" t="inlineStr">
        <is>
          <t>M5-C-03</t>
        </is>
      </c>
      <c r="C56" s="67" t="inlineStr">
        <is>
          <t>M5</t>
        </is>
      </c>
      <c r="D56" s="67" t="inlineStr">
        <is>
          <t>S05</t>
        </is>
      </c>
      <c r="E56" s="67" t="inlineStr">
        <is>
          <t>Yes</t>
        </is>
      </c>
      <c r="F56" s="67" t="inlineStr">
        <is>
          <t>Retailer</t>
        </is>
      </c>
      <c r="G56" s="75" t="n">
        <v>620</v>
      </c>
      <c r="H56" s="67" t="inlineStr">
        <is>
          <t>Kg</t>
        </is>
      </c>
      <c r="I56" s="76" t="n">
        <v>620</v>
      </c>
      <c r="J56" s="75" t="n">
        <v>0.75</v>
      </c>
      <c r="K56" s="67" t="inlineStr">
        <is>
          <t>Kg</t>
        </is>
      </c>
      <c r="L56" s="76" t="n">
        <v>0.75</v>
      </c>
      <c r="M56" s="68" t="n"/>
    </row>
    <row r="57" ht="19.5" customHeight="1" s="45">
      <c r="B57" s="67" t="inlineStr">
        <is>
          <t>M5-C-03</t>
        </is>
      </c>
      <c r="C57" s="67" t="inlineStr">
        <is>
          <t>M5</t>
        </is>
      </c>
      <c r="D57" s="67" t="inlineStr">
        <is>
          <t>S09</t>
        </is>
      </c>
      <c r="E57" s="67" t="inlineStr">
        <is>
          <t>Yes</t>
        </is>
      </c>
      <c r="F57" s="67" t="inlineStr">
        <is>
          <t>Retailer</t>
        </is>
      </c>
      <c r="G57" s="75" t="n">
        <v>285</v>
      </c>
      <c r="H57" s="67" t="inlineStr">
        <is>
          <t>Kg</t>
        </is>
      </c>
      <c r="I57" s="76" t="n">
        <v>285</v>
      </c>
      <c r="J57" s="75" t="n">
        <v>3</v>
      </c>
      <c r="K57" s="67" t="inlineStr">
        <is>
          <t>Kg</t>
        </is>
      </c>
      <c r="L57" s="76" t="n">
        <v>3</v>
      </c>
      <c r="M57" s="68" t="n"/>
    </row>
    <row r="58" ht="19.5" customHeight="1" s="45">
      <c r="B58" s="67" t="inlineStr">
        <is>
          <t>M5-C-03</t>
        </is>
      </c>
      <c r="C58" s="67" t="inlineStr">
        <is>
          <t>M5</t>
        </is>
      </c>
      <c r="D58" s="67" t="inlineStr">
        <is>
          <t>S04</t>
        </is>
      </c>
      <c r="E58" s="67" t="inlineStr">
        <is>
          <t>No</t>
        </is>
      </c>
      <c r="F58" s="67" t="n"/>
      <c r="G58" s="75" t="inlineStr">
        <is>
          <t>K</t>
        </is>
      </c>
      <c r="H58" s="67" t="n"/>
      <c r="I58" s="76" t="n"/>
      <c r="J58" s="75" t="n"/>
      <c r="K58" s="67" t="n"/>
      <c r="L58" s="76" t="n"/>
      <c r="M58" s="68" t="n"/>
    </row>
    <row r="59" ht="19.5" customHeight="1" s="45">
      <c r="B59" s="67" t="inlineStr">
        <is>
          <t>M5-C-04</t>
        </is>
      </c>
      <c r="C59" s="67" t="inlineStr">
        <is>
          <t>M5</t>
        </is>
      </c>
      <c r="D59" s="67" t="inlineStr">
        <is>
          <t>S07</t>
        </is>
      </c>
      <c r="E59" s="67" t="inlineStr">
        <is>
          <t>Yes</t>
        </is>
      </c>
      <c r="F59" s="67" t="inlineStr">
        <is>
          <t>Hawker</t>
        </is>
      </c>
      <c r="G59" s="75" t="n">
        <v>550</v>
      </c>
      <c r="H59" s="67" t="inlineStr">
        <is>
          <t>Kg</t>
        </is>
      </c>
      <c r="I59" s="76" t="n">
        <v>550</v>
      </c>
      <c r="J59" s="75" t="n">
        <v>0.5</v>
      </c>
      <c r="K59" s="67" t="inlineStr">
        <is>
          <t>Kg</t>
        </is>
      </c>
      <c r="L59" s="76" t="n">
        <v>0.5</v>
      </c>
      <c r="M59" s="68" t="n"/>
    </row>
    <row r="60" ht="19.5" customHeight="1" s="45">
      <c r="B60" s="67" t="inlineStr">
        <is>
          <t>M5-C-04</t>
        </is>
      </c>
      <c r="C60" s="67" t="inlineStr">
        <is>
          <t>M5</t>
        </is>
      </c>
      <c r="D60" s="67" t="inlineStr">
        <is>
          <t>S05</t>
        </is>
      </c>
      <c r="E60" s="67" t="inlineStr">
        <is>
          <t>No</t>
        </is>
      </c>
      <c r="F60" s="67" t="n"/>
      <c r="G60" s="75" t="inlineStr">
        <is>
          <t>K</t>
        </is>
      </c>
      <c r="H60" s="67" t="n"/>
      <c r="I60" s="76" t="n"/>
      <c r="J60" s="75" t="n"/>
      <c r="K60" s="67" t="n"/>
      <c r="L60" s="76" t="n"/>
      <c r="M60" s="68" t="n"/>
    </row>
    <row r="61" ht="19.5" customHeight="1" s="45">
      <c r="B61" s="67" t="inlineStr">
        <is>
          <t>M5-C-05</t>
        </is>
      </c>
      <c r="C61" s="67" t="inlineStr">
        <is>
          <t>M5</t>
        </is>
      </c>
      <c r="D61" s="67" t="inlineStr">
        <is>
          <t>S07</t>
        </is>
      </c>
      <c r="E61" s="67" t="inlineStr">
        <is>
          <t>Yes</t>
        </is>
      </c>
      <c r="F61" s="67" t="inlineStr">
        <is>
          <t>Retailer</t>
        </is>
      </c>
      <c r="G61" s="75" t="n">
        <v>560</v>
      </c>
      <c r="H61" s="67" t="inlineStr">
        <is>
          <t>Kg</t>
        </is>
      </c>
      <c r="I61" s="76" t="n">
        <v>560</v>
      </c>
      <c r="J61" s="75" t="n">
        <v>0.5</v>
      </c>
      <c r="K61" s="67" t="inlineStr">
        <is>
          <t>Kg</t>
        </is>
      </c>
      <c r="L61" s="76" t="n">
        <v>0.5</v>
      </c>
      <c r="M61" s="68" t="n"/>
    </row>
    <row r="62" ht="19.5" customHeight="1" s="45">
      <c r="B62" s="67" t="inlineStr">
        <is>
          <t>M5-C-05</t>
        </is>
      </c>
      <c r="C62" s="67" t="inlineStr">
        <is>
          <t>M5</t>
        </is>
      </c>
      <c r="D62" s="67" t="inlineStr">
        <is>
          <t>S09</t>
        </is>
      </c>
      <c r="E62" s="67" t="inlineStr">
        <is>
          <t>Yes</t>
        </is>
      </c>
      <c r="F62" s="67" t="inlineStr">
        <is>
          <t>Retailer</t>
        </is>
      </c>
      <c r="G62" s="75" t="n">
        <v>275</v>
      </c>
      <c r="H62" s="67" t="inlineStr">
        <is>
          <t>Kg</t>
        </is>
      </c>
      <c r="I62" s="76" t="n">
        <v>275</v>
      </c>
      <c r="J62" s="75" t="n">
        <v>2</v>
      </c>
      <c r="K62" s="67" t="inlineStr">
        <is>
          <t>Kg</t>
        </is>
      </c>
      <c r="L62" s="76" t="n">
        <v>2</v>
      </c>
      <c r="M62" s="68" t="n"/>
    </row>
    <row r="63" ht="19.5" customHeight="1" s="45">
      <c r="B63" s="67" t="inlineStr">
        <is>
          <t>M5-C-05</t>
        </is>
      </c>
      <c r="C63" s="67" t="inlineStr">
        <is>
          <t>M5</t>
        </is>
      </c>
      <c r="D63" s="67" t="inlineStr">
        <is>
          <t>S06</t>
        </is>
      </c>
      <c r="E63" s="67" t="inlineStr">
        <is>
          <t>No</t>
        </is>
      </c>
      <c r="F63" s="67" t="n"/>
      <c r="G63" s="75" t="inlineStr">
        <is>
          <t>K</t>
        </is>
      </c>
      <c r="H63" s="67" t="n"/>
      <c r="I63" s="76" t="n"/>
      <c r="J63" s="75" t="n"/>
      <c r="K63" s="67" t="n"/>
      <c r="L63" s="76" t="n"/>
      <c r="M63" s="68" t="n"/>
    </row>
    <row r="64" ht="19.5" customHeight="1" s="45">
      <c r="B64" s="67" t="inlineStr">
        <is>
          <t>M6-C-01</t>
        </is>
      </c>
      <c r="C64" s="67" t="inlineStr">
        <is>
          <t>M6</t>
        </is>
      </c>
      <c r="D64" s="67" t="inlineStr">
        <is>
          <t>S09</t>
        </is>
      </c>
      <c r="E64" s="67" t="inlineStr">
        <is>
          <t>Yes</t>
        </is>
      </c>
      <c r="F64" s="67" t="inlineStr">
        <is>
          <t>Retailer</t>
        </is>
      </c>
      <c r="G64" s="75" t="n">
        <v>265</v>
      </c>
      <c r="H64" s="67" t="inlineStr">
        <is>
          <t>Kg</t>
        </is>
      </c>
      <c r="I64" s="76" t="n">
        <v>265</v>
      </c>
      <c r="J64" s="75" t="n">
        <v>1.5</v>
      </c>
      <c r="K64" s="67" t="inlineStr">
        <is>
          <t>Kg</t>
        </is>
      </c>
      <c r="L64" s="76" t="n">
        <v>1.5</v>
      </c>
      <c r="M64" s="68" t="n"/>
    </row>
    <row r="65" ht="19.5" customHeight="1" s="45">
      <c r="B65" s="67" t="inlineStr">
        <is>
          <t>M6-C-02</t>
        </is>
      </c>
      <c r="C65" s="67" t="inlineStr">
        <is>
          <t>M6</t>
        </is>
      </c>
      <c r="D65" s="67" t="inlineStr">
        <is>
          <t>S06</t>
        </is>
      </c>
      <c r="E65" s="67" t="inlineStr">
        <is>
          <t>Yes</t>
        </is>
      </c>
      <c r="F65" s="67" t="inlineStr">
        <is>
          <t>Retailer</t>
        </is>
      </c>
      <c r="G65" s="75" t="n">
        <v>440</v>
      </c>
      <c r="H65" s="67" t="inlineStr">
        <is>
          <t>Kg</t>
        </is>
      </c>
      <c r="I65" s="76" t="n">
        <v>440</v>
      </c>
      <c r="J65" s="75" t="n">
        <v>1</v>
      </c>
      <c r="K65" s="67" t="inlineStr">
        <is>
          <t>Kg</t>
        </is>
      </c>
      <c r="L65" s="76" t="n">
        <v>1</v>
      </c>
      <c r="M65" s="68" t="n"/>
    </row>
    <row r="66" ht="19.5" customHeight="1" s="45">
      <c r="B66" s="67" t="inlineStr">
        <is>
          <t>M6-C-02</t>
        </is>
      </c>
      <c r="C66" s="67" t="inlineStr">
        <is>
          <t>M6</t>
        </is>
      </c>
      <c r="D66" s="67" t="inlineStr">
        <is>
          <t>S09</t>
        </is>
      </c>
      <c r="E66" s="67" t="inlineStr">
        <is>
          <t>Yes</t>
        </is>
      </c>
      <c r="F66" s="67" t="inlineStr">
        <is>
          <t>Retailer</t>
        </is>
      </c>
      <c r="G66" s="75" t="n">
        <v>260</v>
      </c>
      <c r="H66" s="67" t="inlineStr">
        <is>
          <t>Kg</t>
        </is>
      </c>
      <c r="I66" s="76" t="n">
        <v>260</v>
      </c>
      <c r="J66" s="75" t="n">
        <v>2.5</v>
      </c>
      <c r="K66" s="67" t="inlineStr">
        <is>
          <t>Kg</t>
        </is>
      </c>
      <c r="L66" s="76" t="n">
        <v>2.5</v>
      </c>
      <c r="M66" s="68" t="n"/>
    </row>
    <row r="67" ht="19.5" customHeight="1" s="45">
      <c r="B67" s="67" t="inlineStr">
        <is>
          <t>M6-C-03</t>
        </is>
      </c>
      <c r="C67" s="67" t="inlineStr">
        <is>
          <t>M6</t>
        </is>
      </c>
      <c r="D67" s="67" t="inlineStr">
        <is>
          <t>S09</t>
        </is>
      </c>
      <c r="E67" s="67" t="inlineStr">
        <is>
          <t>Yes</t>
        </is>
      </c>
      <c r="F67" s="67" t="inlineStr">
        <is>
          <t>Retailer</t>
        </is>
      </c>
      <c r="G67" s="75" t="n">
        <v>255</v>
      </c>
      <c r="H67" s="67" t="inlineStr">
        <is>
          <t>Kg</t>
        </is>
      </c>
      <c r="I67" s="76" t="n">
        <v>255</v>
      </c>
      <c r="J67" s="75" t="n">
        <v>1.5</v>
      </c>
      <c r="K67" s="67" t="inlineStr">
        <is>
          <t>Kg</t>
        </is>
      </c>
      <c r="L67" s="76" t="n">
        <v>1.5</v>
      </c>
      <c r="M67" s="68" t="n"/>
    </row>
    <row r="68" ht="19.5" customHeight="1" s="45">
      <c r="B68" s="67" t="inlineStr">
        <is>
          <t>M6-C-04</t>
        </is>
      </c>
      <c r="C68" s="67" t="inlineStr">
        <is>
          <t>M6</t>
        </is>
      </c>
      <c r="D68" s="67" t="inlineStr">
        <is>
          <t>S01</t>
        </is>
      </c>
      <c r="E68" s="67" t="inlineStr">
        <is>
          <t>Yes</t>
        </is>
      </c>
      <c r="F68" s="67" t="inlineStr">
        <is>
          <t>Retailer</t>
        </is>
      </c>
      <c r="G68" s="75" t="n">
        <v>1375</v>
      </c>
      <c r="H68" s="67" t="inlineStr">
        <is>
          <t>Kg</t>
        </is>
      </c>
      <c r="I68" s="76" t="n">
        <v>1375</v>
      </c>
      <c r="J68" s="75" t="n">
        <v>1.5</v>
      </c>
      <c r="K68" s="67" t="inlineStr">
        <is>
          <t>Kg</t>
        </is>
      </c>
      <c r="L68" s="76" t="n">
        <v>1.5</v>
      </c>
      <c r="M68" s="68" t="n"/>
    </row>
    <row r="69" ht="19.5" customHeight="1" s="45">
      <c r="B69" s="67" t="inlineStr">
        <is>
          <t>M6-C-05</t>
        </is>
      </c>
      <c r="C69" s="67" t="inlineStr">
        <is>
          <t>M6</t>
        </is>
      </c>
      <c r="D69" s="67" t="inlineStr">
        <is>
          <t>S06</t>
        </is>
      </c>
      <c r="E69" s="67" t="inlineStr">
        <is>
          <t>Yes</t>
        </is>
      </c>
      <c r="F69" s="67" t="inlineStr">
        <is>
          <t>Retailer</t>
        </is>
      </c>
      <c r="G69" s="75" t="n">
        <v>435</v>
      </c>
      <c r="H69" s="67" t="inlineStr">
        <is>
          <t>Kg</t>
        </is>
      </c>
      <c r="I69" s="76" t="n">
        <v>435</v>
      </c>
      <c r="J69" s="75" t="n">
        <v>0.75</v>
      </c>
      <c r="K69" s="67" t="inlineStr">
        <is>
          <t>Kg</t>
        </is>
      </c>
      <c r="L69" s="76" t="n">
        <v>0.75</v>
      </c>
      <c r="M69" s="68" t="n"/>
    </row>
    <row r="70" ht="19.5" customHeight="1" s="45">
      <c r="B70" s="67" t="inlineStr">
        <is>
          <t>M6-C-05</t>
        </is>
      </c>
      <c r="C70" s="67" t="inlineStr">
        <is>
          <t>M6</t>
        </is>
      </c>
      <c r="D70" s="67" t="inlineStr">
        <is>
          <t>S01</t>
        </is>
      </c>
      <c r="E70" s="67" t="inlineStr">
        <is>
          <t>No</t>
        </is>
      </c>
      <c r="F70" s="67" t="n"/>
      <c r="G70" s="75" t="inlineStr">
        <is>
          <t>K</t>
        </is>
      </c>
      <c r="H70" s="67" t="n"/>
      <c r="I70" s="76" t="n"/>
      <c r="J70" s="75" t="n"/>
      <c r="K70" s="67" t="n"/>
      <c r="L70" s="76" t="n"/>
      <c r="M70" s="68" t="n"/>
    </row>
    <row r="71" ht="19.5" customHeight="1" s="45">
      <c r="B71" s="67" t="n"/>
      <c r="C71" s="67" t="n"/>
      <c r="D71" s="67" t="n"/>
      <c r="E71" s="67" t="n"/>
      <c r="F71" s="67" t="n"/>
      <c r="G71" s="75" t="n"/>
      <c r="H71" s="67" t="n"/>
      <c r="I71" s="76" t="n"/>
      <c r="J71" s="75" t="n"/>
      <c r="K71" s="67" t="n"/>
      <c r="L71" s="76" t="n"/>
      <c r="M71" s="68" t="n"/>
    </row>
    <row r="72" ht="19.5" customHeight="1" s="45">
      <c r="B72" s="67" t="n"/>
      <c r="C72" s="67" t="n"/>
      <c r="D72" s="67" t="n"/>
      <c r="E72" s="67" t="n"/>
      <c r="F72" s="67" t="n"/>
      <c r="G72" s="75" t="n"/>
      <c r="H72" s="67" t="n"/>
      <c r="I72" s="76" t="n"/>
      <c r="J72" s="75" t="n"/>
      <c r="K72" s="67" t="n"/>
      <c r="L72" s="76" t="n"/>
      <c r="M72" s="68" t="n"/>
    </row>
    <row r="73" ht="19.5" customHeight="1" s="45">
      <c r="B73" s="67" t="n"/>
      <c r="C73" s="67" t="n"/>
      <c r="D73" s="67" t="n"/>
      <c r="E73" s="67" t="n"/>
      <c r="F73" s="67" t="n"/>
      <c r="G73" s="75" t="n"/>
      <c r="H73" s="67" t="n"/>
      <c r="I73" s="76" t="n"/>
      <c r="J73" s="75" t="n"/>
      <c r="K73" s="67" t="n"/>
      <c r="L73" s="76" t="n"/>
      <c r="M73" s="68" t="n"/>
    </row>
    <row r="74" ht="19.5" customHeight="1" s="45">
      <c r="B74" s="67" t="n"/>
      <c r="C74" s="67" t="n"/>
      <c r="D74" s="67" t="n"/>
      <c r="E74" s="67" t="n"/>
      <c r="F74" s="67" t="n"/>
      <c r="G74" s="75" t="n"/>
      <c r="H74" s="67" t="n"/>
      <c r="I74" s="76" t="n"/>
      <c r="J74" s="75" t="n"/>
      <c r="K74" s="67" t="n"/>
      <c r="L74" s="76" t="n"/>
      <c r="M74" s="68" t="n"/>
    </row>
    <row r="75" ht="19.5" customHeight="1" s="45">
      <c r="B75" s="67" t="n"/>
      <c r="C75" s="67" t="n"/>
      <c r="D75" s="67" t="n"/>
      <c r="E75" s="67" t="n"/>
      <c r="F75" s="67" t="n"/>
      <c r="G75" s="75" t="n"/>
      <c r="H75" s="67" t="n"/>
      <c r="I75" s="76" t="n"/>
      <c r="J75" s="75" t="n"/>
      <c r="K75" s="67" t="n"/>
      <c r="L75" s="76" t="n"/>
      <c r="M75" s="68" t="n"/>
    </row>
    <row r="76" ht="19.5" customHeight="1" s="45">
      <c r="B76" s="67" t="n"/>
      <c r="C76" s="67" t="n"/>
      <c r="D76" s="67" t="n"/>
      <c r="E76" s="67" t="n"/>
      <c r="F76" s="67" t="n"/>
      <c r="G76" s="75" t="n"/>
      <c r="H76" s="67" t="n"/>
      <c r="I76" s="76" t="n"/>
      <c r="J76" s="75" t="n"/>
      <c r="K76" s="67" t="n"/>
      <c r="L76" s="76" t="n"/>
      <c r="M76" s="68" t="n"/>
    </row>
    <row r="77" ht="19.5" customHeight="1" s="45">
      <c r="B77" s="67" t="n"/>
      <c r="C77" s="67" t="n"/>
      <c r="D77" s="67" t="n"/>
      <c r="E77" s="67" t="n"/>
      <c r="F77" s="67" t="n"/>
      <c r="G77" s="75" t="n"/>
      <c r="H77" s="67" t="n"/>
      <c r="I77" s="76" t="n"/>
      <c r="J77" s="75" t="n"/>
      <c r="K77" s="67" t="n"/>
      <c r="L77" s="76" t="n"/>
      <c r="M77" s="68" t="n"/>
    </row>
    <row r="78" ht="19.5" customHeight="1" s="45">
      <c r="B78" s="67" t="n"/>
      <c r="C78" s="67" t="n"/>
      <c r="D78" s="67" t="n"/>
      <c r="E78" s="67" t="n"/>
      <c r="F78" s="67" t="n"/>
      <c r="G78" s="75" t="n"/>
      <c r="H78" s="67" t="n"/>
      <c r="I78" s="76" t="n"/>
      <c r="J78" s="75" t="n"/>
      <c r="K78" s="67" t="n"/>
      <c r="L78" s="76" t="n"/>
      <c r="M78" s="68" t="n"/>
    </row>
    <row r="79" ht="19.5" customHeight="1" s="45">
      <c r="B79" s="67" t="n"/>
      <c r="C79" s="67" t="n"/>
      <c r="D79" s="67" t="n"/>
      <c r="E79" s="67" t="n"/>
      <c r="F79" s="67" t="n"/>
      <c r="G79" s="75" t="n"/>
      <c r="H79" s="67" t="n"/>
      <c r="I79" s="76" t="n"/>
      <c r="J79" s="75" t="n"/>
      <c r="K79" s="67" t="n"/>
      <c r="L79" s="76" t="n"/>
      <c r="M79" s="68" t="n"/>
    </row>
    <row r="80" ht="19.5" customHeight="1" s="45">
      <c r="B80" s="67" t="n"/>
      <c r="C80" s="67" t="n"/>
      <c r="D80" s="67" t="n"/>
      <c r="E80" s="67" t="n"/>
      <c r="F80" s="67" t="n"/>
      <c r="G80" s="75" t="n"/>
      <c r="H80" s="67" t="n"/>
      <c r="I80" s="76" t="n"/>
      <c r="J80" s="75" t="n"/>
      <c r="K80" s="67" t="n"/>
      <c r="L80" s="76" t="n"/>
      <c r="M80" s="68" t="n"/>
    </row>
    <row r="81" ht="19.5" customHeight="1" s="45">
      <c r="B81" s="67" t="n"/>
      <c r="C81" s="67" t="n"/>
      <c r="D81" s="67" t="n"/>
      <c r="E81" s="67" t="n"/>
      <c r="F81" s="67" t="n"/>
      <c r="G81" s="75" t="n"/>
      <c r="H81" s="67" t="n"/>
      <c r="I81" s="76" t="n"/>
      <c r="J81" s="75" t="n"/>
      <c r="K81" s="67" t="n"/>
      <c r="L81" s="76" t="n"/>
      <c r="M81" s="68" t="n"/>
    </row>
    <row r="82" ht="19.5" customHeight="1" s="45">
      <c r="B82" s="67" t="n"/>
      <c r="C82" s="67" t="n"/>
      <c r="D82" s="67" t="n"/>
      <c r="E82" s="67" t="n"/>
      <c r="F82" s="67" t="n"/>
      <c r="G82" s="75" t="n"/>
      <c r="H82" s="67" t="n"/>
      <c r="I82" s="76" t="n"/>
      <c r="J82" s="75" t="n"/>
      <c r="K82" s="67" t="n"/>
      <c r="L82" s="76" t="n"/>
      <c r="M82" s="68" t="n"/>
    </row>
    <row r="83" ht="19.5" customHeight="1" s="45">
      <c r="B83" s="67" t="n"/>
      <c r="C83" s="67" t="n"/>
      <c r="D83" s="67" t="n"/>
      <c r="E83" s="67" t="n"/>
      <c r="F83" s="67" t="n"/>
      <c r="G83" s="75" t="n"/>
      <c r="H83" s="67" t="n"/>
      <c r="I83" s="76" t="n"/>
      <c r="J83" s="75" t="n"/>
      <c r="K83" s="67" t="n"/>
      <c r="L83" s="76" t="n"/>
      <c r="M83" s="68" t="n"/>
    </row>
    <row r="84" ht="19.5" customHeight="1" s="45">
      <c r="B84" s="67" t="n"/>
      <c r="C84" s="67" t="n"/>
      <c r="D84" s="67" t="n"/>
      <c r="E84" s="67" t="n"/>
      <c r="F84" s="67" t="n"/>
      <c r="G84" s="75" t="n"/>
      <c r="H84" s="67" t="n"/>
      <c r="I84" s="76" t="n"/>
      <c r="J84" s="75" t="n"/>
      <c r="K84" s="67" t="n"/>
      <c r="L84" s="76" t="n"/>
      <c r="M84" s="68" t="n"/>
    </row>
    <row r="85" ht="19.5" customHeight="1" s="45">
      <c r="B85" s="67" t="n"/>
      <c r="C85" s="67" t="n"/>
      <c r="D85" s="67" t="n"/>
      <c r="E85" s="67" t="n"/>
      <c r="F85" s="67" t="n"/>
      <c r="G85" s="75" t="n"/>
      <c r="H85" s="67" t="n"/>
      <c r="I85" s="76" t="n"/>
      <c r="J85" s="75" t="n"/>
      <c r="K85" s="67" t="n"/>
      <c r="L85" s="76" t="n"/>
      <c r="M85" s="68" t="n"/>
    </row>
    <row r="86" ht="19.5" customHeight="1" s="45">
      <c r="B86" s="67" t="n"/>
      <c r="C86" s="67" t="n"/>
      <c r="D86" s="67" t="n"/>
      <c r="E86" s="67" t="n"/>
      <c r="F86" s="67" t="n"/>
      <c r="G86" s="75" t="n"/>
      <c r="H86" s="67" t="n"/>
      <c r="I86" s="76" t="n"/>
      <c r="J86" s="75" t="n"/>
      <c r="K86" s="67" t="n"/>
      <c r="L86" s="76" t="n"/>
      <c r="M86" s="68" t="n"/>
    </row>
    <row r="87" ht="19.5" customHeight="1" s="45">
      <c r="B87" s="67" t="n"/>
      <c r="C87" s="67" t="n"/>
      <c r="D87" s="67" t="n"/>
      <c r="E87" s="67" t="n"/>
      <c r="F87" s="67" t="n"/>
      <c r="G87" s="75" t="n"/>
      <c r="H87" s="67" t="n"/>
      <c r="I87" s="76" t="n"/>
      <c r="J87" s="75" t="n"/>
      <c r="K87" s="67" t="n"/>
      <c r="L87" s="76" t="n"/>
      <c r="M87" s="68" t="n"/>
    </row>
    <row r="88" ht="19.5" customHeight="1" s="45">
      <c r="B88" s="67" t="n"/>
      <c r="C88" s="67" t="n"/>
      <c r="D88" s="67" t="n"/>
      <c r="E88" s="67" t="n"/>
      <c r="F88" s="67" t="n"/>
      <c r="G88" s="75" t="n"/>
      <c r="H88" s="67" t="n"/>
      <c r="I88" s="76" t="n"/>
      <c r="J88" s="75" t="n"/>
      <c r="K88" s="67" t="n"/>
      <c r="L88" s="76" t="n"/>
      <c r="M88" s="68" t="n"/>
    </row>
    <row r="89" ht="19.5" customHeight="1" s="45">
      <c r="B89" s="67" t="n"/>
      <c r="C89" s="67" t="n"/>
      <c r="D89" s="67" t="n"/>
      <c r="E89" s="67" t="n"/>
      <c r="F89" s="67" t="n"/>
      <c r="G89" s="75" t="n"/>
      <c r="H89" s="67" t="n"/>
      <c r="I89" s="76" t="n"/>
      <c r="J89" s="75" t="n"/>
      <c r="K89" s="67" t="n"/>
      <c r="L89" s="76" t="n"/>
      <c r="M89" s="68" t="n"/>
    </row>
    <row r="90" ht="19.5" customHeight="1" s="45">
      <c r="B90" s="67" t="n"/>
      <c r="C90" s="67" t="n"/>
      <c r="D90" s="67" t="n"/>
      <c r="E90" s="67" t="n"/>
      <c r="F90" s="67" t="n"/>
      <c r="G90" s="75" t="n"/>
      <c r="H90" s="67" t="n"/>
      <c r="I90" s="76" t="n"/>
      <c r="J90" s="75" t="n"/>
      <c r="K90" s="67" t="n"/>
      <c r="L90" s="76" t="n"/>
      <c r="M90" s="68" t="n"/>
    </row>
    <row r="91" ht="19.5" customHeight="1" s="45">
      <c r="B91" s="67" t="n"/>
      <c r="C91" s="67" t="n"/>
      <c r="D91" s="67" t="n"/>
      <c r="E91" s="67" t="n"/>
      <c r="F91" s="67" t="n"/>
      <c r="G91" s="75" t="n"/>
      <c r="H91" s="67" t="n"/>
      <c r="I91" s="76" t="n"/>
      <c r="J91" s="75" t="n"/>
      <c r="K91" s="67" t="n"/>
      <c r="L91" s="76" t="n"/>
      <c r="M91" s="68" t="n"/>
    </row>
    <row r="92" ht="19.5" customHeight="1" s="45">
      <c r="B92" s="67" t="n"/>
      <c r="C92" s="67" t="n"/>
      <c r="D92" s="67" t="n"/>
      <c r="E92" s="67" t="n"/>
      <c r="F92" s="67" t="n"/>
      <c r="G92" s="75" t="n"/>
      <c r="H92" s="67" t="n"/>
      <c r="I92" s="76" t="n"/>
      <c r="J92" s="75" t="n"/>
      <c r="K92" s="67" t="n"/>
      <c r="L92" s="76" t="n"/>
      <c r="M92" s="68" t="n"/>
    </row>
    <row r="93" ht="19.5" customHeight="1" s="45">
      <c r="B93" s="67" t="n"/>
      <c r="C93" s="67" t="n"/>
      <c r="D93" s="67" t="n"/>
      <c r="E93" s="67" t="n"/>
      <c r="F93" s="67" t="n"/>
      <c r="G93" s="75" t="n"/>
      <c r="H93" s="67" t="n"/>
      <c r="I93" s="76" t="n"/>
      <c r="J93" s="75" t="n"/>
      <c r="K93" s="67" t="n"/>
      <c r="L93" s="76" t="n"/>
      <c r="M93" s="68" t="n"/>
    </row>
    <row r="94" ht="19.5" customHeight="1" s="45">
      <c r="B94" s="67" t="n"/>
      <c r="C94" s="67" t="n"/>
      <c r="D94" s="67" t="n"/>
      <c r="E94" s="67" t="n"/>
      <c r="F94" s="67" t="n"/>
      <c r="G94" s="75" t="n"/>
      <c r="H94" s="67" t="n"/>
      <c r="I94" s="76" t="n"/>
      <c r="J94" s="75" t="n"/>
      <c r="K94" s="67" t="n"/>
      <c r="L94" s="76" t="n"/>
      <c r="M94" s="68" t="n"/>
    </row>
    <row r="95" ht="19.5" customHeight="1" s="45">
      <c r="B95" s="67" t="n"/>
      <c r="C95" s="67" t="n"/>
      <c r="D95" s="67" t="n"/>
      <c r="E95" s="67" t="n"/>
      <c r="F95" s="67" t="n"/>
      <c r="G95" s="75" t="n"/>
      <c r="H95" s="67" t="n"/>
      <c r="I95" s="76" t="n"/>
      <c r="J95" s="75" t="n"/>
      <c r="K95" s="67" t="n"/>
      <c r="L95" s="76" t="n"/>
      <c r="M95" s="68" t="n"/>
    </row>
    <row r="96" ht="19.5" customHeight="1" s="45">
      <c r="B96" s="67" t="n"/>
      <c r="C96" s="67" t="n"/>
      <c r="D96" s="67" t="n"/>
      <c r="E96" s="67" t="n"/>
      <c r="F96" s="67" t="n"/>
      <c r="G96" s="75" t="n"/>
      <c r="H96" s="67" t="n"/>
      <c r="I96" s="76" t="n"/>
      <c r="J96" s="75" t="n"/>
      <c r="K96" s="67" t="n"/>
      <c r="L96" s="76" t="n"/>
      <c r="M96" s="68" t="n"/>
    </row>
    <row r="97" ht="19.5" customHeight="1" s="45">
      <c r="B97" s="67" t="n"/>
      <c r="C97" s="67" t="n"/>
      <c r="D97" s="67" t="n"/>
      <c r="E97" s="67" t="n"/>
      <c r="F97" s="67" t="n"/>
      <c r="G97" s="75" t="n"/>
      <c r="H97" s="67" t="n"/>
      <c r="I97" s="76" t="n"/>
      <c r="J97" s="75" t="n"/>
      <c r="K97" s="67" t="n"/>
      <c r="L97" s="76" t="n"/>
      <c r="M97" s="68" t="n"/>
    </row>
    <row r="98" ht="19.5" customHeight="1" s="45">
      <c r="B98" s="67" t="n"/>
      <c r="C98" s="67" t="n"/>
      <c r="D98" s="67" t="n"/>
      <c r="E98" s="67" t="n"/>
      <c r="F98" s="67" t="n"/>
      <c r="G98" s="75" t="n"/>
      <c r="H98" s="67" t="n"/>
      <c r="I98" s="76" t="n"/>
      <c r="J98" s="75" t="n"/>
      <c r="K98" s="67" t="n"/>
      <c r="L98" s="76" t="n"/>
      <c r="M98" s="68" t="n"/>
    </row>
    <row r="99" ht="19.5" customHeight="1" s="45">
      <c r="B99" s="67" t="n"/>
      <c r="C99" s="67" t="n"/>
      <c r="D99" s="67" t="n"/>
      <c r="E99" s="67" t="n"/>
      <c r="F99" s="67" t="n"/>
      <c r="G99" s="75" t="n"/>
      <c r="H99" s="67" t="n"/>
      <c r="I99" s="76" t="n"/>
      <c r="J99" s="75" t="n"/>
      <c r="K99" s="67" t="n"/>
      <c r="L99" s="76" t="n"/>
      <c r="M99" s="68" t="n"/>
    </row>
    <row r="100" ht="19.5" customHeight="1" s="45">
      <c r="B100" s="67" t="n"/>
      <c r="C100" s="67" t="n"/>
      <c r="D100" s="67" t="n"/>
      <c r="E100" s="67" t="n"/>
      <c r="F100" s="67" t="n"/>
      <c r="G100" s="75" t="n"/>
      <c r="H100" s="67" t="n"/>
      <c r="I100" s="76" t="n"/>
      <c r="J100" s="75" t="n"/>
      <c r="K100" s="67" t="n"/>
      <c r="L100" s="76" t="n"/>
      <c r="M100" s="68" t="n"/>
    </row>
    <row r="101" ht="19.5" customHeight="1" s="45">
      <c r="B101" s="67" t="n"/>
      <c r="C101" s="67" t="n"/>
      <c r="D101" s="67" t="n"/>
      <c r="E101" s="67" t="n"/>
      <c r="F101" s="67" t="n"/>
      <c r="G101" s="75" t="n"/>
      <c r="H101" s="67" t="n"/>
      <c r="I101" s="76" t="n"/>
      <c r="J101" s="75" t="n"/>
      <c r="K101" s="67" t="n"/>
      <c r="L101" s="76" t="n"/>
      <c r="M101" s="68" t="n"/>
    </row>
    <row r="102" ht="19.5" customHeight="1" s="45">
      <c r="B102" s="67" t="n"/>
      <c r="C102" s="67" t="n"/>
      <c r="D102" s="67" t="n"/>
      <c r="E102" s="67" t="n"/>
      <c r="F102" s="67" t="n"/>
      <c r="G102" s="75" t="n"/>
      <c r="H102" s="67" t="n"/>
      <c r="I102" s="76" t="n"/>
      <c r="J102" s="75" t="n"/>
      <c r="K102" s="67" t="n"/>
      <c r="L102" s="76" t="n"/>
      <c r="M102" s="68" t="n"/>
    </row>
    <row r="103" ht="19.5" customHeight="1" s="45">
      <c r="B103" s="67" t="n"/>
      <c r="C103" s="67" t="n"/>
      <c r="D103" s="67" t="n"/>
      <c r="E103" s="67" t="n"/>
      <c r="F103" s="67" t="n"/>
      <c r="G103" s="75" t="n"/>
      <c r="H103" s="67" t="n"/>
      <c r="I103" s="76" t="n"/>
      <c r="J103" s="75" t="n"/>
      <c r="K103" s="67" t="n"/>
      <c r="L103" s="76" t="n"/>
      <c r="M103" s="68" t="n"/>
    </row>
    <row r="104" ht="19.5" customHeight="1" s="45">
      <c r="B104" s="67" t="n"/>
      <c r="C104" s="67" t="n"/>
      <c r="D104" s="67" t="n"/>
      <c r="E104" s="67" t="n"/>
      <c r="F104" s="67" t="n"/>
      <c r="G104" s="75" t="n"/>
      <c r="H104" s="67" t="n"/>
      <c r="I104" s="76" t="n"/>
      <c r="J104" s="75" t="n"/>
      <c r="K104" s="67" t="n"/>
      <c r="L104" s="76" t="n"/>
      <c r="M104" s="68" t="n"/>
    </row>
    <row r="105" ht="19.5" customHeight="1" s="45">
      <c r="B105" s="67" t="n"/>
      <c r="C105" s="67" t="n"/>
      <c r="D105" s="67" t="n"/>
      <c r="E105" s="67" t="n"/>
      <c r="F105" s="67" t="n"/>
      <c r="G105" s="75" t="n"/>
      <c r="H105" s="67" t="n"/>
      <c r="I105" s="76" t="n"/>
      <c r="J105" s="75" t="n"/>
      <c r="K105" s="67" t="n"/>
      <c r="L105" s="76" t="n"/>
      <c r="M105" s="68" t="n"/>
    </row>
    <row r="106" ht="19.5" customHeight="1" s="45">
      <c r="B106" s="67" t="n"/>
      <c r="C106" s="67" t="n"/>
      <c r="D106" s="67" t="n"/>
      <c r="E106" s="67" t="n"/>
      <c r="F106" s="67" t="n"/>
      <c r="G106" s="75" t="n"/>
      <c r="H106" s="67" t="n"/>
      <c r="I106" s="76" t="n"/>
      <c r="J106" s="75" t="n"/>
      <c r="K106" s="67" t="n"/>
      <c r="L106" s="76" t="n"/>
      <c r="M106" s="68" t="n"/>
    </row>
    <row r="107" ht="19.5" customHeight="1" s="45">
      <c r="B107" s="67" t="n"/>
      <c r="C107" s="67" t="n"/>
      <c r="D107" s="67" t="n"/>
      <c r="E107" s="67" t="n"/>
      <c r="F107" s="67" t="n"/>
      <c r="G107" s="75" t="n"/>
      <c r="H107" s="67" t="n"/>
      <c r="I107" s="76" t="n"/>
      <c r="J107" s="75" t="n"/>
      <c r="K107" s="67" t="n"/>
      <c r="L107" s="76" t="n"/>
      <c r="M107" s="68" t="n"/>
    </row>
    <row r="108" ht="19.5" customHeight="1" s="45">
      <c r="B108" s="67" t="n"/>
      <c r="C108" s="67" t="n"/>
      <c r="D108" s="67" t="n"/>
      <c r="E108" s="67" t="n"/>
      <c r="F108" s="67" t="n"/>
      <c r="G108" s="75" t="n"/>
      <c r="H108" s="67" t="n"/>
      <c r="I108" s="76" t="n"/>
      <c r="J108" s="75" t="n"/>
      <c r="K108" s="67" t="n"/>
      <c r="L108" s="76" t="n"/>
      <c r="M108" s="68" t="n"/>
    </row>
    <row r="109" ht="19.5" customHeight="1" s="45">
      <c r="B109" s="67" t="n"/>
      <c r="C109" s="67" t="n"/>
      <c r="D109" s="67" t="n"/>
      <c r="E109" s="67" t="n"/>
      <c r="F109" s="67" t="n"/>
      <c r="G109" s="75" t="n"/>
      <c r="H109" s="67" t="n"/>
      <c r="I109" s="76" t="n"/>
      <c r="J109" s="75" t="n"/>
      <c r="K109" s="67" t="n"/>
      <c r="L109" s="76" t="n"/>
      <c r="M109" s="68" t="n"/>
    </row>
    <row r="110" ht="19.5" customHeight="1" s="45">
      <c r="B110" s="67" t="n"/>
      <c r="C110" s="67" t="n"/>
      <c r="D110" s="67" t="n"/>
      <c r="E110" s="67" t="n"/>
      <c r="F110" s="67" t="n"/>
      <c r="G110" s="75" t="n"/>
      <c r="H110" s="67" t="n"/>
      <c r="I110" s="76" t="n"/>
      <c r="J110" s="75" t="n"/>
      <c r="K110" s="67" t="n"/>
      <c r="L110" s="76" t="n"/>
      <c r="M110" s="68" t="n"/>
    </row>
    <row r="111" ht="19.5" customHeight="1" s="45">
      <c r="B111" s="67" t="n"/>
      <c r="C111" s="67" t="n"/>
      <c r="D111" s="67" t="n"/>
      <c r="E111" s="67" t="n"/>
      <c r="F111" s="67" t="n"/>
      <c r="G111" s="75" t="n"/>
      <c r="H111" s="67" t="n"/>
      <c r="I111" s="76" t="n"/>
      <c r="J111" s="75" t="n"/>
      <c r="K111" s="67" t="n"/>
      <c r="L111" s="76" t="n"/>
      <c r="M111" s="68" t="n"/>
    </row>
    <row r="112" ht="19.5" customHeight="1" s="45">
      <c r="B112" s="67" t="n"/>
      <c r="C112" s="67" t="n"/>
      <c r="D112" s="67" t="n"/>
      <c r="E112" s="67" t="n"/>
      <c r="F112" s="67" t="n"/>
      <c r="G112" s="75" t="n"/>
      <c r="H112" s="67" t="n"/>
      <c r="I112" s="76" t="n"/>
      <c r="J112" s="75" t="n"/>
      <c r="K112" s="67" t="n"/>
      <c r="L112" s="76" t="n"/>
      <c r="M112" s="68" t="n"/>
    </row>
    <row r="113" ht="19.5" customHeight="1" s="45">
      <c r="B113" s="67" t="n"/>
      <c r="C113" s="67" t="n"/>
      <c r="D113" s="67" t="n"/>
      <c r="E113" s="67" t="n"/>
      <c r="F113" s="67" t="n"/>
      <c r="G113" s="75" t="n"/>
      <c r="H113" s="67" t="n"/>
      <c r="I113" s="76" t="n"/>
      <c r="J113" s="75" t="n"/>
      <c r="K113" s="67" t="n"/>
      <c r="L113" s="76" t="n"/>
      <c r="M113" s="68" t="n"/>
    </row>
    <row r="114" ht="19.5" customHeight="1" s="45">
      <c r="B114" s="67" t="n"/>
      <c r="C114" s="67" t="n"/>
      <c r="D114" s="67" t="n"/>
      <c r="E114" s="67" t="n"/>
      <c r="F114" s="67" t="n"/>
      <c r="G114" s="75" t="n"/>
      <c r="H114" s="67" t="n"/>
      <c r="I114" s="76" t="n"/>
      <c r="J114" s="75" t="n"/>
      <c r="K114" s="67" t="n"/>
      <c r="L114" s="76" t="n"/>
      <c r="M114" s="68" t="n"/>
    </row>
    <row r="115" ht="19.5" customHeight="1" s="45">
      <c r="B115" s="67" t="n"/>
      <c r="C115" s="67" t="n"/>
      <c r="D115" s="67" t="n"/>
      <c r="E115" s="67" t="n"/>
      <c r="F115" s="67" t="n"/>
      <c r="G115" s="75" t="n"/>
      <c r="H115" s="67" t="n"/>
      <c r="I115" s="76" t="n"/>
      <c r="J115" s="75" t="n"/>
      <c r="K115" s="67" t="n"/>
      <c r="L115" s="76" t="n"/>
      <c r="M115" s="68" t="n"/>
    </row>
    <row r="116" ht="19.5" customHeight="1" s="45">
      <c r="B116" s="67" t="n"/>
      <c r="C116" s="67" t="n"/>
      <c r="D116" s="67" t="n"/>
      <c r="E116" s="67" t="n"/>
      <c r="F116" s="67" t="n"/>
      <c r="G116" s="75" t="n"/>
      <c r="H116" s="67" t="n"/>
      <c r="I116" s="76" t="n"/>
      <c r="J116" s="75" t="n"/>
      <c r="K116" s="67" t="n"/>
      <c r="L116" s="76" t="n"/>
      <c r="M116" s="68" t="n"/>
    </row>
    <row r="117" ht="19.5" customHeight="1" s="45">
      <c r="B117" s="67" t="n"/>
      <c r="C117" s="67" t="n"/>
      <c r="D117" s="67" t="n"/>
      <c r="E117" s="67" t="n"/>
      <c r="F117" s="67" t="n"/>
      <c r="G117" s="75" t="n"/>
      <c r="H117" s="67" t="n"/>
      <c r="I117" s="76" t="n"/>
      <c r="J117" s="75" t="n"/>
      <c r="K117" s="67" t="n"/>
      <c r="L117" s="76" t="n"/>
      <c r="M117" s="68" t="n"/>
    </row>
    <row r="118" ht="19.5" customHeight="1" s="45">
      <c r="B118" s="67" t="n"/>
      <c r="C118" s="67" t="n"/>
      <c r="D118" s="67" t="n"/>
      <c r="E118" s="67" t="n"/>
      <c r="F118" s="67" t="n"/>
      <c r="G118" s="75" t="n"/>
      <c r="H118" s="67" t="n"/>
      <c r="I118" s="76" t="n"/>
      <c r="J118" s="75" t="n"/>
      <c r="K118" s="67" t="n"/>
      <c r="L118" s="76" t="n"/>
      <c r="M118" s="68" t="n"/>
    </row>
    <row r="119" ht="19.5" customHeight="1" s="45">
      <c r="B119" s="67" t="n"/>
      <c r="C119" s="67" t="n"/>
      <c r="D119" s="67" t="n"/>
      <c r="E119" s="67" t="n"/>
      <c r="F119" s="67" t="n"/>
      <c r="G119" s="75" t="n"/>
      <c r="H119" s="67" t="n"/>
      <c r="I119" s="76" t="n"/>
      <c r="J119" s="75" t="n"/>
      <c r="K119" s="67" t="n"/>
      <c r="L119" s="76" t="n"/>
      <c r="M119" s="68" t="n"/>
    </row>
    <row r="120" ht="19.5" customHeight="1" s="45">
      <c r="B120" s="67" t="n"/>
      <c r="C120" s="67" t="n"/>
      <c r="D120" s="67" t="n"/>
      <c r="E120" s="67" t="n"/>
      <c r="F120" s="67" t="n"/>
      <c r="G120" s="75" t="n"/>
      <c r="H120" s="67" t="n"/>
      <c r="I120" s="76" t="n"/>
      <c r="J120" s="75" t="n"/>
      <c r="K120" s="67" t="n"/>
      <c r="L120" s="76" t="n"/>
      <c r="M120" s="68" t="n"/>
    </row>
    <row r="121" ht="19.5" customHeight="1" s="45">
      <c r="B121" s="67" t="n"/>
      <c r="C121" s="67" t="n"/>
      <c r="D121" s="67" t="n"/>
      <c r="E121" s="67" t="n"/>
      <c r="F121" s="67" t="n"/>
      <c r="G121" s="75" t="n"/>
      <c r="H121" s="67" t="n"/>
      <c r="I121" s="76" t="n"/>
      <c r="J121" s="75" t="n"/>
      <c r="K121" s="67" t="n"/>
      <c r="L121" s="76" t="n"/>
      <c r="M121" s="68" t="n"/>
    </row>
    <row r="122" ht="19.5" customHeight="1" s="45">
      <c r="B122" s="67" t="n"/>
      <c r="C122" s="67" t="n"/>
      <c r="D122" s="67" t="n"/>
      <c r="E122" s="67" t="n"/>
      <c r="F122" s="67" t="n"/>
      <c r="G122" s="75" t="n"/>
      <c r="H122" s="67" t="n"/>
      <c r="I122" s="76" t="n"/>
      <c r="J122" s="75" t="n"/>
      <c r="K122" s="67" t="n"/>
      <c r="L122" s="76" t="n"/>
      <c r="M122" s="68" t="n"/>
    </row>
    <row r="123" ht="19.5" customHeight="1" s="45">
      <c r="B123" s="67" t="n"/>
      <c r="C123" s="67" t="n"/>
      <c r="D123" s="67" t="n"/>
      <c r="E123" s="67" t="n"/>
      <c r="F123" s="67" t="n"/>
      <c r="G123" s="75" t="n"/>
      <c r="H123" s="67" t="n"/>
      <c r="I123" s="76" t="n"/>
      <c r="J123" s="75" t="n"/>
      <c r="K123" s="67" t="n"/>
      <c r="L123" s="76" t="n"/>
      <c r="M123" s="68" t="n"/>
    </row>
    <row r="124" ht="19.5" customHeight="1" s="45">
      <c r="B124" s="67" t="n"/>
      <c r="C124" s="67" t="n"/>
      <c r="D124" s="67" t="n"/>
      <c r="E124" s="67" t="n"/>
      <c r="F124" s="67" t="n"/>
      <c r="G124" s="75" t="n"/>
      <c r="H124" s="67" t="n"/>
      <c r="I124" s="76" t="n"/>
      <c r="J124" s="75" t="n"/>
      <c r="K124" s="67" t="n"/>
      <c r="L124" s="76" t="n"/>
      <c r="M124" s="68" t="n"/>
    </row>
    <row r="125" ht="19.5" customHeight="1" s="45">
      <c r="B125" s="67" t="n"/>
      <c r="C125" s="67" t="n"/>
      <c r="D125" s="67" t="n"/>
      <c r="E125" s="67" t="n"/>
      <c r="F125" s="67" t="n"/>
      <c r="G125" s="75" t="n"/>
      <c r="H125" s="67" t="n"/>
      <c r="I125" s="76" t="n"/>
      <c r="J125" s="75" t="n"/>
      <c r="K125" s="67" t="n"/>
      <c r="L125" s="76" t="n"/>
      <c r="M125" s="68" t="n"/>
    </row>
    <row r="126" ht="19.5" customHeight="1" s="45">
      <c r="B126" s="67" t="n"/>
      <c r="C126" s="67" t="n"/>
      <c r="D126" s="67" t="n"/>
      <c r="E126" s="67" t="n"/>
      <c r="F126" s="67" t="n"/>
      <c r="G126" s="75" t="n"/>
      <c r="H126" s="67" t="n"/>
      <c r="I126" s="76" t="n"/>
      <c r="J126" s="75" t="n"/>
      <c r="K126" s="67" t="n"/>
      <c r="L126" s="76" t="n"/>
      <c r="M126" s="68" t="n"/>
    </row>
    <row r="127" ht="19.5" customHeight="1" s="45">
      <c r="B127" s="67" t="n"/>
      <c r="C127" s="67" t="n"/>
      <c r="D127" s="67" t="n"/>
      <c r="E127" s="67" t="n"/>
      <c r="F127" s="67" t="n"/>
      <c r="G127" s="75" t="n"/>
      <c r="H127" s="67" t="n"/>
      <c r="I127" s="76" t="n"/>
      <c r="J127" s="75" t="n"/>
      <c r="K127" s="67" t="n"/>
      <c r="L127" s="76" t="n"/>
      <c r="M127" s="68" t="n"/>
    </row>
    <row r="128" ht="19.5" customHeight="1" s="45">
      <c r="B128" s="67" t="n"/>
      <c r="C128" s="67" t="n"/>
      <c r="D128" s="67" t="n"/>
      <c r="E128" s="67" t="n"/>
      <c r="F128" s="67" t="n"/>
      <c r="G128" s="75" t="n"/>
      <c r="H128" s="67" t="n"/>
      <c r="I128" s="76" t="n"/>
      <c r="J128" s="75" t="n"/>
      <c r="K128" s="67" t="n"/>
      <c r="L128" s="76" t="n"/>
      <c r="M128" s="68" t="n"/>
    </row>
    <row r="129" ht="19.5" customHeight="1" s="45">
      <c r="B129" s="67" t="n"/>
      <c r="C129" s="67" t="n"/>
      <c r="D129" s="67" t="n"/>
      <c r="E129" s="67" t="n"/>
      <c r="F129" s="67" t="n"/>
      <c r="G129" s="75" t="n"/>
      <c r="H129" s="67" t="n"/>
      <c r="I129" s="76" t="n"/>
      <c r="J129" s="75" t="n"/>
      <c r="K129" s="67" t="n"/>
      <c r="L129" s="76" t="n"/>
      <c r="M129" s="68" t="n"/>
    </row>
    <row r="130" ht="19.5" customHeight="1" s="45">
      <c r="B130" s="67" t="n"/>
      <c r="C130" s="67" t="n"/>
      <c r="D130" s="67" t="n"/>
      <c r="E130" s="67" t="n"/>
      <c r="F130" s="67" t="n"/>
      <c r="G130" s="75" t="n"/>
      <c r="H130" s="67" t="n"/>
      <c r="I130" s="76" t="n"/>
      <c r="J130" s="75" t="n"/>
      <c r="K130" s="67" t="n"/>
      <c r="L130" s="76" t="n"/>
      <c r="M130" s="68" t="n"/>
    </row>
    <row r="131" ht="19.5" customHeight="1" s="45">
      <c r="B131" s="67" t="n"/>
      <c r="C131" s="67" t="n"/>
      <c r="D131" s="67" t="n"/>
      <c r="E131" s="67" t="n"/>
      <c r="F131" s="67" t="n"/>
      <c r="G131" s="75" t="n"/>
      <c r="H131" s="67" t="n"/>
      <c r="I131" s="76" t="n"/>
      <c r="J131" s="75" t="n"/>
      <c r="K131" s="67" t="n"/>
      <c r="L131" s="76" t="n"/>
      <c r="M131" s="68" t="n"/>
    </row>
    <row r="132" ht="19.5" customHeight="1" s="45">
      <c r="B132" s="67" t="n"/>
      <c r="C132" s="67" t="n"/>
      <c r="D132" s="67" t="n"/>
      <c r="E132" s="67" t="n"/>
      <c r="F132" s="67" t="n"/>
      <c r="G132" s="75" t="n"/>
      <c r="H132" s="67" t="n"/>
      <c r="I132" s="76" t="n"/>
      <c r="J132" s="75" t="n"/>
      <c r="K132" s="67" t="n"/>
      <c r="L132" s="76" t="n"/>
      <c r="M132" s="68" t="n"/>
    </row>
    <row r="133" ht="19.5" customHeight="1" s="45">
      <c r="B133" s="67" t="n"/>
      <c r="C133" s="67" t="n"/>
      <c r="D133" s="67" t="n"/>
      <c r="E133" s="67" t="n"/>
      <c r="F133" s="67" t="n"/>
      <c r="G133" s="75" t="n"/>
      <c r="H133" s="67" t="n"/>
      <c r="I133" s="76" t="n"/>
      <c r="J133" s="75" t="n"/>
      <c r="K133" s="67" t="n"/>
      <c r="L133" s="76" t="n"/>
      <c r="M133" s="68" t="n"/>
    </row>
    <row r="134" ht="19.5" customHeight="1" s="45">
      <c r="B134" s="67" t="n"/>
      <c r="C134" s="67" t="n"/>
      <c r="D134" s="67" t="n"/>
      <c r="E134" s="67" t="n"/>
      <c r="F134" s="67" t="n"/>
      <c r="G134" s="75" t="n"/>
      <c r="H134" s="67" t="n"/>
      <c r="I134" s="76" t="n"/>
      <c r="J134" s="75" t="n"/>
      <c r="K134" s="67" t="n"/>
      <c r="L134" s="76" t="n"/>
      <c r="M134" s="68" t="n"/>
    </row>
    <row r="135" ht="19.5" customHeight="1" s="45">
      <c r="B135" s="67" t="n"/>
      <c r="C135" s="67" t="n"/>
      <c r="D135" s="67" t="n"/>
      <c r="E135" s="67" t="n"/>
      <c r="F135" s="67" t="n"/>
      <c r="G135" s="75" t="n"/>
      <c r="H135" s="67" t="n"/>
      <c r="I135" s="76" t="n"/>
      <c r="J135" s="75" t="n"/>
      <c r="K135" s="67" t="n"/>
      <c r="L135" s="76" t="n"/>
      <c r="M135" s="68" t="n"/>
    </row>
    <row r="136" ht="19.5" customHeight="1" s="45">
      <c r="B136" s="67" t="n"/>
      <c r="C136" s="67" t="n"/>
      <c r="D136" s="67" t="n"/>
      <c r="E136" s="67" t="n"/>
      <c r="F136" s="67" t="n"/>
      <c r="G136" s="75" t="n"/>
      <c r="H136" s="67" t="n"/>
      <c r="I136" s="76" t="n"/>
      <c r="J136" s="75" t="n"/>
      <c r="K136" s="67" t="n"/>
      <c r="L136" s="76" t="n"/>
      <c r="M136" s="68" t="n"/>
    </row>
    <row r="137" ht="19.5" customHeight="1" s="45">
      <c r="B137" s="67" t="n"/>
      <c r="C137" s="67" t="n"/>
      <c r="D137" s="67" t="n"/>
      <c r="E137" s="67" t="n"/>
      <c r="F137" s="67" t="n"/>
      <c r="G137" s="75" t="n"/>
      <c r="H137" s="67" t="n"/>
      <c r="I137" s="76" t="n"/>
      <c r="J137" s="75" t="n"/>
      <c r="K137" s="67" t="n"/>
      <c r="L137" s="76" t="n"/>
      <c r="M137" s="68" t="n"/>
    </row>
    <row r="138" ht="19.5" customHeight="1" s="45">
      <c r="B138" s="67" t="n"/>
      <c r="C138" s="67" t="n"/>
      <c r="D138" s="67" t="n"/>
      <c r="E138" s="67" t="n"/>
      <c r="F138" s="67" t="n"/>
      <c r="G138" s="75" t="n"/>
      <c r="H138" s="67" t="n"/>
      <c r="I138" s="76" t="n"/>
      <c r="J138" s="75" t="n"/>
      <c r="K138" s="67" t="n"/>
      <c r="L138" s="76" t="n"/>
      <c r="M138" s="68" t="n"/>
    </row>
    <row r="139" ht="19.5" customHeight="1" s="45">
      <c r="B139" s="67" t="n"/>
      <c r="C139" s="67" t="n"/>
      <c r="D139" s="67" t="n"/>
      <c r="E139" s="67" t="n"/>
      <c r="F139" s="67" t="n"/>
      <c r="G139" s="75" t="n"/>
      <c r="H139" s="67" t="n"/>
      <c r="I139" s="76" t="n"/>
      <c r="J139" s="75" t="n"/>
      <c r="K139" s="67" t="n"/>
      <c r="L139" s="76" t="n"/>
      <c r="M139" s="68" t="n"/>
    </row>
    <row r="140" ht="19.5" customHeight="1" s="45">
      <c r="B140" s="67" t="n"/>
      <c r="C140" s="67" t="n"/>
      <c r="D140" s="67" t="n"/>
      <c r="E140" s="67" t="n"/>
      <c r="F140" s="67" t="n"/>
      <c r="G140" s="75" t="n"/>
      <c r="H140" s="67" t="n"/>
      <c r="I140" s="76" t="n"/>
      <c r="J140" s="75" t="n"/>
      <c r="K140" s="67" t="n"/>
      <c r="L140" s="76" t="n"/>
      <c r="M140" s="68" t="n"/>
    </row>
    <row r="141" ht="19.5" customHeight="1" s="45">
      <c r="B141" s="67" t="n"/>
      <c r="C141" s="67" t="n"/>
      <c r="D141" s="67" t="n"/>
      <c r="E141" s="67" t="n"/>
      <c r="F141" s="67" t="n"/>
      <c r="G141" s="75" t="n"/>
      <c r="H141" s="67" t="n"/>
      <c r="I141" s="76" t="n"/>
      <c r="J141" s="75" t="n"/>
      <c r="K141" s="67" t="n"/>
      <c r="L141" s="76" t="n"/>
      <c r="M141" s="68" t="n"/>
    </row>
    <row r="142" ht="19.5" customHeight="1" s="45">
      <c r="B142" s="67" t="n"/>
      <c r="C142" s="67" t="n"/>
      <c r="D142" s="67" t="n"/>
      <c r="E142" s="67" t="n"/>
      <c r="F142" s="67" t="n"/>
      <c r="G142" s="75" t="n"/>
      <c r="H142" s="67" t="n"/>
      <c r="I142" s="76" t="n"/>
      <c r="J142" s="75" t="n"/>
      <c r="K142" s="67" t="n"/>
      <c r="L142" s="76" t="n"/>
      <c r="M142" s="68" t="n"/>
    </row>
    <row r="143" ht="19.5" customHeight="1" s="45">
      <c r="B143" s="67" t="n"/>
      <c r="C143" s="67" t="n"/>
      <c r="D143" s="67" t="n"/>
      <c r="E143" s="67" t="n"/>
      <c r="F143" s="67" t="n"/>
      <c r="G143" s="75" t="n"/>
      <c r="H143" s="67" t="n"/>
      <c r="I143" s="76" t="n"/>
      <c r="J143" s="75" t="n"/>
      <c r="K143" s="67" t="n"/>
      <c r="L143" s="76" t="n"/>
      <c r="M143" s="68" t="n"/>
    </row>
    <row r="144" ht="19.5" customHeight="1" s="45">
      <c r="B144" s="67" t="n"/>
      <c r="C144" s="67" t="n"/>
      <c r="D144" s="67" t="n"/>
      <c r="E144" s="67" t="n"/>
      <c r="F144" s="67" t="n"/>
      <c r="G144" s="75" t="n"/>
      <c r="H144" s="67" t="n"/>
      <c r="I144" s="76" t="n"/>
      <c r="J144" s="75" t="n"/>
      <c r="K144" s="67" t="n"/>
      <c r="L144" s="76" t="n"/>
      <c r="M144" s="68" t="n"/>
    </row>
    <row r="145" ht="19.5" customHeight="1" s="45">
      <c r="B145" s="67" t="n"/>
      <c r="C145" s="67" t="n"/>
      <c r="D145" s="67" t="n"/>
      <c r="E145" s="67" t="n"/>
      <c r="F145" s="67" t="n"/>
      <c r="G145" s="75" t="n"/>
      <c r="H145" s="67" t="n"/>
      <c r="I145" s="76" t="n"/>
      <c r="J145" s="75" t="n"/>
      <c r="K145" s="67" t="n"/>
      <c r="L145" s="76" t="n"/>
      <c r="M145" s="68" t="n"/>
    </row>
    <row r="146" ht="19.5" customHeight="1" s="45">
      <c r="B146" s="67" t="n"/>
      <c r="C146" s="67" t="n"/>
      <c r="D146" s="67" t="n"/>
      <c r="E146" s="67" t="n"/>
      <c r="F146" s="67" t="n"/>
      <c r="G146" s="75" t="n"/>
      <c r="H146" s="67" t="n"/>
      <c r="I146" s="76" t="n"/>
      <c r="J146" s="75" t="n"/>
      <c r="K146" s="67" t="n"/>
      <c r="L146" s="76" t="n"/>
      <c r="M146" s="68" t="n"/>
    </row>
    <row r="147" ht="19.5" customHeight="1" s="45">
      <c r="B147" s="67" t="n"/>
      <c r="C147" s="67" t="n"/>
      <c r="D147" s="67" t="n"/>
      <c r="E147" s="67" t="n"/>
      <c r="F147" s="67" t="n"/>
      <c r="G147" s="75" t="n"/>
      <c r="H147" s="67" t="n"/>
      <c r="I147" s="76" t="n"/>
      <c r="J147" s="75" t="n"/>
      <c r="K147" s="67" t="n"/>
      <c r="L147" s="76" t="n"/>
      <c r="M147" s="68" t="n"/>
    </row>
    <row r="148" ht="19.5" customHeight="1" s="45">
      <c r="B148" s="67" t="n"/>
      <c r="C148" s="67" t="n"/>
      <c r="D148" s="67" t="n"/>
      <c r="E148" s="67" t="n"/>
      <c r="F148" s="67" t="n"/>
      <c r="G148" s="75" t="n"/>
      <c r="H148" s="67" t="n"/>
      <c r="I148" s="76" t="n"/>
      <c r="J148" s="75" t="n"/>
      <c r="K148" s="67" t="n"/>
      <c r="L148" s="76" t="n"/>
      <c r="M148" s="68" t="n"/>
    </row>
    <row r="149" ht="19.5" customHeight="1" s="45">
      <c r="B149" s="67" t="n"/>
      <c r="C149" s="67" t="n"/>
      <c r="D149" s="67" t="n"/>
      <c r="E149" s="67" t="n"/>
      <c r="F149" s="67" t="n"/>
      <c r="G149" s="75" t="n"/>
      <c r="H149" s="67" t="n"/>
      <c r="I149" s="76" t="n"/>
      <c r="J149" s="75" t="n"/>
      <c r="K149" s="67" t="n"/>
      <c r="L149" s="76" t="n"/>
      <c r="M149" s="68" t="n"/>
    </row>
    <row r="150" ht="19.5" customHeight="1" s="45">
      <c r="B150" s="67" t="n"/>
      <c r="C150" s="67" t="n"/>
      <c r="D150" s="67" t="n"/>
      <c r="E150" s="67" t="n"/>
      <c r="F150" s="67" t="n"/>
      <c r="G150" s="75" t="n"/>
      <c r="H150" s="67" t="n"/>
      <c r="I150" s="76" t="n"/>
      <c r="J150" s="75" t="n"/>
      <c r="K150" s="67" t="n"/>
      <c r="L150" s="76" t="n"/>
      <c r="M150" s="68" t="n"/>
    </row>
    <row r="151" ht="19.5" customHeight="1" s="45">
      <c r="B151" s="67" t="n"/>
      <c r="C151" s="67" t="n"/>
      <c r="D151" s="67" t="n"/>
      <c r="E151" s="67" t="n"/>
      <c r="F151" s="67" t="n"/>
      <c r="G151" s="75" t="n"/>
      <c r="H151" s="67" t="n"/>
      <c r="I151" s="76" t="n"/>
      <c r="J151" s="75" t="n"/>
      <c r="K151" s="67" t="n"/>
      <c r="L151" s="76" t="n"/>
      <c r="M151" s="68" t="n"/>
    </row>
    <row r="152" ht="19.5" customHeight="1" s="45">
      <c r="B152" s="67" t="n"/>
      <c r="C152" s="67" t="n"/>
      <c r="D152" s="67" t="n"/>
      <c r="E152" s="67" t="n"/>
      <c r="F152" s="67" t="n"/>
      <c r="G152" s="75" t="n"/>
      <c r="H152" s="67" t="n"/>
      <c r="I152" s="76" t="n"/>
      <c r="J152" s="75" t="n"/>
      <c r="K152" s="67" t="n"/>
      <c r="L152" s="76" t="n"/>
      <c r="M152" s="68" t="n"/>
    </row>
    <row r="153" ht="19.5" customHeight="1" s="45">
      <c r="B153" s="67" t="n"/>
      <c r="C153" s="67" t="n"/>
      <c r="D153" s="67" t="n"/>
      <c r="E153" s="67" t="n"/>
      <c r="F153" s="67" t="n"/>
      <c r="G153" s="75" t="n"/>
      <c r="H153" s="67" t="n"/>
      <c r="I153" s="76" t="n"/>
      <c r="J153" s="75" t="n"/>
      <c r="K153" s="67" t="n"/>
      <c r="L153" s="76" t="n"/>
      <c r="M153" s="68" t="n"/>
    </row>
    <row r="154" ht="19.5" customHeight="1" s="45">
      <c r="B154" s="67" t="n"/>
      <c r="C154" s="67" t="n"/>
      <c r="D154" s="67" t="n"/>
      <c r="E154" s="67" t="n"/>
      <c r="F154" s="67" t="n"/>
      <c r="G154" s="75" t="n"/>
      <c r="H154" s="67" t="n"/>
      <c r="I154" s="76" t="n"/>
      <c r="J154" s="75" t="n"/>
      <c r="K154" s="67" t="n"/>
      <c r="L154" s="76" t="n"/>
      <c r="M154" s="68" t="n"/>
    </row>
    <row r="155" ht="19.5" customHeight="1" s="45">
      <c r="B155" s="67" t="n"/>
      <c r="C155" s="67" t="n"/>
      <c r="D155" s="67" t="n"/>
      <c r="E155" s="67" t="n"/>
      <c r="F155" s="67" t="n"/>
      <c r="G155" s="75" t="n"/>
      <c r="H155" s="67" t="n"/>
      <c r="I155" s="76" t="n"/>
      <c r="J155" s="75" t="n"/>
      <c r="K155" s="67" t="n"/>
      <c r="L155" s="76" t="n"/>
      <c r="M155" s="68" t="n"/>
    </row>
    <row r="156" ht="19.5" customHeight="1" s="45">
      <c r="B156" s="67" t="n"/>
      <c r="C156" s="67" t="n"/>
      <c r="D156" s="67" t="n"/>
      <c r="E156" s="67" t="n"/>
      <c r="F156" s="67" t="n"/>
      <c r="G156" s="75" t="n"/>
      <c r="H156" s="67" t="n"/>
      <c r="I156" s="76" t="n"/>
      <c r="J156" s="75" t="n"/>
      <c r="K156" s="67" t="n"/>
      <c r="L156" s="76" t="n"/>
      <c r="M156" s="68" t="n"/>
    </row>
    <row r="157" ht="19.5" customHeight="1" s="45">
      <c r="B157" s="67" t="n"/>
      <c r="C157" s="67" t="n"/>
      <c r="D157" s="67" t="n"/>
      <c r="E157" s="67" t="n"/>
      <c r="F157" s="67" t="n"/>
      <c r="G157" s="75" t="n"/>
      <c r="H157" s="67" t="n"/>
      <c r="I157" s="76" t="n"/>
      <c r="J157" s="75" t="n"/>
      <c r="K157" s="67" t="n"/>
      <c r="L157" s="76" t="n"/>
      <c r="M157" s="68" t="n"/>
    </row>
    <row r="158" ht="19.5" customHeight="1" s="45">
      <c r="B158" s="67" t="n"/>
      <c r="C158" s="67" t="n"/>
      <c r="D158" s="67" t="n"/>
      <c r="E158" s="67" t="n"/>
      <c r="F158" s="67" t="n"/>
      <c r="G158" s="75" t="n"/>
      <c r="H158" s="67" t="n"/>
      <c r="I158" s="76" t="n"/>
      <c r="J158" s="75" t="n"/>
      <c r="K158" s="67" t="n"/>
      <c r="L158" s="76" t="n"/>
      <c r="M158" s="68" t="n"/>
    </row>
    <row r="159" ht="19.5" customHeight="1" s="45">
      <c r="B159" s="67" t="n"/>
      <c r="C159" s="67" t="n"/>
      <c r="D159" s="67" t="n"/>
      <c r="E159" s="67" t="n"/>
      <c r="F159" s="67" t="n"/>
      <c r="G159" s="75" t="n"/>
      <c r="H159" s="67" t="n"/>
      <c r="I159" s="76" t="n"/>
      <c r="J159" s="75" t="n"/>
      <c r="K159" s="67" t="n"/>
      <c r="L159" s="76" t="n"/>
      <c r="M159" s="68" t="n"/>
    </row>
    <row r="160" ht="19.5" customHeight="1" s="45">
      <c r="B160" s="67" t="n"/>
      <c r="C160" s="67" t="n"/>
      <c r="D160" s="67" t="n"/>
      <c r="E160" s="67" t="n"/>
      <c r="F160" s="67" t="n"/>
      <c r="G160" s="75" t="n"/>
      <c r="H160" s="67" t="n"/>
      <c r="I160" s="76" t="n"/>
      <c r="J160" s="75" t="n"/>
      <c r="K160" s="67" t="n"/>
      <c r="L160" s="76" t="n"/>
      <c r="M160" s="68" t="n"/>
    </row>
    <row r="161" ht="19.5" customHeight="1" s="45">
      <c r="B161" s="67" t="n"/>
      <c r="C161" s="67" t="n"/>
      <c r="D161" s="67" t="n"/>
      <c r="E161" s="67" t="n"/>
      <c r="F161" s="67" t="n"/>
      <c r="G161" s="75" t="n"/>
      <c r="H161" s="67" t="n"/>
      <c r="I161" s="76" t="n"/>
      <c r="J161" s="75" t="n"/>
      <c r="K161" s="67" t="n"/>
      <c r="L161" s="76" t="n"/>
      <c r="M161" s="68" t="n"/>
    </row>
    <row r="162" ht="19.5" customHeight="1" s="45">
      <c r="B162" s="67" t="n"/>
      <c r="C162" s="67" t="n"/>
      <c r="D162" s="67" t="n"/>
      <c r="E162" s="67" t="n"/>
      <c r="F162" s="67" t="n"/>
      <c r="G162" s="75" t="n"/>
      <c r="H162" s="67" t="n"/>
      <c r="I162" s="76" t="n"/>
      <c r="J162" s="75" t="n"/>
      <c r="K162" s="67" t="n"/>
      <c r="L162" s="76" t="n"/>
      <c r="M162" s="68" t="n"/>
    </row>
    <row r="163" ht="19.5" customHeight="1" s="45">
      <c r="B163" s="67" t="n"/>
      <c r="C163" s="67" t="n"/>
      <c r="D163" s="67" t="n"/>
      <c r="E163" s="67" t="n"/>
      <c r="F163" s="67" t="n"/>
      <c r="G163" s="75" t="n"/>
      <c r="H163" s="67" t="n"/>
      <c r="I163" s="76" t="n"/>
      <c r="J163" s="75" t="n"/>
      <c r="K163" s="67" t="n"/>
      <c r="L163" s="76" t="n"/>
      <c r="M163" s="68" t="n"/>
    </row>
    <row r="164" ht="19.5" customHeight="1" s="45">
      <c r="B164" s="67" t="n"/>
      <c r="C164" s="67" t="n"/>
      <c r="D164" s="67" t="n"/>
      <c r="E164" s="67" t="n"/>
      <c r="F164" s="67" t="n"/>
      <c r="G164" s="75" t="n"/>
      <c r="H164" s="67" t="n"/>
      <c r="I164" s="76" t="n"/>
      <c r="J164" s="75" t="n"/>
      <c r="K164" s="67" t="n"/>
      <c r="L164" s="76" t="n"/>
      <c r="M164" s="68" t="n"/>
    </row>
    <row r="165" ht="19.5" customHeight="1" s="45">
      <c r="B165" s="67" t="n"/>
      <c r="C165" s="67" t="n"/>
      <c r="D165" s="67" t="n"/>
      <c r="E165" s="67" t="n"/>
      <c r="F165" s="67" t="n"/>
      <c r="G165" s="75" t="n"/>
      <c r="H165" s="67" t="n"/>
      <c r="I165" s="76" t="n"/>
      <c r="J165" s="75" t="n"/>
      <c r="K165" s="67" t="n"/>
      <c r="L165" s="76" t="n"/>
      <c r="M165" s="68" t="n"/>
    </row>
    <row r="166" ht="19.5" customHeight="1" s="45">
      <c r="B166" s="67" t="n"/>
      <c r="C166" s="67" t="n"/>
      <c r="D166" s="67" t="n"/>
      <c r="E166" s="67" t="n"/>
      <c r="F166" s="67" t="n"/>
      <c r="G166" s="75" t="n"/>
      <c r="H166" s="67" t="n"/>
      <c r="I166" s="76" t="n"/>
      <c r="J166" s="75" t="n"/>
      <c r="K166" s="67" t="n"/>
      <c r="L166" s="76" t="n"/>
      <c r="M166" s="68" t="n"/>
    </row>
    <row r="167" ht="19.5" customHeight="1" s="45">
      <c r="B167" s="67" t="n"/>
      <c r="C167" s="67" t="n"/>
      <c r="D167" s="67" t="n"/>
      <c r="E167" s="67" t="n"/>
      <c r="F167" s="67" t="n"/>
      <c r="G167" s="75" t="n"/>
      <c r="H167" s="67" t="n"/>
      <c r="I167" s="76" t="n"/>
      <c r="J167" s="75" t="n"/>
      <c r="K167" s="67" t="n"/>
      <c r="L167" s="76" t="n"/>
      <c r="M167" s="68" t="n"/>
    </row>
    <row r="168" ht="19.5" customHeight="1" s="45">
      <c r="B168" s="67" t="n"/>
      <c r="C168" s="67" t="n"/>
      <c r="D168" s="67" t="n"/>
      <c r="E168" s="67" t="n"/>
      <c r="F168" s="67" t="n"/>
      <c r="G168" s="75" t="n"/>
      <c r="H168" s="67" t="n"/>
      <c r="I168" s="76" t="n"/>
      <c r="J168" s="75" t="n"/>
      <c r="K168" s="67" t="n"/>
      <c r="L168" s="76" t="n"/>
      <c r="M168" s="68" t="n"/>
    </row>
    <row r="169" ht="19.5" customHeight="1" s="45">
      <c r="B169" s="67" t="n"/>
      <c r="C169" s="67" t="n"/>
      <c r="D169" s="67" t="n"/>
      <c r="E169" s="67" t="n"/>
      <c r="F169" s="67" t="n"/>
      <c r="G169" s="75" t="n"/>
      <c r="H169" s="67" t="n"/>
      <c r="I169" s="76" t="n"/>
      <c r="J169" s="75" t="n"/>
      <c r="K169" s="67" t="n"/>
      <c r="L169" s="76" t="n"/>
      <c r="M169" s="68" t="n"/>
    </row>
    <row r="170" ht="19.5" customHeight="1" s="45">
      <c r="B170" s="67" t="n"/>
      <c r="C170" s="67" t="n"/>
      <c r="D170" s="67" t="n"/>
      <c r="E170" s="67" t="n"/>
      <c r="F170" s="67" t="n"/>
      <c r="G170" s="75" t="n"/>
      <c r="H170" s="67" t="n"/>
      <c r="I170" s="76" t="n"/>
      <c r="J170" s="75" t="n"/>
      <c r="K170" s="67" t="n"/>
      <c r="L170" s="76" t="n"/>
      <c r="M170" s="68" t="n"/>
    </row>
    <row r="171" ht="19.5" customHeight="1" s="45">
      <c r="B171" s="67" t="n"/>
      <c r="C171" s="67" t="n"/>
      <c r="D171" s="67" t="n"/>
      <c r="E171" s="67" t="n"/>
      <c r="F171" s="67" t="n"/>
      <c r="G171" s="75" t="n"/>
      <c r="H171" s="67" t="n"/>
      <c r="I171" s="76" t="n"/>
      <c r="J171" s="75" t="n"/>
      <c r="K171" s="67" t="n"/>
      <c r="L171" s="76" t="n"/>
      <c r="M171" s="68" t="n"/>
    </row>
    <row r="172" ht="19.5" customHeight="1" s="45">
      <c r="B172" s="67" t="n"/>
      <c r="C172" s="67" t="n"/>
      <c r="D172" s="67" t="n"/>
      <c r="E172" s="67" t="n"/>
      <c r="F172" s="67" t="n"/>
      <c r="G172" s="75" t="n"/>
      <c r="H172" s="67" t="n"/>
      <c r="I172" s="76" t="n"/>
      <c r="J172" s="75" t="n"/>
      <c r="K172" s="67" t="n"/>
      <c r="L172" s="76" t="n"/>
      <c r="M172" s="68" t="n"/>
    </row>
    <row r="173" ht="19.5" customHeight="1" s="45">
      <c r="B173" s="67" t="n"/>
      <c r="C173" s="67" t="n"/>
      <c r="D173" s="67" t="n"/>
      <c r="E173" s="67" t="n"/>
      <c r="F173" s="67" t="n"/>
      <c r="G173" s="75" t="n"/>
      <c r="H173" s="67" t="n"/>
      <c r="I173" s="76" t="n"/>
      <c r="J173" s="75" t="n"/>
      <c r="K173" s="67" t="n"/>
      <c r="L173" s="76" t="n"/>
      <c r="M173" s="68" t="n"/>
    </row>
    <row r="174" ht="19.5" customHeight="1" s="45">
      <c r="B174" s="67" t="n"/>
      <c r="C174" s="67" t="n"/>
      <c r="D174" s="67" t="n"/>
      <c r="E174" s="67" t="n"/>
      <c r="F174" s="67" t="n"/>
      <c r="G174" s="75" t="n"/>
      <c r="H174" s="67" t="n"/>
      <c r="I174" s="76" t="n"/>
      <c r="J174" s="75" t="n"/>
      <c r="K174" s="67" t="n"/>
      <c r="L174" s="76" t="n"/>
      <c r="M174" s="68" t="n"/>
    </row>
    <row r="175" ht="19.5" customHeight="1" s="45">
      <c r="B175" s="67" t="n"/>
      <c r="C175" s="67" t="n"/>
      <c r="D175" s="67" t="n"/>
      <c r="E175" s="67" t="n"/>
      <c r="F175" s="67" t="n"/>
      <c r="G175" s="75" t="n"/>
      <c r="H175" s="67" t="n"/>
      <c r="I175" s="76" t="n"/>
      <c r="J175" s="75" t="n"/>
      <c r="K175" s="67" t="n"/>
      <c r="L175" s="76" t="n"/>
      <c r="M175" s="68" t="n"/>
    </row>
    <row r="176" ht="19.5" customHeight="1" s="45">
      <c r="B176" s="67" t="n"/>
      <c r="C176" s="67" t="n"/>
      <c r="D176" s="67" t="n"/>
      <c r="E176" s="67" t="n"/>
      <c r="F176" s="67" t="n"/>
      <c r="G176" s="75" t="n"/>
      <c r="H176" s="67" t="n"/>
      <c r="I176" s="76" t="n"/>
      <c r="J176" s="75" t="n"/>
      <c r="K176" s="67" t="n"/>
      <c r="L176" s="76" t="n"/>
      <c r="M176" s="68" t="n"/>
    </row>
    <row r="177" ht="19.5" customHeight="1" s="45">
      <c r="B177" s="67" t="n"/>
      <c r="C177" s="67" t="n"/>
      <c r="D177" s="67" t="n"/>
      <c r="E177" s="67" t="n"/>
      <c r="F177" s="67" t="n"/>
      <c r="G177" s="75" t="n"/>
      <c r="H177" s="67" t="n"/>
      <c r="I177" s="76" t="n"/>
      <c r="J177" s="75" t="n"/>
      <c r="K177" s="67" t="n"/>
      <c r="L177" s="76" t="n"/>
      <c r="M177" s="68" t="n"/>
    </row>
    <row r="178" ht="19.5" customHeight="1" s="45">
      <c r="B178" s="67" t="n"/>
      <c r="C178" s="67" t="n"/>
      <c r="D178" s="67" t="n"/>
      <c r="E178" s="67" t="n"/>
      <c r="F178" s="67" t="n"/>
      <c r="G178" s="75" t="n"/>
      <c r="H178" s="67" t="n"/>
      <c r="I178" s="76" t="n"/>
      <c r="J178" s="75" t="n"/>
      <c r="K178" s="67" t="n"/>
      <c r="L178" s="76" t="n"/>
      <c r="M178" s="68" t="n"/>
    </row>
    <row r="179" ht="19.5" customHeight="1" s="45">
      <c r="B179" s="67" t="n"/>
      <c r="C179" s="67" t="n"/>
      <c r="D179" s="67" t="n"/>
      <c r="E179" s="67" t="n"/>
      <c r="F179" s="67" t="n"/>
      <c r="G179" s="75" t="n"/>
      <c r="H179" s="67" t="n"/>
      <c r="I179" s="76" t="n"/>
      <c r="J179" s="75" t="n"/>
      <c r="K179" s="67" t="n"/>
      <c r="L179" s="76" t="n"/>
      <c r="M179" s="68" t="n"/>
    </row>
    <row r="180" ht="19.5" customHeight="1" s="45">
      <c r="B180" s="67" t="n"/>
      <c r="C180" s="67" t="n"/>
      <c r="D180" s="67" t="n"/>
      <c r="E180" s="67" t="n"/>
      <c r="F180" s="67" t="n"/>
      <c r="G180" s="75" t="n"/>
      <c r="H180" s="67" t="n"/>
      <c r="I180" s="76" t="n"/>
      <c r="J180" s="75" t="n"/>
      <c r="K180" s="67" t="n"/>
      <c r="L180" s="76" t="n"/>
      <c r="M180" s="68" t="n"/>
    </row>
    <row r="181" ht="19.5" customHeight="1" s="45">
      <c r="B181" s="67" t="n"/>
      <c r="C181" s="67" t="n"/>
      <c r="D181" s="67" t="n"/>
      <c r="E181" s="67" t="n"/>
      <c r="F181" s="67" t="n"/>
      <c r="G181" s="75" t="n"/>
      <c r="H181" s="67" t="n"/>
      <c r="I181" s="76" t="n"/>
      <c r="J181" s="75" t="n"/>
      <c r="K181" s="67" t="n"/>
      <c r="L181" s="76" t="n"/>
      <c r="M181" s="68" t="n"/>
    </row>
    <row r="182" ht="19.5" customHeight="1" s="45">
      <c r="B182" s="67" t="n"/>
      <c r="C182" s="67" t="n"/>
      <c r="D182" s="67" t="n"/>
      <c r="E182" s="67" t="n"/>
      <c r="F182" s="67" t="n"/>
      <c r="G182" s="75" t="n"/>
      <c r="H182" s="67" t="n"/>
      <c r="I182" s="76" t="n"/>
      <c r="J182" s="75" t="n"/>
      <c r="K182" s="67" t="n"/>
      <c r="L182" s="76" t="n"/>
      <c r="M182" s="68" t="n"/>
    </row>
    <row r="183" ht="19.5" customHeight="1" s="45">
      <c r="B183" s="67" t="n"/>
      <c r="C183" s="67" t="n"/>
      <c r="D183" s="67" t="n"/>
      <c r="E183" s="67" t="n"/>
      <c r="F183" s="67" t="n"/>
      <c r="G183" s="75" t="n"/>
      <c r="H183" s="67" t="n"/>
      <c r="I183" s="76" t="n"/>
      <c r="J183" s="75" t="n"/>
      <c r="K183" s="67" t="n"/>
      <c r="L183" s="76" t="n"/>
      <c r="M183" s="68" t="n"/>
    </row>
    <row r="184" ht="19.5" customHeight="1" s="45">
      <c r="B184" s="67" t="n"/>
      <c r="C184" s="67" t="n"/>
      <c r="D184" s="67" t="n"/>
      <c r="E184" s="67" t="n"/>
      <c r="F184" s="67" t="n"/>
      <c r="G184" s="75" t="n"/>
      <c r="H184" s="67" t="n"/>
      <c r="I184" s="76" t="n"/>
      <c r="J184" s="75" t="n"/>
      <c r="K184" s="67" t="n"/>
      <c r="L184" s="76" t="n"/>
      <c r="M184" s="68" t="n"/>
    </row>
    <row r="185" ht="19.5" customHeight="1" s="45">
      <c r="B185" s="67" t="n"/>
      <c r="C185" s="67" t="n"/>
      <c r="D185" s="67" t="n"/>
      <c r="E185" s="67" t="n"/>
      <c r="F185" s="67" t="n"/>
      <c r="G185" s="75" t="n"/>
      <c r="H185" s="67" t="n"/>
      <c r="I185" s="76" t="n"/>
      <c r="J185" s="75" t="n"/>
      <c r="K185" s="67" t="n"/>
      <c r="L185" s="76" t="n"/>
      <c r="M185" s="68" t="n"/>
    </row>
    <row r="186" ht="19.5" customHeight="1" s="45">
      <c r="B186" s="67" t="n"/>
      <c r="C186" s="67" t="n"/>
      <c r="D186" s="67" t="n"/>
      <c r="E186" s="67" t="n"/>
      <c r="F186" s="67" t="n"/>
      <c r="G186" s="75" t="n"/>
      <c r="H186" s="67" t="n"/>
      <c r="I186" s="76" t="n"/>
      <c r="J186" s="75" t="n"/>
      <c r="K186" s="67" t="n"/>
      <c r="L186" s="76" t="n"/>
      <c r="M186" s="68" t="n"/>
    </row>
    <row r="187" ht="19.5" customHeight="1" s="45">
      <c r="B187" s="67" t="n"/>
      <c r="C187" s="67" t="n"/>
      <c r="D187" s="67" t="n"/>
      <c r="E187" s="67" t="n"/>
      <c r="F187" s="67" t="n"/>
      <c r="G187" s="75" t="n"/>
      <c r="H187" s="67" t="n"/>
      <c r="I187" s="76" t="n"/>
      <c r="J187" s="75" t="n"/>
      <c r="K187" s="67" t="n"/>
      <c r="L187" s="76" t="n"/>
      <c r="M187" s="68" t="n"/>
    </row>
    <row r="188" ht="19.5" customHeight="1" s="45">
      <c r="B188" s="67" t="n"/>
      <c r="C188" s="67" t="n"/>
      <c r="D188" s="67" t="n"/>
      <c r="E188" s="67" t="n"/>
      <c r="F188" s="67" t="n"/>
      <c r="G188" s="75" t="n"/>
      <c r="H188" s="67" t="n"/>
      <c r="I188" s="76" t="n"/>
      <c r="J188" s="75" t="n"/>
      <c r="K188" s="67" t="n"/>
      <c r="L188" s="76" t="n"/>
      <c r="M188" s="68" t="n"/>
    </row>
    <row r="189" ht="19.5" customHeight="1" s="45">
      <c r="B189" s="67" t="n"/>
      <c r="C189" s="67" t="n"/>
      <c r="D189" s="67" t="n"/>
      <c r="E189" s="67" t="n"/>
      <c r="F189" s="67" t="n"/>
      <c r="G189" s="75" t="n"/>
      <c r="H189" s="67" t="n"/>
      <c r="I189" s="76" t="n"/>
      <c r="J189" s="75" t="n"/>
      <c r="K189" s="67" t="n"/>
      <c r="L189" s="76" t="n"/>
      <c r="M189" s="68" t="n"/>
    </row>
    <row r="190" ht="19.5" customHeight="1" s="45">
      <c r="B190" s="67" t="n"/>
      <c r="C190" s="67" t="n"/>
      <c r="D190" s="67" t="n"/>
      <c r="E190" s="67" t="n"/>
      <c r="F190" s="67" t="n"/>
      <c r="G190" s="75" t="n"/>
      <c r="H190" s="67" t="n"/>
      <c r="I190" s="76" t="n"/>
      <c r="J190" s="75" t="n"/>
      <c r="K190" s="67" t="n"/>
      <c r="L190" s="76" t="n"/>
      <c r="M190" s="68" t="n"/>
    </row>
    <row r="191" ht="19.5" customHeight="1" s="45">
      <c r="B191" s="67" t="n"/>
      <c r="C191" s="67" t="n"/>
      <c r="D191" s="67" t="n"/>
      <c r="E191" s="67" t="n"/>
      <c r="F191" s="67" t="n"/>
      <c r="G191" s="75" t="n"/>
      <c r="H191" s="67" t="n"/>
      <c r="I191" s="76" t="n"/>
      <c r="J191" s="75" t="n"/>
      <c r="K191" s="67" t="n"/>
      <c r="L191" s="76" t="n"/>
      <c r="M191" s="68" t="n"/>
    </row>
    <row r="192" ht="19.5" customHeight="1" s="45">
      <c r="B192" s="67" t="n"/>
      <c r="C192" s="67" t="n"/>
      <c r="D192" s="67" t="n"/>
      <c r="E192" s="67" t="n"/>
      <c r="F192" s="67" t="n"/>
      <c r="G192" s="75" t="n"/>
      <c r="H192" s="67" t="n"/>
      <c r="I192" s="76" t="n"/>
      <c r="J192" s="75" t="n"/>
      <c r="K192" s="67" t="n"/>
      <c r="L192" s="76" t="n"/>
      <c r="M192" s="68" t="n"/>
    </row>
    <row r="193" ht="19.5" customHeight="1" s="45">
      <c r="B193" s="67" t="n"/>
      <c r="C193" s="67" t="n"/>
      <c r="D193" s="67" t="n"/>
      <c r="E193" s="67" t="n"/>
      <c r="F193" s="67" t="n"/>
      <c r="G193" s="75" t="n"/>
      <c r="H193" s="67" t="n"/>
      <c r="I193" s="76" t="n"/>
      <c r="J193" s="75" t="n"/>
      <c r="K193" s="67" t="n"/>
      <c r="L193" s="76" t="n"/>
      <c r="M193" s="68" t="n"/>
    </row>
    <row r="194" ht="19.5" customHeight="1" s="45">
      <c r="B194" s="67" t="n"/>
      <c r="C194" s="67" t="n"/>
      <c r="D194" s="67" t="n"/>
      <c r="E194" s="67" t="n"/>
      <c r="F194" s="67" t="n"/>
      <c r="G194" s="75" t="n"/>
      <c r="H194" s="67" t="n"/>
      <c r="I194" s="76" t="n"/>
      <c r="J194" s="75" t="n"/>
      <c r="K194" s="67" t="n"/>
      <c r="L194" s="76" t="n"/>
      <c r="M194" s="68" t="n"/>
    </row>
    <row r="195" ht="19.5" customHeight="1" s="45">
      <c r="B195" s="67" t="n"/>
      <c r="C195" s="67" t="n"/>
      <c r="D195" s="67" t="n"/>
      <c r="E195" s="67" t="n"/>
      <c r="F195" s="67" t="n"/>
      <c r="G195" s="75" t="n"/>
      <c r="H195" s="67" t="n"/>
      <c r="I195" s="76" t="n"/>
      <c r="J195" s="75" t="n"/>
      <c r="K195" s="67" t="n"/>
      <c r="L195" s="76" t="n"/>
      <c r="M195" s="68" t="n"/>
    </row>
    <row r="196" ht="19.5" customHeight="1" s="45">
      <c r="B196" s="67" t="n"/>
      <c r="C196" s="67" t="n"/>
      <c r="D196" s="67" t="n"/>
      <c r="E196" s="67" t="n"/>
      <c r="F196" s="67" t="n"/>
      <c r="G196" s="75" t="n"/>
      <c r="H196" s="67" t="n"/>
      <c r="I196" s="76" t="n"/>
      <c r="J196" s="75" t="n"/>
      <c r="K196" s="67" t="n"/>
      <c r="L196" s="76" t="n"/>
      <c r="M196" s="68" t="n"/>
    </row>
    <row r="197" ht="19.5" customHeight="1" s="45">
      <c r="B197" s="67" t="n"/>
      <c r="C197" s="67" t="n"/>
      <c r="D197" s="67" t="n"/>
      <c r="E197" s="67" t="n"/>
      <c r="F197" s="67" t="n"/>
      <c r="G197" s="75" t="n"/>
      <c r="H197" s="67" t="n"/>
      <c r="I197" s="76" t="n"/>
      <c r="J197" s="75" t="n"/>
      <c r="K197" s="67" t="n"/>
      <c r="L197" s="76" t="n"/>
      <c r="M197" s="68" t="n"/>
    </row>
    <row r="198" ht="19.5" customHeight="1" s="45">
      <c r="B198" s="67" t="n"/>
      <c r="C198" s="67" t="n"/>
      <c r="D198" s="67" t="n"/>
      <c r="E198" s="67" t="n"/>
      <c r="F198" s="67" t="n"/>
      <c r="G198" s="75" t="n"/>
      <c r="H198" s="67" t="n"/>
      <c r="I198" s="76" t="n"/>
      <c r="J198" s="75" t="n"/>
      <c r="K198" s="67" t="n"/>
      <c r="L198" s="76" t="n"/>
      <c r="M198" s="68" t="n"/>
    </row>
    <row r="199" ht="19.5" customHeight="1" s="45">
      <c r="B199" s="67" t="n"/>
      <c r="C199" s="67" t="n"/>
      <c r="D199" s="67" t="n"/>
      <c r="E199" s="67" t="n"/>
      <c r="F199" s="67" t="n"/>
      <c r="G199" s="75" t="n"/>
      <c r="H199" s="67" t="n"/>
      <c r="I199" s="76" t="n"/>
      <c r="J199" s="75" t="n"/>
      <c r="K199" s="67" t="n"/>
      <c r="L199" s="76" t="n"/>
      <c r="M199" s="68" t="n"/>
    </row>
    <row r="200" ht="19.5" customHeight="1" s="45">
      <c r="B200" s="67" t="n"/>
      <c r="C200" s="67" t="n"/>
      <c r="D200" s="67" t="n"/>
      <c r="E200" s="67" t="n"/>
      <c r="F200" s="67" t="n"/>
      <c r="G200" s="75" t="n"/>
      <c r="H200" s="67" t="n"/>
      <c r="I200" s="76" t="n"/>
      <c r="J200" s="75" t="n"/>
      <c r="K200" s="67" t="n"/>
      <c r="L200" s="76" t="n"/>
      <c r="M200" s="68" t="n"/>
    </row>
    <row r="201" ht="19.5" customHeight="1" s="45">
      <c r="B201" s="67" t="n"/>
      <c r="C201" s="67" t="n"/>
      <c r="D201" s="67" t="n"/>
      <c r="E201" s="67" t="n"/>
      <c r="F201" s="67" t="n"/>
      <c r="G201" s="75" t="n"/>
      <c r="H201" s="67" t="n"/>
      <c r="I201" s="76" t="n"/>
      <c r="J201" s="75" t="n"/>
      <c r="K201" s="67" t="n"/>
      <c r="L201" s="76" t="n"/>
      <c r="M201" s="68" t="n"/>
    </row>
    <row r="202" ht="19.5" customHeight="1" s="45">
      <c r="B202" s="67" t="n"/>
      <c r="C202" s="67" t="n"/>
      <c r="D202" s="67" t="n"/>
      <c r="E202" s="67" t="n"/>
      <c r="F202" s="67" t="n"/>
      <c r="G202" s="75" t="n"/>
      <c r="H202" s="67" t="n"/>
      <c r="I202" s="76" t="n"/>
      <c r="J202" s="75" t="n"/>
      <c r="K202" s="67" t="n"/>
      <c r="L202" s="76" t="n"/>
      <c r="M202" s="68" t="n"/>
    </row>
    <row r="203" ht="19.5" customHeight="1" s="45">
      <c r="B203" s="67" t="n"/>
      <c r="C203" s="67" t="n"/>
      <c r="D203" s="67" t="n"/>
      <c r="E203" s="67" t="n"/>
      <c r="F203" s="67" t="n"/>
      <c r="G203" s="75" t="n"/>
      <c r="H203" s="67" t="n"/>
      <c r="I203" s="76" t="n"/>
      <c r="J203" s="75" t="n"/>
      <c r="K203" s="67" t="n"/>
      <c r="L203" s="76" t="n"/>
      <c r="M203" s="68" t="n"/>
    </row>
    <row r="204" ht="19.5" customHeight="1" s="45">
      <c r="B204" s="67" t="n"/>
      <c r="C204" s="67" t="n"/>
      <c r="D204" s="67" t="n"/>
      <c r="E204" s="67" t="n"/>
      <c r="F204" s="67" t="n"/>
      <c r="G204" s="75" t="n"/>
      <c r="H204" s="67" t="n"/>
      <c r="I204" s="76" t="n"/>
      <c r="J204" s="75" t="n"/>
      <c r="K204" s="67" t="n"/>
      <c r="L204" s="76" t="n"/>
      <c r="M204" s="68" t="n"/>
    </row>
    <row r="205" ht="19.5" customHeight="1" s="45">
      <c r="B205" s="67" t="n"/>
      <c r="C205" s="67" t="n"/>
      <c r="D205" s="67" t="n"/>
      <c r="E205" s="67" t="n"/>
      <c r="F205" s="67" t="n"/>
      <c r="G205" s="75" t="n"/>
      <c r="H205" s="67" t="n"/>
      <c r="I205" s="76" t="n"/>
      <c r="J205" s="75" t="n"/>
      <c r="K205" s="67" t="n"/>
      <c r="L205" s="76" t="n"/>
      <c r="M205" s="68" t="n"/>
    </row>
    <row r="206" ht="19.5" customHeight="1" s="45">
      <c r="B206" s="67" t="n"/>
      <c r="C206" s="67" t="n"/>
      <c r="D206" s="67" t="n"/>
      <c r="E206" s="67" t="n"/>
      <c r="F206" s="67" t="n"/>
      <c r="G206" s="75" t="n"/>
      <c r="H206" s="67" t="n"/>
      <c r="I206" s="76" t="n"/>
      <c r="J206" s="75" t="n"/>
      <c r="K206" s="67" t="n"/>
      <c r="L206" s="76" t="n"/>
      <c r="M206" s="68" t="n"/>
    </row>
    <row r="207" ht="19.5" customHeight="1" s="45">
      <c r="B207" s="67" t="n"/>
      <c r="C207" s="67" t="n"/>
      <c r="D207" s="67" t="n"/>
      <c r="E207" s="67" t="n"/>
      <c r="F207" s="67" t="n"/>
      <c r="G207" s="75" t="n"/>
      <c r="H207" s="67" t="n"/>
      <c r="I207" s="76" t="n"/>
      <c r="J207" s="75" t="n"/>
      <c r="K207" s="67" t="n"/>
      <c r="L207" s="76" t="n"/>
      <c r="M207" s="68" t="n"/>
    </row>
    <row r="208" ht="19.5" customHeight="1" s="45">
      <c r="B208" s="67" t="n"/>
      <c r="C208" s="67" t="n"/>
      <c r="D208" s="67" t="n"/>
      <c r="E208" s="67" t="n"/>
      <c r="F208" s="67" t="n"/>
      <c r="G208" s="75" t="n"/>
      <c r="H208" s="67" t="n"/>
      <c r="I208" s="76" t="n"/>
      <c r="J208" s="75" t="n"/>
      <c r="K208" s="67" t="n"/>
      <c r="L208" s="76" t="n"/>
      <c r="M208" s="68" t="n"/>
    </row>
    <row r="209" ht="19.5" customHeight="1" s="45">
      <c r="B209" s="67" t="n"/>
      <c r="C209" s="67" t="n"/>
      <c r="D209" s="67" t="n"/>
      <c r="E209" s="67" t="n"/>
      <c r="F209" s="67" t="n"/>
      <c r="G209" s="75" t="n"/>
      <c r="H209" s="67" t="n"/>
      <c r="I209" s="76" t="n"/>
      <c r="J209" s="75" t="n"/>
      <c r="K209" s="67" t="n"/>
      <c r="L209" s="76" t="n"/>
      <c r="M209" s="68" t="n"/>
    </row>
    <row r="210" ht="19.5" customHeight="1" s="45">
      <c r="B210" s="67" t="n"/>
      <c r="C210" s="67" t="n"/>
      <c r="D210" s="67" t="n"/>
      <c r="E210" s="67" t="n"/>
      <c r="F210" s="67" t="n"/>
      <c r="G210" s="75" t="n"/>
      <c r="H210" s="67" t="n"/>
      <c r="I210" s="76" t="n"/>
      <c r="J210" s="75" t="n"/>
      <c r="K210" s="67" t="n"/>
      <c r="L210" s="76" t="n"/>
      <c r="M210" s="68" t="n"/>
    </row>
    <row r="211" ht="19.5" customHeight="1" s="45">
      <c r="B211" s="67" t="n"/>
      <c r="C211" s="67" t="n"/>
      <c r="D211" s="67" t="n"/>
      <c r="E211" s="67" t="n"/>
      <c r="F211" s="67" t="n"/>
      <c r="G211" s="75" t="n"/>
      <c r="H211" s="67" t="n"/>
      <c r="I211" s="76" t="n"/>
      <c r="J211" s="75" t="n"/>
      <c r="K211" s="67" t="n"/>
      <c r="L211" s="76" t="n"/>
      <c r="M211" s="68" t="n"/>
    </row>
    <row r="212" ht="19.5" customHeight="1" s="45">
      <c r="B212" s="67" t="n"/>
      <c r="C212" s="67" t="n"/>
      <c r="D212" s="67" t="n"/>
      <c r="E212" s="67" t="n"/>
      <c r="F212" s="67" t="n"/>
      <c r="G212" s="75" t="n"/>
      <c r="H212" s="67" t="n"/>
      <c r="I212" s="76" t="n"/>
      <c r="J212" s="75" t="n"/>
      <c r="K212" s="67" t="n"/>
      <c r="L212" s="76" t="n"/>
      <c r="M212" s="68" t="n"/>
    </row>
    <row r="213" ht="19.5" customHeight="1" s="45">
      <c r="B213" s="67" t="n"/>
      <c r="C213" s="67" t="n"/>
      <c r="D213" s="67" t="n"/>
      <c r="E213" s="67" t="n"/>
      <c r="F213" s="67" t="n"/>
      <c r="G213" s="75" t="n"/>
      <c r="H213" s="67" t="n"/>
      <c r="I213" s="76" t="n"/>
      <c r="J213" s="75" t="n"/>
      <c r="K213" s="67" t="n"/>
      <c r="L213" s="76" t="n"/>
      <c r="M213" s="68" t="n"/>
    </row>
    <row r="214" ht="19.5" customHeight="1" s="45">
      <c r="B214" s="67" t="n"/>
      <c r="C214" s="67" t="n"/>
      <c r="D214" s="67" t="n"/>
      <c r="E214" s="67" t="n"/>
      <c r="F214" s="67" t="n"/>
      <c r="G214" s="75" t="n"/>
      <c r="H214" s="67" t="n"/>
      <c r="I214" s="76" t="n"/>
      <c r="J214" s="75" t="n"/>
      <c r="K214" s="67" t="n"/>
      <c r="L214" s="76" t="n"/>
      <c r="M214" s="68" t="n"/>
    </row>
    <row r="215" ht="19.5" customHeight="1" s="45">
      <c r="B215" s="67" t="n"/>
      <c r="C215" s="67" t="n"/>
      <c r="D215" s="67" t="n"/>
      <c r="E215" s="67" t="n"/>
      <c r="F215" s="67" t="n"/>
      <c r="G215" s="75" t="n"/>
      <c r="H215" s="67" t="n"/>
      <c r="I215" s="76" t="n"/>
      <c r="J215" s="75" t="n"/>
      <c r="K215" s="67" t="n"/>
      <c r="L215" s="76" t="n"/>
      <c r="M215" s="68" t="n"/>
    </row>
    <row r="216" ht="19.5" customHeight="1" s="45">
      <c r="B216" s="67" t="n"/>
      <c r="C216" s="67" t="n"/>
      <c r="D216" s="67" t="n"/>
      <c r="E216" s="67" t="n"/>
      <c r="F216" s="67" t="n"/>
      <c r="G216" s="75" t="n"/>
      <c r="H216" s="67" t="n"/>
      <c r="I216" s="76" t="n"/>
      <c r="J216" s="75" t="n"/>
      <c r="K216" s="67" t="n"/>
      <c r="L216" s="76" t="n"/>
      <c r="M216" s="68" t="n"/>
    </row>
    <row r="217" ht="19.5" customHeight="1" s="45">
      <c r="B217" s="67" t="n"/>
      <c r="C217" s="67" t="n"/>
      <c r="D217" s="67" t="n"/>
      <c r="E217" s="67" t="n"/>
      <c r="F217" s="67" t="n"/>
      <c r="G217" s="75" t="n"/>
      <c r="H217" s="67" t="n"/>
      <c r="I217" s="76" t="n"/>
      <c r="J217" s="75" t="n"/>
      <c r="K217" s="67" t="n"/>
      <c r="L217" s="76" t="n"/>
      <c r="M217" s="68" t="n"/>
    </row>
    <row r="218" ht="19.5" customHeight="1" s="45">
      <c r="B218" s="67" t="n"/>
      <c r="C218" s="67" t="n"/>
      <c r="D218" s="67" t="n"/>
      <c r="E218" s="67" t="n"/>
      <c r="F218" s="67" t="n"/>
      <c r="G218" s="75" t="n"/>
      <c r="H218" s="67" t="n"/>
      <c r="I218" s="76" t="n"/>
      <c r="J218" s="75" t="n"/>
      <c r="K218" s="67" t="n"/>
      <c r="L218" s="76" t="n"/>
      <c r="M218" s="68" t="n"/>
    </row>
    <row r="219" ht="19.5" customHeight="1" s="45">
      <c r="B219" s="67" t="n"/>
      <c r="C219" s="67" t="n"/>
      <c r="D219" s="67" t="n"/>
      <c r="E219" s="67" t="n"/>
      <c r="F219" s="67" t="n"/>
      <c r="G219" s="75" t="n"/>
      <c r="H219" s="67" t="n"/>
      <c r="I219" s="76" t="n"/>
      <c r="J219" s="75" t="n"/>
      <c r="K219" s="67" t="n"/>
      <c r="L219" s="76" t="n"/>
      <c r="M219" s="68" t="n"/>
    </row>
    <row r="220" ht="19.5" customHeight="1" s="45">
      <c r="B220" s="67" t="n"/>
      <c r="C220" s="67" t="n"/>
      <c r="D220" s="67" t="n"/>
      <c r="E220" s="67" t="n"/>
      <c r="F220" s="67" t="n"/>
      <c r="G220" s="75" t="n"/>
      <c r="H220" s="67" t="n"/>
      <c r="I220" s="76" t="n"/>
      <c r="J220" s="75" t="n"/>
      <c r="K220" s="67" t="n"/>
      <c r="L220" s="76" t="n"/>
      <c r="M220" s="68" t="n"/>
    </row>
    <row r="221" ht="19.5" customHeight="1" s="45">
      <c r="B221" s="67" t="n"/>
      <c r="C221" s="67" t="n"/>
      <c r="D221" s="67" t="n"/>
      <c r="E221" s="67" t="n"/>
      <c r="F221" s="67" t="n"/>
      <c r="G221" s="75" t="n"/>
      <c r="H221" s="67" t="n"/>
      <c r="I221" s="76" t="n"/>
      <c r="J221" s="75" t="n"/>
      <c r="K221" s="67" t="n"/>
      <c r="L221" s="76" t="n"/>
      <c r="M221" s="68" t="n"/>
    </row>
    <row r="222" ht="19.5" customHeight="1" s="45">
      <c r="B222" s="67" t="n"/>
      <c r="C222" s="67" t="n"/>
      <c r="D222" s="67" t="n"/>
      <c r="E222" s="67" t="n"/>
      <c r="F222" s="67" t="n"/>
      <c r="G222" s="75" t="n"/>
      <c r="H222" s="67" t="n"/>
      <c r="I222" s="76" t="n"/>
      <c r="J222" s="75" t="n"/>
      <c r="K222" s="67" t="n"/>
      <c r="L222" s="76" t="n"/>
      <c r="M222" s="68" t="n"/>
    </row>
    <row r="223" ht="19.5" customHeight="1" s="45">
      <c r="B223" s="67" t="n"/>
      <c r="C223" s="67" t="n"/>
      <c r="D223" s="67" t="n"/>
      <c r="E223" s="67" t="n"/>
      <c r="F223" s="67" t="n"/>
      <c r="G223" s="75" t="n"/>
      <c r="H223" s="67" t="n"/>
      <c r="I223" s="76" t="n"/>
      <c r="J223" s="75" t="n"/>
      <c r="K223" s="67" t="n"/>
      <c r="L223" s="76" t="n"/>
      <c r="M223" s="68" t="n"/>
    </row>
    <row r="224" ht="19.5" customHeight="1" s="45">
      <c r="B224" s="67" t="n"/>
      <c r="C224" s="67" t="n"/>
      <c r="D224" s="67" t="n"/>
      <c r="E224" s="67" t="n"/>
      <c r="F224" s="67" t="n"/>
      <c r="G224" s="75" t="n"/>
      <c r="H224" s="67" t="n"/>
      <c r="I224" s="76" t="n"/>
      <c r="J224" s="75" t="n"/>
      <c r="K224" s="67" t="n"/>
      <c r="L224" s="76" t="n"/>
      <c r="M224" s="68" t="n"/>
    </row>
    <row r="225" ht="19.5" customHeight="1" s="45">
      <c r="B225" s="67" t="n"/>
      <c r="C225" s="67" t="n"/>
      <c r="D225" s="67" t="n"/>
      <c r="E225" s="67" t="n"/>
      <c r="F225" s="67" t="n"/>
      <c r="G225" s="75" t="n"/>
      <c r="H225" s="67" t="n"/>
      <c r="I225" s="76" t="n"/>
      <c r="J225" s="75" t="n"/>
      <c r="K225" s="67" t="n"/>
      <c r="L225" s="76" t="n"/>
      <c r="M225" s="68" t="n"/>
    </row>
    <row r="226" ht="19.5" customHeight="1" s="45">
      <c r="B226" s="67" t="n"/>
      <c r="C226" s="67" t="n"/>
      <c r="D226" s="67" t="n"/>
      <c r="E226" s="67" t="n"/>
      <c r="F226" s="67" t="n"/>
      <c r="G226" s="75" t="n"/>
      <c r="H226" s="67" t="n"/>
      <c r="I226" s="76" t="n"/>
      <c r="J226" s="75" t="n"/>
      <c r="K226" s="67" t="n"/>
      <c r="L226" s="76" t="n"/>
      <c r="M226" s="68" t="n"/>
    </row>
    <row r="227" ht="19.5" customHeight="1" s="45">
      <c r="B227" s="67" t="n"/>
      <c r="C227" s="67" t="n"/>
      <c r="D227" s="67" t="n"/>
      <c r="E227" s="67" t="n"/>
      <c r="F227" s="67" t="n"/>
      <c r="G227" s="75" t="n"/>
      <c r="H227" s="67" t="n"/>
      <c r="I227" s="76" t="n"/>
      <c r="J227" s="75" t="n"/>
      <c r="K227" s="67" t="n"/>
      <c r="L227" s="76" t="n"/>
      <c r="M227" s="68" t="n"/>
    </row>
    <row r="228" ht="19.5" customHeight="1" s="45">
      <c r="B228" s="67" t="n"/>
      <c r="C228" s="67" t="n"/>
      <c r="D228" s="67" t="n"/>
      <c r="E228" s="67" t="n"/>
      <c r="F228" s="67" t="n"/>
      <c r="G228" s="75" t="n"/>
      <c r="H228" s="67" t="n"/>
      <c r="I228" s="76" t="n"/>
      <c r="J228" s="75" t="n"/>
      <c r="K228" s="67" t="n"/>
      <c r="L228" s="76" t="n"/>
      <c r="M228" s="68" t="n"/>
    </row>
    <row r="229" ht="19.5" customHeight="1" s="45">
      <c r="B229" s="67" t="n"/>
      <c r="C229" s="67" t="n"/>
      <c r="D229" s="67" t="n"/>
      <c r="E229" s="67" t="n"/>
      <c r="F229" s="67" t="n"/>
      <c r="G229" s="75" t="n"/>
      <c r="H229" s="67" t="n"/>
      <c r="I229" s="76" t="n"/>
      <c r="J229" s="75" t="n"/>
      <c r="K229" s="67" t="n"/>
      <c r="L229" s="76" t="n"/>
      <c r="M229" s="68" t="n"/>
    </row>
    <row r="230" ht="19.5" customHeight="1" s="45">
      <c r="B230" s="67" t="n"/>
      <c r="C230" s="67" t="n"/>
      <c r="D230" s="67" t="n"/>
      <c r="E230" s="67" t="n"/>
      <c r="F230" s="67" t="n"/>
      <c r="G230" s="75" t="n"/>
      <c r="H230" s="67" t="n"/>
      <c r="I230" s="76" t="n"/>
      <c r="J230" s="75" t="n"/>
      <c r="K230" s="67" t="n"/>
      <c r="L230" s="76" t="n"/>
      <c r="M230" s="68" t="n"/>
    </row>
    <row r="231" ht="19.5" customHeight="1" s="45">
      <c r="B231" s="67" t="n"/>
      <c r="C231" s="67" t="n"/>
      <c r="D231" s="67" t="n"/>
      <c r="E231" s="67" t="n"/>
      <c r="F231" s="67" t="n"/>
      <c r="G231" s="75" t="n"/>
      <c r="H231" s="67" t="n"/>
      <c r="I231" s="76" t="n"/>
      <c r="J231" s="75" t="n"/>
      <c r="K231" s="67" t="n"/>
      <c r="L231" s="76" t="n"/>
      <c r="M231" s="68" t="n"/>
    </row>
    <row r="232" ht="19.5" customHeight="1" s="45">
      <c r="B232" s="67" t="n"/>
      <c r="C232" s="67" t="n"/>
      <c r="D232" s="67" t="n"/>
      <c r="E232" s="67" t="n"/>
      <c r="F232" s="67" t="n"/>
      <c r="G232" s="75" t="n"/>
      <c r="H232" s="67" t="n"/>
      <c r="I232" s="76" t="n"/>
      <c r="J232" s="75" t="n"/>
      <c r="K232" s="67" t="n"/>
      <c r="L232" s="76" t="n"/>
      <c r="M232" s="68" t="n"/>
    </row>
    <row r="233" ht="19.5" customHeight="1" s="45">
      <c r="B233" s="67" t="n"/>
      <c r="C233" s="67" t="n"/>
      <c r="D233" s="67" t="n"/>
      <c r="E233" s="67" t="n"/>
      <c r="F233" s="67" t="n"/>
      <c r="G233" s="75" t="n"/>
      <c r="H233" s="67" t="n"/>
      <c r="I233" s="76" t="n"/>
      <c r="J233" s="75" t="n"/>
      <c r="K233" s="67" t="n"/>
      <c r="L233" s="76" t="n"/>
      <c r="M233" s="68" t="n"/>
    </row>
    <row r="234" ht="19.5" customHeight="1" s="45">
      <c r="B234" s="67" t="n"/>
      <c r="C234" s="67" t="n"/>
      <c r="D234" s="67" t="n"/>
      <c r="E234" s="67" t="n"/>
      <c r="F234" s="67" t="n"/>
      <c r="G234" s="75" t="n"/>
      <c r="H234" s="67" t="n"/>
      <c r="I234" s="76" t="n"/>
      <c r="J234" s="75" t="n"/>
      <c r="K234" s="67" t="n"/>
      <c r="L234" s="76" t="n"/>
      <c r="M234" s="68" t="n"/>
    </row>
    <row r="235" ht="19.5" customHeight="1" s="45">
      <c r="B235" s="67" t="n"/>
      <c r="C235" s="67" t="n"/>
      <c r="D235" s="67" t="n"/>
      <c r="E235" s="67" t="n"/>
      <c r="F235" s="67" t="n"/>
      <c r="G235" s="75" t="n"/>
      <c r="H235" s="67" t="n"/>
      <c r="I235" s="76" t="n"/>
      <c r="J235" s="75" t="n"/>
      <c r="K235" s="67" t="n"/>
      <c r="L235" s="76" t="n"/>
      <c r="M235" s="68" t="n"/>
    </row>
    <row r="236" ht="19.5" customHeight="1" s="45">
      <c r="B236" s="67" t="n"/>
      <c r="C236" s="67" t="n"/>
      <c r="D236" s="67" t="n"/>
      <c r="E236" s="67" t="n"/>
      <c r="F236" s="67" t="n"/>
      <c r="G236" s="75" t="n"/>
      <c r="H236" s="67" t="n"/>
      <c r="I236" s="76" t="n"/>
      <c r="J236" s="75" t="n"/>
      <c r="K236" s="67" t="n"/>
      <c r="L236" s="76" t="n"/>
      <c r="M236" s="68" t="n"/>
    </row>
    <row r="237" ht="19.5" customHeight="1" s="45">
      <c r="B237" s="67" t="n"/>
      <c r="C237" s="67" t="n"/>
      <c r="D237" s="67" t="n"/>
      <c r="E237" s="67" t="n"/>
      <c r="F237" s="67" t="n"/>
      <c r="G237" s="75" t="n"/>
      <c r="H237" s="67" t="n"/>
      <c r="I237" s="76" t="n"/>
      <c r="J237" s="75" t="n"/>
      <c r="K237" s="67" t="n"/>
      <c r="L237" s="76" t="n"/>
      <c r="M237" s="68" t="n"/>
    </row>
    <row r="238" ht="19.5" customHeight="1" s="45">
      <c r="B238" s="67" t="n"/>
      <c r="C238" s="67" t="n"/>
      <c r="D238" s="67" t="n"/>
      <c r="E238" s="67" t="n"/>
      <c r="F238" s="67" t="n"/>
      <c r="G238" s="75" t="n"/>
      <c r="H238" s="67" t="n"/>
      <c r="I238" s="76" t="n"/>
      <c r="J238" s="75" t="n"/>
      <c r="K238" s="67" t="n"/>
      <c r="L238" s="76" t="n"/>
      <c r="M238" s="68" t="n"/>
    </row>
    <row r="239" ht="19.5" customHeight="1" s="45">
      <c r="B239" s="67" t="n"/>
      <c r="C239" s="67" t="n"/>
      <c r="D239" s="67" t="n"/>
      <c r="E239" s="67" t="n"/>
      <c r="F239" s="67" t="n"/>
      <c r="G239" s="75" t="n"/>
      <c r="H239" s="67" t="n"/>
      <c r="I239" s="76" t="n"/>
      <c r="J239" s="75" t="n"/>
      <c r="K239" s="67" t="n"/>
      <c r="L239" s="76" t="n"/>
      <c r="M239" s="68" t="n"/>
    </row>
    <row r="240" ht="19.5" customHeight="1" s="45">
      <c r="B240" s="67" t="n"/>
      <c r="C240" s="67" t="n"/>
      <c r="D240" s="67" t="n"/>
      <c r="E240" s="67" t="n"/>
      <c r="F240" s="67" t="n"/>
      <c r="G240" s="75" t="n"/>
      <c r="H240" s="67" t="n"/>
      <c r="I240" s="76" t="n"/>
      <c r="J240" s="75" t="n"/>
      <c r="K240" s="67" t="n"/>
      <c r="L240" s="76" t="n"/>
      <c r="M240" s="68" t="n"/>
    </row>
    <row r="241" ht="19.5" customHeight="1" s="45">
      <c r="B241" s="67" t="n"/>
      <c r="C241" s="67" t="n"/>
      <c r="D241" s="67" t="n"/>
      <c r="E241" s="67" t="n"/>
      <c r="F241" s="67" t="n"/>
      <c r="G241" s="75" t="n"/>
      <c r="H241" s="67" t="n"/>
      <c r="I241" s="76" t="n"/>
      <c r="J241" s="75" t="n"/>
      <c r="K241" s="67" t="n"/>
      <c r="L241" s="76" t="n"/>
      <c r="M241" s="68" t="n"/>
    </row>
    <row r="242" ht="19.5" customHeight="1" s="45">
      <c r="B242" s="67" t="n"/>
      <c r="C242" s="67" t="n"/>
      <c r="D242" s="67" t="n"/>
      <c r="E242" s="67" t="n"/>
      <c r="F242" s="67" t="n"/>
      <c r="G242" s="75" t="n"/>
      <c r="H242" s="67" t="n"/>
      <c r="I242" s="76" t="n"/>
      <c r="J242" s="75" t="n"/>
      <c r="K242" s="67" t="n"/>
      <c r="L242" s="76" t="n"/>
      <c r="M242" s="68" t="n"/>
    </row>
    <row r="243" ht="19.5" customHeight="1" s="45">
      <c r="B243" s="67" t="n"/>
      <c r="C243" s="67" t="n"/>
      <c r="D243" s="67" t="n"/>
      <c r="E243" s="67" t="n"/>
      <c r="F243" s="67" t="n"/>
      <c r="G243" s="75" t="n"/>
      <c r="H243" s="67" t="n"/>
      <c r="I243" s="76" t="n"/>
      <c r="J243" s="75" t="n"/>
      <c r="K243" s="67" t="n"/>
      <c r="L243" s="76" t="n"/>
      <c r="M243" s="68" t="n"/>
    </row>
    <row r="244" ht="19.5" customHeight="1" s="45">
      <c r="B244" s="67" t="n"/>
      <c r="C244" s="67" t="n"/>
      <c r="D244" s="67" t="n"/>
      <c r="E244" s="67" t="n"/>
      <c r="F244" s="67" t="n"/>
      <c r="G244" s="75" t="n"/>
      <c r="H244" s="67" t="n"/>
      <c r="I244" s="76" t="n"/>
      <c r="J244" s="75" t="n"/>
      <c r="K244" s="67" t="n"/>
      <c r="L244" s="76" t="n"/>
      <c r="M244" s="68" t="n"/>
    </row>
    <row r="245" ht="19.5" customHeight="1" s="45">
      <c r="B245" s="67" t="n"/>
      <c r="C245" s="67" t="n"/>
      <c r="D245" s="67" t="n"/>
      <c r="E245" s="67" t="n"/>
      <c r="F245" s="67" t="n"/>
      <c r="G245" s="75" t="n"/>
      <c r="H245" s="67" t="n"/>
      <c r="I245" s="76" t="n"/>
      <c r="J245" s="75" t="n"/>
      <c r="K245" s="67" t="n"/>
      <c r="L245" s="76" t="n"/>
      <c r="M245" s="68" t="n"/>
    </row>
    <row r="246" ht="19.5" customHeight="1" s="45">
      <c r="B246" s="67" t="n"/>
      <c r="C246" s="67" t="n"/>
      <c r="D246" s="67" t="n"/>
      <c r="E246" s="67" t="n"/>
      <c r="F246" s="67" t="n"/>
      <c r="G246" s="75" t="n"/>
      <c r="H246" s="67" t="n"/>
      <c r="I246" s="76" t="n"/>
      <c r="J246" s="75" t="n"/>
      <c r="K246" s="67" t="n"/>
      <c r="L246" s="76" t="n"/>
      <c r="M246" s="68" t="n"/>
    </row>
    <row r="247" ht="19.5" customHeight="1" s="45">
      <c r="B247" s="67" t="n"/>
      <c r="C247" s="67" t="n"/>
      <c r="D247" s="67" t="n"/>
      <c r="E247" s="67" t="n"/>
      <c r="F247" s="67" t="n"/>
      <c r="G247" s="75" t="n"/>
      <c r="H247" s="67" t="n"/>
      <c r="I247" s="76" t="n"/>
      <c r="J247" s="75" t="n"/>
      <c r="K247" s="67" t="n"/>
      <c r="L247" s="76" t="n"/>
      <c r="M247" s="68" t="n"/>
    </row>
    <row r="248" ht="19.5" customHeight="1" s="45">
      <c r="B248" s="67" t="n"/>
      <c r="C248" s="67" t="n"/>
      <c r="D248" s="67" t="n"/>
      <c r="E248" s="67" t="n"/>
      <c r="F248" s="67" t="n"/>
      <c r="G248" s="75" t="n"/>
      <c r="H248" s="67" t="n"/>
      <c r="I248" s="76" t="n"/>
      <c r="J248" s="75" t="n"/>
      <c r="K248" s="67" t="n"/>
      <c r="L248" s="76" t="n"/>
      <c r="M248" s="68" t="n"/>
    </row>
    <row r="249" ht="19.5" customHeight="1" s="45">
      <c r="B249" s="67" t="n"/>
      <c r="C249" s="67" t="n"/>
      <c r="D249" s="67" t="n"/>
      <c r="E249" s="67" t="n"/>
      <c r="F249" s="67" t="n"/>
      <c r="G249" s="75" t="n"/>
      <c r="H249" s="67" t="n"/>
      <c r="I249" s="76" t="n"/>
      <c r="J249" s="75" t="n"/>
      <c r="K249" s="67" t="n"/>
      <c r="L249" s="76" t="n"/>
      <c r="M249" s="68" t="n"/>
    </row>
    <row r="250" ht="19.5" customHeight="1" s="45">
      <c r="B250" s="67" t="n"/>
      <c r="C250" s="67" t="n"/>
      <c r="D250" s="67" t="n"/>
      <c r="E250" s="67" t="n"/>
      <c r="F250" s="67" t="n"/>
      <c r="G250" s="75" t="n"/>
      <c r="H250" s="67" t="n"/>
      <c r="I250" s="76" t="n"/>
      <c r="J250" s="75" t="n"/>
      <c r="K250" s="67" t="n"/>
      <c r="L250" s="76" t="n"/>
      <c r="M250" s="68" t="n"/>
    </row>
    <row r="251" ht="19.5" customHeight="1" s="45">
      <c r="B251" s="67" t="n"/>
      <c r="C251" s="67" t="n"/>
      <c r="D251" s="67" t="n"/>
      <c r="E251" s="67" t="n"/>
      <c r="F251" s="67" t="n"/>
      <c r="G251" s="75" t="n"/>
      <c r="H251" s="67" t="n"/>
      <c r="I251" s="76" t="n"/>
      <c r="J251" s="75" t="n"/>
      <c r="K251" s="67" t="n"/>
      <c r="L251" s="76" t="n"/>
      <c r="M251" s="68" t="n"/>
    </row>
    <row r="252" ht="19.5" customHeight="1" s="45">
      <c r="B252" s="67" t="n"/>
      <c r="C252" s="67" t="n"/>
      <c r="D252" s="67" t="n"/>
      <c r="E252" s="67" t="n"/>
      <c r="F252" s="67" t="n"/>
      <c r="G252" s="75" t="n"/>
      <c r="H252" s="67" t="n"/>
      <c r="I252" s="76" t="n"/>
      <c r="J252" s="75" t="n"/>
      <c r="K252" s="67" t="n"/>
      <c r="L252" s="76" t="n"/>
      <c r="M252" s="68" t="n"/>
    </row>
    <row r="253" ht="19.5" customHeight="1" s="45">
      <c r="B253" s="67" t="n"/>
      <c r="C253" s="67" t="n"/>
      <c r="D253" s="67" t="n"/>
      <c r="E253" s="67" t="n"/>
      <c r="F253" s="67" t="n"/>
      <c r="G253" s="75" t="n"/>
      <c r="H253" s="67" t="n"/>
      <c r="I253" s="76" t="n"/>
      <c r="J253" s="75" t="n"/>
      <c r="K253" s="67" t="n"/>
      <c r="L253" s="76" t="n"/>
      <c r="M253" s="68" t="n"/>
    </row>
    <row r="254" ht="19.5" customHeight="1" s="45">
      <c r="B254" s="67" t="n"/>
      <c r="C254" s="67" t="n"/>
      <c r="D254" s="67" t="n"/>
      <c r="E254" s="67" t="n"/>
      <c r="F254" s="67" t="n"/>
      <c r="G254" s="75" t="n"/>
      <c r="H254" s="67" t="n"/>
      <c r="I254" s="76" t="n"/>
      <c r="J254" s="75" t="n"/>
      <c r="K254" s="67" t="n"/>
      <c r="L254" s="76" t="n"/>
      <c r="M254" s="68" t="n"/>
    </row>
    <row r="255" ht="19.5" customHeight="1" s="45">
      <c r="B255" s="67" t="n"/>
      <c r="C255" s="67" t="n"/>
      <c r="D255" s="67" t="n"/>
      <c r="E255" s="67" t="n"/>
      <c r="F255" s="67" t="n"/>
      <c r="G255" s="75" t="n"/>
      <c r="H255" s="67" t="n"/>
      <c r="I255" s="76" t="n"/>
      <c r="J255" s="75" t="n"/>
      <c r="K255" s="67" t="n"/>
      <c r="L255" s="76" t="n"/>
      <c r="M255" s="68" t="n"/>
    </row>
    <row r="256" ht="19.5" customHeight="1" s="45">
      <c r="B256" s="67" t="n"/>
      <c r="C256" s="67" t="n"/>
      <c r="D256" s="67" t="n"/>
      <c r="E256" s="67" t="n"/>
      <c r="F256" s="67" t="n"/>
      <c r="G256" s="75" t="n"/>
      <c r="H256" s="67" t="n"/>
      <c r="I256" s="76" t="n"/>
      <c r="J256" s="75" t="n"/>
      <c r="K256" s="67" t="n"/>
      <c r="L256" s="76" t="n"/>
      <c r="M256" s="68" t="n"/>
    </row>
    <row r="257" ht="19.5" customHeight="1" s="45">
      <c r="B257" s="67" t="n"/>
      <c r="C257" s="67" t="n"/>
      <c r="D257" s="67" t="n"/>
      <c r="E257" s="67" t="n"/>
      <c r="F257" s="67" t="n"/>
      <c r="G257" s="75" t="n"/>
      <c r="H257" s="67" t="n"/>
      <c r="I257" s="76" t="n"/>
      <c r="J257" s="75" t="n"/>
      <c r="K257" s="67" t="n"/>
      <c r="L257" s="76" t="n"/>
      <c r="M257" s="68" t="n"/>
    </row>
    <row r="258" ht="19.5" customHeight="1" s="45">
      <c r="B258" s="67" t="n"/>
      <c r="C258" s="67" t="n"/>
      <c r="D258" s="67" t="n"/>
      <c r="E258" s="67" t="n"/>
      <c r="F258" s="67" t="n"/>
      <c r="G258" s="75" t="n"/>
      <c r="H258" s="67" t="n"/>
      <c r="I258" s="76" t="n"/>
      <c r="J258" s="75" t="n"/>
      <c r="K258" s="67" t="n"/>
      <c r="L258" s="76" t="n"/>
      <c r="M258" s="68" t="n"/>
    </row>
    <row r="259" ht="19.5" customHeight="1" s="45">
      <c r="B259" s="67" t="n"/>
      <c r="C259" s="67" t="n"/>
      <c r="D259" s="67" t="n"/>
      <c r="E259" s="67" t="n"/>
      <c r="F259" s="67" t="n"/>
      <c r="G259" s="75" t="n"/>
      <c r="H259" s="67" t="n"/>
      <c r="I259" s="76" t="n"/>
      <c r="J259" s="75" t="n"/>
      <c r="K259" s="67" t="n"/>
      <c r="L259" s="76" t="n"/>
      <c r="M259" s="68" t="n"/>
    </row>
    <row r="260" ht="19.5" customHeight="1" s="45">
      <c r="B260" s="67" t="n"/>
      <c r="C260" s="67" t="n"/>
      <c r="D260" s="67" t="n"/>
      <c r="E260" s="67" t="n"/>
      <c r="F260" s="67" t="n"/>
      <c r="G260" s="75" t="n"/>
      <c r="H260" s="67" t="n"/>
      <c r="I260" s="76" t="n"/>
      <c r="J260" s="75" t="n"/>
      <c r="K260" s="67" t="n"/>
      <c r="L260" s="76" t="n"/>
      <c r="M260" s="68" t="n"/>
    </row>
    <row r="261" ht="19.5" customHeight="1" s="45">
      <c r="B261" s="67" t="n"/>
      <c r="C261" s="67" t="n"/>
      <c r="D261" s="67" t="n"/>
      <c r="E261" s="67" t="n"/>
      <c r="F261" s="67" t="n"/>
      <c r="G261" s="75" t="n"/>
      <c r="H261" s="67" t="n"/>
      <c r="I261" s="76" t="n"/>
      <c r="J261" s="75" t="n"/>
      <c r="K261" s="67" t="n"/>
      <c r="L261" s="76" t="n"/>
      <c r="M261" s="68" t="n"/>
    </row>
    <row r="262" ht="19.5" customHeight="1" s="45">
      <c r="B262" s="67" t="n"/>
      <c r="C262" s="67" t="n"/>
      <c r="D262" s="67" t="n"/>
      <c r="E262" s="67" t="n"/>
      <c r="F262" s="67" t="n"/>
      <c r="G262" s="75" t="n"/>
      <c r="H262" s="67" t="n"/>
      <c r="I262" s="76" t="n"/>
      <c r="J262" s="75" t="n"/>
      <c r="K262" s="67" t="n"/>
      <c r="L262" s="76" t="n"/>
      <c r="M262" s="68" t="n"/>
    </row>
    <row r="263" ht="19.5" customHeight="1" s="45">
      <c r="B263" s="67" t="n"/>
      <c r="C263" s="67" t="n"/>
      <c r="D263" s="67" t="n"/>
      <c r="E263" s="67" t="n"/>
      <c r="F263" s="67" t="n"/>
      <c r="G263" s="75" t="n"/>
      <c r="H263" s="67" t="n"/>
      <c r="I263" s="76" t="n"/>
      <c r="J263" s="75" t="n"/>
      <c r="K263" s="67" t="n"/>
      <c r="L263" s="76" t="n"/>
      <c r="M263" s="68" t="n"/>
    </row>
    <row r="264" ht="19.5" customHeight="1" s="45">
      <c r="B264" s="67" t="n"/>
      <c r="C264" s="67" t="n"/>
      <c r="D264" s="67" t="n"/>
      <c r="E264" s="67" t="n"/>
      <c r="F264" s="67" t="n"/>
      <c r="G264" s="75" t="n"/>
      <c r="H264" s="67" t="n"/>
      <c r="I264" s="76" t="n"/>
      <c r="J264" s="75" t="n"/>
      <c r="K264" s="67" t="n"/>
      <c r="L264" s="76" t="n"/>
      <c r="M264" s="68" t="n"/>
    </row>
    <row r="265" ht="19.5" customHeight="1" s="45">
      <c r="B265" s="67" t="n"/>
      <c r="C265" s="67" t="n"/>
      <c r="D265" s="67" t="n"/>
      <c r="E265" s="67" t="n"/>
      <c r="F265" s="67" t="n"/>
      <c r="G265" s="75" t="n"/>
      <c r="H265" s="67" t="n"/>
      <c r="I265" s="76" t="n"/>
      <c r="J265" s="75" t="n"/>
      <c r="K265" s="67" t="n"/>
      <c r="L265" s="76" t="n"/>
      <c r="M265" s="68" t="n"/>
    </row>
    <row r="266" ht="19.5" customHeight="1" s="45">
      <c r="B266" s="67" t="n"/>
      <c r="C266" s="67" t="n"/>
      <c r="D266" s="67" t="n"/>
      <c r="E266" s="67" t="n"/>
      <c r="F266" s="67" t="n"/>
      <c r="G266" s="75" t="n"/>
      <c r="H266" s="67" t="n"/>
      <c r="I266" s="76" t="n"/>
      <c r="J266" s="75" t="n"/>
      <c r="K266" s="67" t="n"/>
      <c r="L266" s="76" t="n"/>
      <c r="M266" s="68" t="n"/>
    </row>
    <row r="267" ht="19.5" customHeight="1" s="45">
      <c r="B267" s="67" t="n"/>
      <c r="C267" s="67" t="n"/>
      <c r="D267" s="67" t="n"/>
      <c r="E267" s="67" t="n"/>
      <c r="F267" s="67" t="n"/>
      <c r="G267" s="75" t="n"/>
      <c r="H267" s="67" t="n"/>
      <c r="I267" s="76" t="n"/>
      <c r="J267" s="75" t="n"/>
      <c r="K267" s="67" t="n"/>
      <c r="L267" s="76" t="n"/>
      <c r="M267" s="68" t="n"/>
    </row>
    <row r="268" ht="19.5" customHeight="1" s="45">
      <c r="B268" s="67" t="n"/>
      <c r="C268" s="67" t="n"/>
      <c r="D268" s="67" t="n"/>
      <c r="E268" s="67" t="n"/>
      <c r="F268" s="67" t="n"/>
      <c r="G268" s="75" t="n"/>
      <c r="H268" s="67" t="n"/>
      <c r="I268" s="76" t="n"/>
      <c r="J268" s="75" t="n"/>
      <c r="K268" s="67" t="n"/>
      <c r="L268" s="76" t="n"/>
      <c r="M268" s="68" t="n"/>
    </row>
    <row r="269" ht="19.5" customHeight="1" s="45">
      <c r="B269" s="67" t="n"/>
      <c r="C269" s="67" t="n"/>
      <c r="D269" s="67" t="n"/>
      <c r="E269" s="67" t="n"/>
      <c r="F269" s="67" t="n"/>
      <c r="G269" s="75" t="n"/>
      <c r="H269" s="67" t="n"/>
      <c r="I269" s="76" t="n"/>
      <c r="J269" s="75" t="n"/>
      <c r="K269" s="67" t="n"/>
      <c r="L269" s="76" t="n"/>
      <c r="M269" s="68" t="n"/>
    </row>
    <row r="270" ht="19.5" customHeight="1" s="45">
      <c r="B270" s="67" t="n"/>
      <c r="C270" s="67" t="n"/>
      <c r="D270" s="67" t="n"/>
      <c r="E270" s="67" t="n"/>
      <c r="F270" s="67" t="n"/>
      <c r="G270" s="75" t="n"/>
      <c r="H270" s="67" t="n"/>
      <c r="I270" s="76" t="n"/>
      <c r="J270" s="75" t="n"/>
      <c r="K270" s="67" t="n"/>
      <c r="L270" s="76" t="n"/>
      <c r="M270" s="68" t="n"/>
    </row>
    <row r="271" ht="19.5" customHeight="1" s="45">
      <c r="B271" s="67" t="n"/>
      <c r="C271" s="67" t="n"/>
      <c r="D271" s="67" t="n"/>
      <c r="E271" s="67" t="n"/>
      <c r="F271" s="67" t="n"/>
      <c r="G271" s="75" t="n"/>
      <c r="H271" s="67" t="n"/>
      <c r="I271" s="76" t="n"/>
      <c r="J271" s="75" t="n"/>
      <c r="K271" s="67" t="n"/>
      <c r="L271" s="76" t="n"/>
      <c r="M271" s="68" t="n"/>
    </row>
    <row r="272" ht="19.5" customHeight="1" s="45">
      <c r="B272" s="67" t="n"/>
      <c r="C272" s="67" t="n"/>
      <c r="D272" s="67" t="n"/>
      <c r="E272" s="67" t="n"/>
      <c r="F272" s="67" t="n"/>
      <c r="G272" s="75" t="n"/>
      <c r="H272" s="67" t="n"/>
      <c r="I272" s="76" t="n"/>
      <c r="J272" s="75" t="n"/>
      <c r="K272" s="67" t="n"/>
      <c r="L272" s="76" t="n"/>
      <c r="M272" s="68" t="n"/>
    </row>
    <row r="273" ht="19.5" customHeight="1" s="45">
      <c r="B273" s="67" t="n"/>
      <c r="C273" s="67" t="n"/>
      <c r="D273" s="67" t="n"/>
      <c r="E273" s="67" t="n"/>
      <c r="F273" s="67" t="n"/>
      <c r="G273" s="75" t="n"/>
      <c r="H273" s="67" t="n"/>
      <c r="I273" s="76" t="n"/>
      <c r="J273" s="75" t="n"/>
      <c r="K273" s="67" t="n"/>
      <c r="L273" s="76" t="n"/>
      <c r="M273" s="68" t="n"/>
    </row>
    <row r="274" ht="19.5" customHeight="1" s="45">
      <c r="B274" s="67" t="n"/>
      <c r="C274" s="67" t="n"/>
      <c r="D274" s="67" t="n"/>
      <c r="E274" s="67" t="n"/>
      <c r="F274" s="67" t="n"/>
      <c r="G274" s="75" t="n"/>
      <c r="H274" s="67" t="n"/>
      <c r="I274" s="76" t="n"/>
      <c r="J274" s="75" t="n"/>
      <c r="K274" s="67" t="n"/>
      <c r="L274" s="76" t="n"/>
      <c r="M274" s="68" t="n"/>
    </row>
    <row r="275" ht="19.5" customHeight="1" s="45">
      <c r="B275" s="67" t="n"/>
      <c r="C275" s="67" t="n"/>
      <c r="D275" s="67" t="n"/>
      <c r="E275" s="67" t="n"/>
      <c r="F275" s="67" t="n"/>
      <c r="G275" s="75" t="n"/>
      <c r="H275" s="67" t="n"/>
      <c r="I275" s="76" t="n"/>
      <c r="J275" s="75" t="n"/>
      <c r="K275" s="67" t="n"/>
      <c r="L275" s="76" t="n"/>
      <c r="M275" s="68" t="n"/>
    </row>
    <row r="276" ht="19.5" customHeight="1" s="45">
      <c r="B276" s="67" t="n"/>
      <c r="C276" s="67" t="n"/>
      <c r="D276" s="67" t="n"/>
      <c r="E276" s="67" t="n"/>
      <c r="F276" s="67" t="n"/>
      <c r="G276" s="75" t="n"/>
      <c r="H276" s="67" t="n"/>
      <c r="I276" s="76" t="n"/>
      <c r="J276" s="75" t="n"/>
      <c r="K276" s="67" t="n"/>
      <c r="L276" s="76" t="n"/>
      <c r="M276" s="68" t="n"/>
    </row>
    <row r="277" ht="19.5" customHeight="1" s="45">
      <c r="B277" s="67" t="n"/>
      <c r="C277" s="67" t="n"/>
      <c r="D277" s="67" t="n"/>
      <c r="E277" s="67" t="n"/>
      <c r="F277" s="67" t="n"/>
      <c r="G277" s="75" t="n"/>
      <c r="H277" s="67" t="n"/>
      <c r="I277" s="76" t="n"/>
      <c r="J277" s="75" t="n"/>
      <c r="K277" s="67" t="n"/>
      <c r="L277" s="76" t="n"/>
      <c r="M277" s="68" t="n"/>
    </row>
    <row r="278" ht="19.5" customHeight="1" s="45">
      <c r="B278" s="67" t="n"/>
      <c r="C278" s="67" t="n"/>
      <c r="D278" s="67" t="n"/>
      <c r="E278" s="67" t="n"/>
      <c r="F278" s="67" t="n"/>
      <c r="G278" s="75" t="n"/>
      <c r="H278" s="67" t="n"/>
      <c r="I278" s="76" t="n"/>
      <c r="J278" s="75" t="n"/>
      <c r="K278" s="67" t="n"/>
      <c r="L278" s="76" t="n"/>
      <c r="M278" s="68" t="n"/>
    </row>
    <row r="279" ht="19.5" customHeight="1" s="45">
      <c r="B279" s="67" t="n"/>
      <c r="C279" s="67" t="n"/>
      <c r="D279" s="67" t="n"/>
      <c r="E279" s="67" t="n"/>
      <c r="F279" s="67" t="n"/>
      <c r="G279" s="75" t="n"/>
      <c r="H279" s="67" t="n"/>
      <c r="I279" s="76" t="n"/>
      <c r="J279" s="75" t="n"/>
      <c r="K279" s="67" t="n"/>
      <c r="L279" s="76" t="n"/>
      <c r="M279" s="68" t="n"/>
    </row>
    <row r="280" ht="19.5" customHeight="1" s="45">
      <c r="B280" s="67" t="n"/>
      <c r="C280" s="67" t="n"/>
      <c r="D280" s="67" t="n"/>
      <c r="E280" s="67" t="n"/>
      <c r="F280" s="67" t="n"/>
      <c r="G280" s="75" t="n"/>
      <c r="H280" s="67" t="n"/>
      <c r="I280" s="76" t="n"/>
      <c r="J280" s="75" t="n"/>
      <c r="K280" s="67" t="n"/>
      <c r="L280" s="76" t="n"/>
      <c r="M280" s="68" t="n"/>
    </row>
    <row r="281" ht="19.5" customHeight="1" s="45">
      <c r="B281" s="67" t="n"/>
      <c r="C281" s="67" t="n"/>
      <c r="D281" s="67" t="n"/>
      <c r="E281" s="67" t="n"/>
      <c r="F281" s="67" t="n"/>
      <c r="G281" s="75" t="n"/>
      <c r="H281" s="67" t="n"/>
      <c r="I281" s="76" t="n"/>
      <c r="J281" s="75" t="n"/>
      <c r="K281" s="67" t="n"/>
      <c r="L281" s="76" t="n"/>
      <c r="M281" s="68" t="n"/>
    </row>
    <row r="282" ht="19.5" customHeight="1" s="45">
      <c r="B282" s="67" t="n"/>
      <c r="C282" s="67" t="n"/>
      <c r="D282" s="67" t="n"/>
      <c r="E282" s="67" t="n"/>
      <c r="F282" s="67" t="n"/>
      <c r="G282" s="75" t="n"/>
      <c r="H282" s="67" t="n"/>
      <c r="I282" s="76" t="n"/>
      <c r="J282" s="75" t="n"/>
      <c r="K282" s="67" t="n"/>
      <c r="L282" s="76" t="n"/>
      <c r="M282" s="68" t="n"/>
    </row>
    <row r="283" ht="19.5" customHeight="1" s="45">
      <c r="B283" s="67" t="n"/>
      <c r="C283" s="67" t="n"/>
      <c r="D283" s="67" t="n"/>
      <c r="E283" s="67" t="n"/>
      <c r="F283" s="67" t="n"/>
      <c r="G283" s="75" t="n"/>
      <c r="H283" s="67" t="n"/>
      <c r="I283" s="76" t="n"/>
      <c r="J283" s="75" t="n"/>
      <c r="K283" s="67" t="n"/>
      <c r="L283" s="76" t="n"/>
      <c r="M283" s="68" t="n"/>
    </row>
    <row r="284" ht="19.5" customHeight="1" s="45">
      <c r="B284" s="67" t="n"/>
      <c r="C284" s="67" t="n"/>
      <c r="D284" s="67" t="n"/>
      <c r="E284" s="67" t="n"/>
      <c r="F284" s="67" t="n"/>
      <c r="G284" s="75" t="n"/>
      <c r="H284" s="67" t="n"/>
      <c r="I284" s="76" t="n"/>
      <c r="J284" s="75" t="n"/>
      <c r="K284" s="67" t="n"/>
      <c r="L284" s="76" t="n"/>
      <c r="M284" s="68" t="n"/>
    </row>
    <row r="285" ht="19.5" customHeight="1" s="45">
      <c r="B285" s="67" t="n"/>
      <c r="C285" s="67" t="n"/>
      <c r="D285" s="67" t="n"/>
      <c r="E285" s="67" t="n"/>
      <c r="F285" s="67" t="n"/>
      <c r="G285" s="75" t="n"/>
      <c r="H285" s="67" t="n"/>
      <c r="I285" s="76" t="n"/>
      <c r="J285" s="75" t="n"/>
      <c r="K285" s="67" t="n"/>
      <c r="L285" s="76" t="n"/>
      <c r="M285" s="68" t="n"/>
    </row>
    <row r="286" ht="19.5" customHeight="1" s="45">
      <c r="B286" s="67" t="n"/>
      <c r="C286" s="67" t="n"/>
      <c r="D286" s="67" t="n"/>
      <c r="E286" s="67" t="n"/>
      <c r="F286" s="67" t="n"/>
      <c r="G286" s="75" t="n"/>
      <c r="H286" s="67" t="n"/>
      <c r="I286" s="76" t="n"/>
      <c r="J286" s="75" t="n"/>
      <c r="K286" s="67" t="n"/>
      <c r="L286" s="76" t="n"/>
      <c r="M286" s="68" t="n"/>
    </row>
    <row r="287" ht="19.5" customHeight="1" s="45">
      <c r="B287" s="67" t="n"/>
      <c r="C287" s="67" t="n"/>
      <c r="D287" s="67" t="n"/>
      <c r="E287" s="67" t="n"/>
      <c r="F287" s="67" t="n"/>
      <c r="G287" s="75" t="n"/>
      <c r="H287" s="67" t="n"/>
      <c r="I287" s="76" t="n"/>
      <c r="J287" s="75" t="n"/>
      <c r="K287" s="67" t="n"/>
      <c r="L287" s="76" t="n"/>
      <c r="M287" s="68" t="n"/>
    </row>
    <row r="288" ht="19.5" customHeight="1" s="45">
      <c r="B288" s="67" t="n"/>
      <c r="C288" s="67" t="n"/>
      <c r="D288" s="67" t="n"/>
      <c r="E288" s="67" t="n"/>
      <c r="F288" s="67" t="n"/>
      <c r="G288" s="75" t="n"/>
      <c r="H288" s="67" t="n"/>
      <c r="I288" s="76" t="n"/>
      <c r="J288" s="75" t="n"/>
      <c r="K288" s="67" t="n"/>
      <c r="L288" s="76" t="n"/>
      <c r="M288" s="68" t="n"/>
    </row>
    <row r="289" ht="19.5" customHeight="1" s="45">
      <c r="B289" s="67" t="n"/>
      <c r="C289" s="67" t="n"/>
      <c r="D289" s="67" t="n"/>
      <c r="E289" s="67" t="n"/>
      <c r="F289" s="67" t="n"/>
      <c r="G289" s="75" t="n"/>
      <c r="H289" s="67" t="n"/>
      <c r="I289" s="76" t="n"/>
      <c r="J289" s="75" t="n"/>
      <c r="K289" s="67" t="n"/>
      <c r="L289" s="76" t="n"/>
      <c r="M289" s="68" t="n"/>
    </row>
    <row r="290" ht="19.5" customHeight="1" s="45">
      <c r="B290" s="67" t="n"/>
      <c r="C290" s="67" t="n"/>
      <c r="D290" s="67" t="n"/>
      <c r="E290" s="67" t="n"/>
      <c r="F290" s="67" t="n"/>
      <c r="G290" s="75" t="n"/>
      <c r="H290" s="67" t="n"/>
      <c r="I290" s="76" t="n"/>
      <c r="J290" s="75" t="n"/>
      <c r="K290" s="67" t="n"/>
      <c r="L290" s="76" t="n"/>
      <c r="M290" s="68" t="n"/>
    </row>
    <row r="291" ht="19.5" customHeight="1" s="45">
      <c r="B291" s="67" t="n"/>
      <c r="C291" s="67" t="n"/>
      <c r="D291" s="67" t="n"/>
      <c r="E291" s="67" t="n"/>
      <c r="F291" s="67" t="n"/>
      <c r="G291" s="75" t="n"/>
      <c r="H291" s="67" t="n"/>
      <c r="I291" s="76" t="n"/>
      <c r="J291" s="75" t="n"/>
      <c r="K291" s="67" t="n"/>
      <c r="L291" s="76" t="n"/>
      <c r="M291" s="68" t="n"/>
    </row>
    <row r="292" ht="19.5" customHeight="1" s="45">
      <c r="B292" s="67" t="n"/>
      <c r="C292" s="67" t="n"/>
      <c r="D292" s="67" t="n"/>
      <c r="E292" s="67" t="n"/>
      <c r="F292" s="67" t="n"/>
      <c r="G292" s="75" t="n"/>
      <c r="H292" s="67" t="n"/>
      <c r="I292" s="76" t="n"/>
      <c r="J292" s="75" t="n"/>
      <c r="K292" s="67" t="n"/>
      <c r="L292" s="76" t="n"/>
      <c r="M292" s="68" t="n"/>
    </row>
    <row r="293" ht="19.5" customHeight="1" s="45">
      <c r="B293" s="67" t="n"/>
      <c r="C293" s="67" t="n"/>
      <c r="D293" s="67" t="n"/>
      <c r="E293" s="67" t="n"/>
      <c r="F293" s="67" t="n"/>
      <c r="G293" s="75" t="n"/>
      <c r="H293" s="67" t="n"/>
      <c r="I293" s="76" t="n"/>
      <c r="J293" s="75" t="n"/>
      <c r="K293" s="67" t="n"/>
      <c r="L293" s="76" t="n"/>
      <c r="M293" s="68" t="n"/>
    </row>
    <row r="294" ht="19.5" customHeight="1" s="45">
      <c r="B294" s="67" t="n"/>
      <c r="C294" s="67" t="n"/>
      <c r="D294" s="67" t="n"/>
      <c r="E294" s="67" t="n"/>
      <c r="F294" s="67" t="n"/>
      <c r="G294" s="75" t="n"/>
      <c r="H294" s="67" t="n"/>
      <c r="I294" s="76" t="n"/>
      <c r="J294" s="75" t="n"/>
      <c r="K294" s="67" t="n"/>
      <c r="L294" s="76" t="n"/>
      <c r="M294" s="68" t="n"/>
    </row>
    <row r="295" ht="19.5" customHeight="1" s="45">
      <c r="B295" s="67" t="n"/>
      <c r="C295" s="67" t="n"/>
      <c r="D295" s="67" t="n"/>
      <c r="E295" s="67" t="n"/>
      <c r="F295" s="67" t="n"/>
      <c r="G295" s="75" t="n"/>
      <c r="H295" s="67" t="n"/>
      <c r="I295" s="76" t="n"/>
      <c r="J295" s="75" t="n"/>
      <c r="K295" s="67" t="n"/>
      <c r="L295" s="76" t="n"/>
      <c r="M295" s="68" t="n"/>
    </row>
    <row r="296" ht="19.5" customHeight="1" s="45">
      <c r="B296" s="67" t="n"/>
      <c r="C296" s="67" t="n"/>
      <c r="D296" s="67" t="n"/>
      <c r="E296" s="67" t="n"/>
      <c r="F296" s="67" t="n"/>
      <c r="G296" s="75" t="n"/>
      <c r="H296" s="67" t="n"/>
      <c r="I296" s="76" t="n"/>
      <c r="J296" s="75" t="n"/>
      <c r="K296" s="67" t="n"/>
      <c r="L296" s="76" t="n"/>
      <c r="M296" s="68" t="n"/>
    </row>
    <row r="297" ht="19.5" customHeight="1" s="45">
      <c r="B297" s="67" t="n"/>
      <c r="C297" s="67" t="n"/>
      <c r="D297" s="67" t="n"/>
      <c r="E297" s="67" t="n"/>
      <c r="F297" s="67" t="n"/>
      <c r="G297" s="75" t="n"/>
      <c r="H297" s="67" t="n"/>
      <c r="I297" s="76" t="n"/>
      <c r="J297" s="75" t="n"/>
      <c r="K297" s="67" t="n"/>
      <c r="L297" s="76" t="n"/>
      <c r="M297" s="68" t="n"/>
    </row>
    <row r="298" ht="19.5" customHeight="1" s="45">
      <c r="B298" s="67" t="n"/>
      <c r="C298" s="67" t="n"/>
      <c r="D298" s="67" t="n"/>
      <c r="E298" s="67" t="n"/>
      <c r="F298" s="67" t="n"/>
      <c r="G298" s="75" t="n"/>
      <c r="H298" s="67" t="n"/>
      <c r="I298" s="76" t="n"/>
      <c r="J298" s="75" t="n"/>
      <c r="K298" s="67" t="n"/>
      <c r="L298" s="76" t="n"/>
      <c r="M298" s="68" t="n"/>
    </row>
    <row r="299" ht="19.5" customHeight="1" s="45">
      <c r="B299" s="67" t="n"/>
      <c r="C299" s="67" t="n"/>
      <c r="D299" s="67" t="n"/>
      <c r="E299" s="67" t="n"/>
      <c r="F299" s="67" t="n"/>
      <c r="G299" s="75" t="n"/>
      <c r="H299" s="67" t="n"/>
      <c r="I299" s="76" t="n"/>
      <c r="J299" s="75" t="n"/>
      <c r="K299" s="67" t="n"/>
      <c r="L299" s="76" t="n"/>
      <c r="M299" s="68" t="n"/>
    </row>
    <row r="300" ht="19.5" customHeight="1" s="45">
      <c r="B300" s="67" t="n"/>
      <c r="C300" s="67" t="n"/>
      <c r="D300" s="67" t="n"/>
      <c r="E300" s="67" t="n"/>
      <c r="F300" s="67" t="n"/>
      <c r="G300" s="75" t="n"/>
      <c r="H300" s="67" t="n"/>
      <c r="I300" s="76" t="n"/>
      <c r="J300" s="75" t="n"/>
      <c r="K300" s="67" t="n"/>
      <c r="L300" s="76" t="n"/>
      <c r="M300" s="68" t="n"/>
    </row>
    <row r="301" ht="19.5" customHeight="1" s="45">
      <c r="B301" s="67" t="n"/>
      <c r="C301" s="67" t="n"/>
      <c r="D301" s="67" t="n"/>
      <c r="E301" s="67" t="n"/>
      <c r="F301" s="67" t="n"/>
      <c r="G301" s="75" t="n"/>
      <c r="H301" s="67" t="n"/>
      <c r="I301" s="76" t="n"/>
      <c r="J301" s="75" t="n"/>
      <c r="K301" s="67" t="n"/>
      <c r="L301" s="76" t="n"/>
      <c r="M301" s="68" t="n"/>
    </row>
    <row r="302" ht="19.5" customHeight="1" s="45">
      <c r="B302" s="67" t="n"/>
      <c r="C302" s="67" t="n"/>
      <c r="D302" s="67" t="n"/>
      <c r="E302" s="67" t="n"/>
      <c r="F302" s="67" t="n"/>
      <c r="G302" s="75" t="n"/>
      <c r="H302" s="67" t="n"/>
      <c r="I302" s="76" t="n"/>
      <c r="J302" s="75" t="n"/>
      <c r="K302" s="67" t="n"/>
      <c r="L302" s="76" t="n"/>
      <c r="M302" s="68" t="n"/>
    </row>
    <row r="303" ht="19.5" customHeight="1" s="45">
      <c r="B303" s="67" t="n"/>
      <c r="C303" s="67" t="n"/>
      <c r="D303" s="67" t="n"/>
      <c r="E303" s="67" t="n"/>
      <c r="F303" s="67" t="n"/>
      <c r="G303" s="75" t="n"/>
      <c r="H303" s="67" t="n"/>
      <c r="I303" s="76" t="n"/>
      <c r="J303" s="75" t="n"/>
      <c r="K303" s="67" t="n"/>
      <c r="L303" s="76" t="n"/>
      <c r="M303" s="68" t="n"/>
    </row>
    <row r="304" ht="19.5" customHeight="1" s="45">
      <c r="B304" s="67" t="n"/>
      <c r="C304" s="67" t="n"/>
      <c r="D304" s="67" t="n"/>
      <c r="E304" s="67" t="n"/>
      <c r="F304" s="67" t="n"/>
      <c r="G304" s="75" t="n"/>
      <c r="H304" s="67" t="n"/>
      <c r="I304" s="76" t="n"/>
      <c r="J304" s="75" t="n"/>
      <c r="K304" s="67" t="n"/>
      <c r="L304" s="76" t="n"/>
      <c r="M304" s="68" t="n"/>
    </row>
    <row r="305" ht="19.5" customHeight="1" s="45">
      <c r="B305" s="67" t="n"/>
      <c r="C305" s="67" t="n"/>
      <c r="D305" s="67" t="n"/>
      <c r="E305" s="67" t="n"/>
      <c r="F305" s="67" t="n"/>
      <c r="G305" s="75" t="n"/>
      <c r="H305" s="67" t="n"/>
      <c r="I305" s="76" t="n"/>
      <c r="J305" s="75" t="n"/>
      <c r="K305" s="67" t="n"/>
      <c r="L305" s="76" t="n"/>
      <c r="M305" s="68" t="n"/>
    </row>
    <row r="306" ht="19.5" customHeight="1" s="45">
      <c r="B306" s="67" t="n"/>
      <c r="C306" s="67" t="n"/>
      <c r="D306" s="67" t="n"/>
      <c r="E306" s="67" t="n"/>
      <c r="F306" s="67" t="n"/>
      <c r="G306" s="75" t="n"/>
      <c r="H306" s="67" t="n"/>
      <c r="I306" s="76" t="n"/>
      <c r="J306" s="75" t="n"/>
      <c r="K306" s="67" t="n"/>
      <c r="L306" s="76" t="n"/>
      <c r="M306" s="68" t="n"/>
    </row>
    <row r="307" ht="19.5" customHeight="1" s="45">
      <c r="B307" s="67" t="n"/>
      <c r="C307" s="67" t="n"/>
      <c r="D307" s="67" t="n"/>
      <c r="E307" s="67" t="n"/>
      <c r="F307" s="67" t="n"/>
      <c r="G307" s="75" t="n"/>
      <c r="H307" s="67" t="n"/>
      <c r="I307" s="76" t="n"/>
      <c r="J307" s="75" t="n"/>
      <c r="K307" s="67" t="n"/>
      <c r="L307" s="76" t="n"/>
      <c r="M307" s="68" t="n"/>
    </row>
    <row r="308" ht="19.5" customHeight="1" s="45">
      <c r="B308" s="67" t="n"/>
      <c r="C308" s="67" t="n"/>
      <c r="D308" s="67" t="n"/>
      <c r="E308" s="67" t="n"/>
      <c r="F308" s="67" t="n"/>
      <c r="G308" s="75" t="n"/>
      <c r="H308" s="67" t="n"/>
      <c r="I308" s="76" t="n"/>
      <c r="J308" s="75" t="n"/>
      <c r="K308" s="67" t="n"/>
      <c r="L308" s="76" t="n"/>
      <c r="M308" s="68" t="n"/>
    </row>
    <row r="309" ht="19.5" customHeight="1" s="45">
      <c r="B309" s="67" t="n"/>
      <c r="C309" s="67" t="n"/>
      <c r="D309" s="67" t="n"/>
      <c r="E309" s="67" t="n"/>
      <c r="F309" s="67" t="n"/>
      <c r="G309" s="75" t="n"/>
      <c r="H309" s="67" t="n"/>
      <c r="I309" s="76" t="n"/>
      <c r="J309" s="75" t="n"/>
      <c r="K309" s="67" t="n"/>
      <c r="L309" s="76" t="n"/>
      <c r="M309" s="68" t="n"/>
    </row>
    <row r="310" ht="19.5" customHeight="1" s="45">
      <c r="B310" s="67" t="n"/>
      <c r="C310" s="67" t="n"/>
      <c r="D310" s="67" t="n"/>
      <c r="E310" s="67" t="n"/>
      <c r="F310" s="67" t="n"/>
      <c r="G310" s="75" t="n"/>
      <c r="H310" s="67" t="n"/>
      <c r="I310" s="76" t="n"/>
      <c r="J310" s="75" t="n"/>
      <c r="K310" s="67" t="n"/>
      <c r="L310" s="76" t="n"/>
      <c r="M310" s="68" t="n"/>
    </row>
    <row r="311" ht="19.5" customHeight="1" s="45">
      <c r="B311" s="67" t="n"/>
      <c r="C311" s="67" t="n"/>
      <c r="D311" s="67" t="n"/>
      <c r="E311" s="67" t="n"/>
      <c r="F311" s="67" t="n"/>
      <c r="G311" s="75" t="n"/>
      <c r="H311" s="67" t="n"/>
      <c r="I311" s="76" t="n"/>
      <c r="J311" s="75" t="n"/>
      <c r="K311" s="67" t="n"/>
      <c r="L311" s="76" t="n"/>
      <c r="M311" s="68" t="n"/>
    </row>
    <row r="312" ht="19.5" customHeight="1" s="45">
      <c r="B312" s="67" t="n"/>
      <c r="C312" s="67" t="n"/>
      <c r="D312" s="67" t="n"/>
      <c r="E312" s="67" t="n"/>
      <c r="F312" s="67" t="n"/>
      <c r="G312" s="75" t="n"/>
      <c r="H312" s="67" t="n"/>
      <c r="I312" s="76" t="n"/>
      <c r="J312" s="75" t="n"/>
      <c r="K312" s="67" t="n"/>
      <c r="L312" s="76" t="n"/>
      <c r="M312" s="68" t="n"/>
    </row>
    <row r="313" ht="19.5" customHeight="1" s="45">
      <c r="B313" s="67" t="n"/>
      <c r="C313" s="67" t="n"/>
      <c r="D313" s="67" t="n"/>
      <c r="E313" s="67" t="n"/>
      <c r="F313" s="67" t="n"/>
      <c r="G313" s="75" t="n"/>
      <c r="H313" s="67" t="n"/>
      <c r="I313" s="76" t="n"/>
      <c r="J313" s="75" t="n"/>
      <c r="K313" s="67" t="n"/>
      <c r="L313" s="76" t="n"/>
      <c r="M313" s="68" t="n"/>
    </row>
    <row r="314" ht="19.5" customHeight="1" s="45">
      <c r="B314" s="67" t="n"/>
      <c r="C314" s="67" t="n"/>
      <c r="D314" s="67" t="n"/>
      <c r="E314" s="67" t="n"/>
      <c r="F314" s="67" t="n"/>
      <c r="G314" s="75" t="n"/>
      <c r="H314" s="67" t="n"/>
      <c r="I314" s="76" t="n"/>
      <c r="J314" s="75" t="n"/>
      <c r="K314" s="67" t="n"/>
      <c r="L314" s="76" t="n"/>
      <c r="M314" s="68" t="n"/>
    </row>
    <row r="315" ht="19.5" customHeight="1" s="45">
      <c r="B315" s="67" t="n"/>
      <c r="C315" s="67" t="n"/>
      <c r="D315" s="67" t="n"/>
      <c r="E315" s="67" t="n"/>
      <c r="F315" s="67" t="n"/>
      <c r="G315" s="75" t="n"/>
      <c r="H315" s="67" t="n"/>
      <c r="I315" s="76" t="n"/>
      <c r="J315" s="75" t="n"/>
      <c r="K315" s="67" t="n"/>
      <c r="L315" s="76" t="n"/>
      <c r="M315" s="68" t="n"/>
    </row>
    <row r="316" ht="19.5" customHeight="1" s="45">
      <c r="B316" s="67" t="n"/>
      <c r="C316" s="67" t="n"/>
      <c r="D316" s="67" t="n"/>
      <c r="E316" s="67" t="n"/>
      <c r="F316" s="67" t="n"/>
      <c r="G316" s="75" t="n"/>
      <c r="H316" s="67" t="n"/>
      <c r="I316" s="76" t="n"/>
      <c r="J316" s="75" t="n"/>
      <c r="K316" s="67" t="n"/>
      <c r="L316" s="76" t="n"/>
      <c r="M316" s="68" t="n"/>
    </row>
    <row r="317" ht="19.5" customHeight="1" s="45">
      <c r="B317" s="67" t="n"/>
      <c r="C317" s="67" t="n"/>
      <c r="D317" s="67" t="n"/>
      <c r="E317" s="67" t="n"/>
      <c r="F317" s="67" t="n"/>
      <c r="G317" s="75" t="n"/>
      <c r="H317" s="67" t="n"/>
      <c r="I317" s="76" t="n"/>
      <c r="J317" s="75" t="n"/>
      <c r="K317" s="67" t="n"/>
      <c r="L317" s="76" t="n"/>
      <c r="M317" s="68" t="n"/>
    </row>
    <row r="318" ht="19.5" customHeight="1" s="45">
      <c r="B318" s="67" t="n"/>
      <c r="C318" s="67" t="n"/>
      <c r="D318" s="67" t="n"/>
      <c r="E318" s="67" t="n"/>
      <c r="F318" s="67" t="n"/>
      <c r="G318" s="75" t="n"/>
      <c r="H318" s="67" t="n"/>
      <c r="I318" s="76" t="n"/>
      <c r="J318" s="75" t="n"/>
      <c r="K318" s="67" t="n"/>
      <c r="L318" s="76" t="n"/>
      <c r="M318" s="68" t="n"/>
    </row>
    <row r="319" ht="19.5" customHeight="1" s="45">
      <c r="B319" s="67" t="n"/>
      <c r="C319" s="67" t="n"/>
      <c r="D319" s="67" t="n"/>
      <c r="E319" s="67" t="n"/>
      <c r="F319" s="67" t="n"/>
      <c r="G319" s="75" t="n"/>
      <c r="H319" s="67" t="n"/>
      <c r="I319" s="76" t="n"/>
      <c r="J319" s="75" t="n"/>
      <c r="K319" s="67" t="n"/>
      <c r="L319" s="76" t="n"/>
      <c r="M319" s="68" t="n"/>
    </row>
    <row r="320" ht="19.5" customHeight="1" s="45">
      <c r="B320" s="67" t="n"/>
      <c r="C320" s="67" t="n"/>
      <c r="D320" s="67" t="n"/>
      <c r="E320" s="67" t="n"/>
      <c r="F320" s="67" t="n"/>
      <c r="G320" s="75" t="n"/>
      <c r="H320" s="67" t="n"/>
      <c r="I320" s="76" t="n"/>
      <c r="J320" s="75" t="n"/>
      <c r="K320" s="67" t="n"/>
      <c r="L320" s="76" t="n"/>
      <c r="M320" s="68" t="n"/>
    </row>
    <row r="321" ht="19.5" customHeight="1" s="45">
      <c r="B321" s="67" t="n"/>
      <c r="C321" s="67" t="n"/>
      <c r="D321" s="67" t="n"/>
      <c r="E321" s="67" t="n"/>
      <c r="F321" s="67" t="n"/>
      <c r="G321" s="75" t="n"/>
      <c r="H321" s="67" t="n"/>
      <c r="I321" s="76" t="n"/>
      <c r="J321" s="75" t="n"/>
      <c r="K321" s="67" t="n"/>
      <c r="L321" s="76" t="n"/>
      <c r="M321" s="68" t="n"/>
    </row>
    <row r="322" ht="19.5" customHeight="1" s="45">
      <c r="B322" s="67" t="n"/>
      <c r="C322" s="67" t="n"/>
      <c r="D322" s="67" t="n"/>
      <c r="E322" s="67" t="n"/>
      <c r="F322" s="67" t="n"/>
      <c r="G322" s="75" t="n"/>
      <c r="H322" s="67" t="n"/>
      <c r="I322" s="76" t="n"/>
      <c r="J322" s="75" t="n"/>
      <c r="K322" s="67" t="n"/>
      <c r="L322" s="76" t="n"/>
      <c r="M322" s="68" t="n"/>
    </row>
    <row r="323" ht="19.5" customHeight="1" s="45">
      <c r="B323" s="67" t="n"/>
      <c r="C323" s="67" t="n"/>
      <c r="D323" s="67" t="n"/>
      <c r="E323" s="67" t="n"/>
      <c r="F323" s="67" t="n"/>
      <c r="G323" s="75" t="n"/>
      <c r="H323" s="67" t="n"/>
      <c r="I323" s="76" t="n"/>
      <c r="J323" s="75" t="n"/>
      <c r="K323" s="67" t="n"/>
      <c r="L323" s="76" t="n"/>
      <c r="M323" s="68" t="n"/>
    </row>
    <row r="324" ht="19.5" customHeight="1" s="45">
      <c r="B324" s="67" t="n"/>
      <c r="C324" s="67" t="n"/>
      <c r="D324" s="67" t="n"/>
      <c r="E324" s="67" t="n"/>
      <c r="F324" s="67" t="n"/>
      <c r="G324" s="75" t="n"/>
      <c r="H324" s="67" t="n"/>
      <c r="I324" s="76" t="n"/>
      <c r="J324" s="75" t="n"/>
      <c r="K324" s="67" t="n"/>
      <c r="L324" s="76" t="n"/>
      <c r="M324" s="68" t="n"/>
    </row>
    <row r="325" ht="19.5" customHeight="1" s="45">
      <c r="B325" s="67" t="n"/>
      <c r="C325" s="67" t="n"/>
      <c r="D325" s="67" t="n"/>
      <c r="E325" s="67" t="n"/>
      <c r="F325" s="67" t="n"/>
      <c r="G325" s="75" t="n"/>
      <c r="H325" s="67" t="n"/>
      <c r="I325" s="76" t="n"/>
      <c r="J325" s="75" t="n"/>
      <c r="K325" s="67" t="n"/>
      <c r="L325" s="76" t="n"/>
      <c r="M325" s="68" t="n"/>
    </row>
    <row r="326" ht="19.5" customHeight="1" s="45">
      <c r="B326" s="67" t="n"/>
      <c r="C326" s="67" t="n"/>
      <c r="D326" s="67" t="n"/>
      <c r="E326" s="67" t="n"/>
      <c r="F326" s="67" t="n"/>
      <c r="G326" s="75" t="n"/>
      <c r="H326" s="67" t="n"/>
      <c r="I326" s="76" t="n"/>
      <c r="J326" s="75" t="n"/>
      <c r="K326" s="67" t="n"/>
      <c r="L326" s="76" t="n"/>
      <c r="M326" s="68" t="n"/>
    </row>
    <row r="327" ht="19.5" customHeight="1" s="45">
      <c r="B327" s="67" t="n"/>
      <c r="C327" s="67" t="n"/>
      <c r="D327" s="67" t="n"/>
      <c r="E327" s="67" t="n"/>
      <c r="F327" s="67" t="n"/>
      <c r="G327" s="75" t="n"/>
      <c r="H327" s="67" t="n"/>
      <c r="I327" s="76" t="n"/>
      <c r="J327" s="75" t="n"/>
      <c r="K327" s="67" t="n"/>
      <c r="L327" s="76" t="n"/>
      <c r="M327" s="68" t="n"/>
    </row>
    <row r="328" ht="19.5" customHeight="1" s="45">
      <c r="B328" s="67" t="n"/>
      <c r="C328" s="67" t="n"/>
      <c r="D328" s="67" t="n"/>
      <c r="E328" s="67" t="n"/>
      <c r="F328" s="67" t="n"/>
      <c r="G328" s="75" t="n"/>
      <c r="H328" s="67" t="n"/>
      <c r="I328" s="76" t="n"/>
      <c r="J328" s="75" t="n"/>
      <c r="K328" s="67" t="n"/>
      <c r="L328" s="76" t="n"/>
      <c r="M328" s="68" t="n"/>
    </row>
    <row r="329" ht="19.5" customHeight="1" s="45">
      <c r="B329" s="67" t="n"/>
      <c r="C329" s="67" t="n"/>
      <c r="D329" s="67" t="n"/>
      <c r="E329" s="67" t="n"/>
      <c r="F329" s="67" t="n"/>
      <c r="G329" s="75" t="n"/>
      <c r="H329" s="67" t="n"/>
      <c r="I329" s="76" t="n"/>
      <c r="J329" s="75" t="n"/>
      <c r="K329" s="67" t="n"/>
      <c r="L329" s="76" t="n"/>
      <c r="M329" s="68" t="n"/>
    </row>
    <row r="330" ht="19.5" customHeight="1" s="45">
      <c r="B330" s="67" t="n"/>
      <c r="C330" s="67" t="n"/>
      <c r="D330" s="67" t="n"/>
      <c r="E330" s="67" t="n"/>
      <c r="F330" s="67" t="n"/>
      <c r="G330" s="75" t="n"/>
      <c r="H330" s="67" t="n"/>
      <c r="I330" s="76" t="n"/>
      <c r="J330" s="75" t="n"/>
      <c r="K330" s="67" t="n"/>
      <c r="L330" s="76" t="n"/>
      <c r="M330" s="68" t="n"/>
    </row>
    <row r="331" ht="19.5" customHeight="1" s="45">
      <c r="B331" s="67" t="n"/>
      <c r="C331" s="67" t="n"/>
      <c r="D331" s="67" t="n"/>
      <c r="E331" s="67" t="n"/>
      <c r="F331" s="67" t="n"/>
      <c r="G331" s="75" t="n"/>
      <c r="H331" s="67" t="n"/>
      <c r="I331" s="76" t="n"/>
      <c r="J331" s="75" t="n"/>
      <c r="K331" s="67" t="n"/>
      <c r="L331" s="76" t="n"/>
      <c r="M331" s="68" t="n"/>
    </row>
    <row r="332" ht="19.5" customHeight="1" s="45">
      <c r="B332" s="67" t="n"/>
      <c r="C332" s="67" t="n"/>
      <c r="D332" s="67" t="n"/>
      <c r="E332" s="67" t="n"/>
      <c r="F332" s="67" t="n"/>
      <c r="G332" s="75" t="n"/>
      <c r="H332" s="67" t="n"/>
      <c r="I332" s="76" t="n"/>
      <c r="J332" s="75" t="n"/>
      <c r="K332" s="67" t="n"/>
      <c r="L332" s="76" t="n"/>
      <c r="M332" s="68" t="n"/>
    </row>
    <row r="333" ht="19.5" customHeight="1" s="45">
      <c r="B333" s="67" t="n"/>
      <c r="C333" s="67" t="n"/>
      <c r="D333" s="67" t="n"/>
      <c r="E333" s="67" t="n"/>
      <c r="F333" s="67" t="n"/>
      <c r="G333" s="75" t="n"/>
      <c r="H333" s="67" t="n"/>
      <c r="I333" s="76" t="n"/>
      <c r="J333" s="75" t="n"/>
      <c r="K333" s="67" t="n"/>
      <c r="L333" s="76" t="n"/>
      <c r="M333" s="68" t="n"/>
    </row>
    <row r="334" ht="19.5" customHeight="1" s="45">
      <c r="B334" s="67" t="n"/>
      <c r="C334" s="67" t="n"/>
      <c r="D334" s="67" t="n"/>
      <c r="E334" s="67" t="n"/>
      <c r="F334" s="67" t="n"/>
      <c r="G334" s="75" t="n"/>
      <c r="H334" s="67" t="n"/>
      <c r="I334" s="76" t="n"/>
      <c r="J334" s="75" t="n"/>
      <c r="K334" s="67" t="n"/>
      <c r="L334" s="76" t="n"/>
      <c r="M334" s="68" t="n"/>
    </row>
    <row r="335" ht="19.5" customHeight="1" s="45">
      <c r="B335" s="67" t="n"/>
      <c r="C335" s="67" t="n"/>
      <c r="D335" s="67" t="n"/>
      <c r="E335" s="67" t="n"/>
      <c r="F335" s="67" t="n"/>
      <c r="G335" s="75" t="n"/>
      <c r="H335" s="67" t="n"/>
      <c r="I335" s="76" t="n"/>
      <c r="J335" s="75" t="n"/>
      <c r="K335" s="67" t="n"/>
      <c r="L335" s="76" t="n"/>
      <c r="M335" s="68" t="n"/>
    </row>
    <row r="336" ht="19.5" customHeight="1" s="45">
      <c r="B336" s="67" t="n"/>
      <c r="C336" s="67" t="n"/>
      <c r="D336" s="67" t="n"/>
      <c r="E336" s="67" t="n"/>
      <c r="F336" s="67" t="n"/>
      <c r="G336" s="75" t="n"/>
      <c r="H336" s="67" t="n"/>
      <c r="I336" s="76" t="n"/>
      <c r="J336" s="75" t="n"/>
      <c r="K336" s="67" t="n"/>
      <c r="L336" s="76" t="n"/>
      <c r="M336" s="68" t="n"/>
    </row>
    <row r="337" ht="19.5" customHeight="1" s="45">
      <c r="B337" s="67" t="n"/>
      <c r="C337" s="67" t="n"/>
      <c r="D337" s="67" t="n"/>
      <c r="E337" s="67" t="n"/>
      <c r="F337" s="67" t="n"/>
      <c r="G337" s="75" t="n"/>
      <c r="H337" s="67" t="n"/>
      <c r="I337" s="76" t="n"/>
      <c r="J337" s="75" t="n"/>
      <c r="K337" s="67" t="n"/>
      <c r="L337" s="76" t="n"/>
      <c r="M337" s="68" t="n"/>
    </row>
    <row r="338" ht="19.5" customHeight="1" s="45">
      <c r="B338" s="67" t="n"/>
      <c r="C338" s="67" t="n"/>
      <c r="D338" s="67" t="n"/>
      <c r="E338" s="67" t="n"/>
      <c r="F338" s="67" t="n"/>
      <c r="G338" s="75" t="n"/>
      <c r="H338" s="67" t="n"/>
      <c r="I338" s="76" t="n"/>
      <c r="J338" s="75" t="n"/>
      <c r="K338" s="67" t="n"/>
      <c r="L338" s="76" t="n"/>
      <c r="M338" s="68" t="n"/>
    </row>
    <row r="339" ht="19.5" customHeight="1" s="45">
      <c r="B339" s="67" t="n"/>
      <c r="C339" s="67" t="n"/>
      <c r="D339" s="67" t="n"/>
      <c r="E339" s="67" t="n"/>
      <c r="F339" s="67" t="n"/>
      <c r="G339" s="75" t="n"/>
      <c r="H339" s="67" t="n"/>
      <c r="I339" s="76" t="n"/>
      <c r="J339" s="75" t="n"/>
      <c r="K339" s="67" t="n"/>
      <c r="L339" s="76" t="n"/>
      <c r="M339" s="68" t="n"/>
    </row>
    <row r="340" ht="19.5" customHeight="1" s="45">
      <c r="B340" s="67" t="n"/>
      <c r="C340" s="67" t="n"/>
      <c r="D340" s="67" t="n"/>
      <c r="E340" s="67" t="n"/>
      <c r="F340" s="67" t="n"/>
      <c r="G340" s="75" t="n"/>
      <c r="H340" s="67" t="n"/>
      <c r="I340" s="76" t="n"/>
      <c r="J340" s="75" t="n"/>
      <c r="K340" s="67" t="n"/>
      <c r="L340" s="76" t="n"/>
      <c r="M340" s="68" t="n"/>
    </row>
    <row r="341" ht="19.5" customHeight="1" s="45">
      <c r="B341" s="67" t="n"/>
      <c r="C341" s="67" t="n"/>
      <c r="D341" s="67" t="n"/>
      <c r="E341" s="67" t="n"/>
      <c r="F341" s="67" t="n"/>
      <c r="G341" s="75" t="n"/>
      <c r="H341" s="67" t="n"/>
      <c r="I341" s="76" t="n"/>
      <c r="J341" s="75" t="n"/>
      <c r="K341" s="67" t="n"/>
      <c r="L341" s="76" t="n"/>
      <c r="M341" s="68" t="n"/>
    </row>
    <row r="342" ht="19.5" customHeight="1" s="45">
      <c r="B342" s="67" t="n"/>
      <c r="C342" s="67" t="n"/>
      <c r="D342" s="67" t="n"/>
      <c r="E342" s="67" t="n"/>
      <c r="F342" s="67" t="n"/>
      <c r="G342" s="75" t="n"/>
      <c r="H342" s="67" t="n"/>
      <c r="I342" s="76" t="n"/>
      <c r="J342" s="75" t="n"/>
      <c r="K342" s="67" t="n"/>
      <c r="L342" s="76" t="n"/>
      <c r="M342" s="68" t="n"/>
    </row>
    <row r="343" ht="19.5" customHeight="1" s="45">
      <c r="B343" s="67" t="n"/>
      <c r="C343" s="67" t="n"/>
      <c r="D343" s="67" t="n"/>
      <c r="E343" s="67" t="n"/>
      <c r="F343" s="67" t="n"/>
      <c r="G343" s="75" t="n"/>
      <c r="H343" s="67" t="n"/>
      <c r="I343" s="76" t="n"/>
      <c r="J343" s="75" t="n"/>
      <c r="K343" s="67" t="n"/>
      <c r="L343" s="76" t="n"/>
      <c r="M343" s="68" t="n"/>
    </row>
    <row r="344" ht="19.5" customHeight="1" s="45">
      <c r="B344" s="67" t="n"/>
      <c r="C344" s="67" t="n"/>
      <c r="D344" s="67" t="n"/>
      <c r="E344" s="67" t="n"/>
      <c r="F344" s="67" t="n"/>
      <c r="G344" s="75" t="n"/>
      <c r="H344" s="67" t="n"/>
      <c r="I344" s="76" t="n"/>
      <c r="J344" s="75" t="n"/>
      <c r="K344" s="67" t="n"/>
      <c r="L344" s="76" t="n"/>
      <c r="M344" s="68" t="n"/>
    </row>
    <row r="345" ht="19.5" customHeight="1" s="45">
      <c r="B345" s="67" t="n"/>
      <c r="C345" s="67" t="n"/>
      <c r="D345" s="67" t="n"/>
      <c r="E345" s="67" t="n"/>
      <c r="F345" s="67" t="n"/>
      <c r="G345" s="75" t="n"/>
      <c r="H345" s="67" t="n"/>
      <c r="I345" s="76" t="n"/>
      <c r="J345" s="75" t="n"/>
      <c r="K345" s="67" t="n"/>
      <c r="L345" s="76" t="n"/>
      <c r="M345" s="68" t="n"/>
    </row>
    <row r="346" ht="19.5" customHeight="1" s="45">
      <c r="B346" s="67" t="n"/>
      <c r="C346" s="67" t="n"/>
      <c r="D346" s="67" t="n"/>
      <c r="E346" s="67" t="n"/>
      <c r="F346" s="67" t="n"/>
      <c r="G346" s="75" t="n"/>
      <c r="H346" s="67" t="n"/>
      <c r="I346" s="76" t="n"/>
      <c r="J346" s="75" t="n"/>
      <c r="K346" s="67" t="n"/>
      <c r="L346" s="76" t="n"/>
      <c r="M346" s="68" t="n"/>
    </row>
    <row r="347" ht="19.5" customHeight="1" s="45">
      <c r="B347" s="67" t="n"/>
      <c r="C347" s="67" t="n"/>
      <c r="D347" s="67" t="n"/>
      <c r="E347" s="67" t="n"/>
      <c r="F347" s="67" t="n"/>
      <c r="G347" s="75" t="n"/>
      <c r="H347" s="67" t="n"/>
      <c r="I347" s="76" t="n"/>
      <c r="J347" s="75" t="n"/>
      <c r="K347" s="67" t="n"/>
      <c r="L347" s="76" t="n"/>
      <c r="M347" s="68" t="n"/>
    </row>
    <row r="348" ht="19.5" customHeight="1" s="45">
      <c r="B348" s="67" t="n"/>
      <c r="C348" s="67" t="n"/>
      <c r="D348" s="67" t="n"/>
      <c r="E348" s="67" t="n"/>
      <c r="F348" s="67" t="n"/>
      <c r="G348" s="75" t="n"/>
      <c r="H348" s="67" t="n"/>
      <c r="I348" s="76" t="n"/>
      <c r="J348" s="75" t="n"/>
      <c r="K348" s="67" t="n"/>
      <c r="L348" s="76" t="n"/>
      <c r="M348" s="68" t="n"/>
    </row>
    <row r="349" ht="19.5" customHeight="1" s="45">
      <c r="B349" s="67" t="n"/>
      <c r="C349" s="67" t="n"/>
      <c r="D349" s="67" t="n"/>
      <c r="E349" s="67" t="n"/>
      <c r="F349" s="67" t="n"/>
      <c r="G349" s="75" t="n"/>
      <c r="H349" s="67" t="n"/>
      <c r="I349" s="76" t="n"/>
      <c r="J349" s="75" t="n"/>
      <c r="K349" s="67" t="n"/>
      <c r="L349" s="76" t="n"/>
      <c r="M349" s="68" t="n"/>
    </row>
    <row r="350" ht="19.5" customHeight="1" s="45">
      <c r="B350" s="67" t="n"/>
      <c r="C350" s="67" t="n"/>
      <c r="D350" s="67" t="n"/>
      <c r="E350" s="67" t="n"/>
      <c r="F350" s="67" t="n"/>
      <c r="G350" s="75" t="n"/>
      <c r="H350" s="67" t="n"/>
      <c r="I350" s="76" t="n"/>
      <c r="J350" s="75" t="n"/>
      <c r="K350" s="67" t="n"/>
      <c r="L350" s="76" t="n"/>
      <c r="M350" s="68" t="n"/>
    </row>
    <row r="351" ht="19.5" customHeight="1" s="45">
      <c r="B351" s="67" t="n"/>
      <c r="C351" s="67" t="n"/>
      <c r="D351" s="67" t="n"/>
      <c r="E351" s="67" t="n"/>
      <c r="F351" s="67" t="n"/>
      <c r="G351" s="75" t="n"/>
      <c r="H351" s="67" t="n"/>
      <c r="I351" s="76" t="n"/>
      <c r="J351" s="75" t="n"/>
      <c r="K351" s="67" t="n"/>
      <c r="L351" s="76" t="n"/>
      <c r="M351" s="68" t="n"/>
    </row>
    <row r="352" ht="19.5" customHeight="1" s="45">
      <c r="B352" s="67" t="n"/>
      <c r="C352" s="67" t="n"/>
      <c r="D352" s="67" t="n"/>
      <c r="E352" s="67" t="n"/>
      <c r="F352" s="67" t="n"/>
      <c r="G352" s="75" t="n"/>
      <c r="H352" s="67" t="n"/>
      <c r="I352" s="76" t="n"/>
      <c r="J352" s="75" t="n"/>
      <c r="K352" s="67" t="n"/>
      <c r="L352" s="76" t="n"/>
      <c r="M352" s="68" t="n"/>
    </row>
    <row r="353" ht="19.5" customHeight="1" s="45">
      <c r="B353" s="67" t="n"/>
      <c r="C353" s="67" t="n"/>
      <c r="D353" s="67" t="n"/>
      <c r="E353" s="67" t="n"/>
      <c r="F353" s="67" t="n"/>
      <c r="G353" s="75" t="n"/>
      <c r="H353" s="67" t="n"/>
      <c r="I353" s="76" t="n"/>
      <c r="J353" s="75" t="n"/>
      <c r="K353" s="67" t="n"/>
      <c r="L353" s="76" t="n"/>
      <c r="M353" s="68" t="n"/>
    </row>
    <row r="354" ht="19.5" customHeight="1" s="45">
      <c r="B354" s="67" t="n"/>
      <c r="C354" s="67" t="n"/>
      <c r="D354" s="67" t="n"/>
      <c r="E354" s="67" t="n"/>
      <c r="F354" s="67" t="n"/>
      <c r="G354" s="75" t="n"/>
      <c r="H354" s="67" t="n"/>
      <c r="I354" s="76" t="n"/>
      <c r="J354" s="75" t="n"/>
      <c r="K354" s="67" t="n"/>
      <c r="L354" s="76" t="n"/>
      <c r="M354" s="68" t="n"/>
    </row>
  </sheetData>
  <autoFilter ref="B4:M354"/>
  <mergeCells count="1">
    <mergeCell ref="B2:M2"/>
  </mergeCells>
  <dataValidations count="7">
    <dataValidation sqref="J5:J354" showDropDown="0" showInputMessage="0" showErrorMessage="1" allowBlank="1" errorTitle="Out of range" error="Enter a number between 0 and 1000000." type="decimal" errorStyle="stop" operator="between">
      <formula1>0</formula1>
      <formula2>1000000</formula2>
    </dataValidation>
    <dataValidation sqref="C5:C354" showDropDown="0" showInputMessage="0" showErrorMessage="1" allowBlank="1" errorTitle="Invalid entry" error="Please choose one of the listed values." promptTitle="Dropdown" prompt="Select from list" type="list" errorStyle="stop" operator="between">
      <formula1>"M1,M2,M3,M4,M5,M6"</formula1>
      <formula2>0</formula2>
    </dataValidation>
    <dataValidation sqref="D5:D354" showDropDown="0" showInputMessage="0" showErrorMessage="1" allowBlank="1" errorTitle="Invalid entry" error="Please choose one of the listed values." promptTitle="Dropdown" prompt="Select from list" type="list" errorStyle="stop" operator="between">
      <formula1>"S01,S02,S03,S04,S05,S06,S07,S08,S09,S10"</formula1>
      <formula2>0</formula2>
    </dataValidation>
    <dataValidation sqref="E5:E354" showDropDown="0" showInputMessage="0" showErrorMessage="1" allowBlank="1" errorTitle="Invalid entry" error="Please choose one of the listed values." promptTitle="Dropdown" prompt="Select from list" type="list" errorStyle="stop" operator="between">
      <formula1>"Yes,No"</formula1>
      <formula2>0</formula2>
    </dataValidation>
    <dataValidation sqref="H5:H354 K5:K354" showDropDown="0" showInputMessage="0" showErrorMessage="1" allowBlank="1" errorTitle="Invalid entry" error="Please choose one of the listed values." promptTitle="Dropdown" prompt="Select from list" type="list" errorStyle="stop" operator="between">
      <formula1>"Maund,Kg"</formula1>
      <formula2>0</formula2>
    </dataValidation>
    <dataValidation sqref="G5:G354" showDropDown="0" showInputMessage="0" showErrorMessage="1" allowBlank="1" errorTitle="Invalid price entry" error="Enter a price in BDT, or the flag K (not handled today) / D (declined) / - (not applicable)." promptTitle="Price or flag" prompt="Number = BDT amount; K = not handled today; D = declined to disclose; - = not applicable." type="custom" errorStyle="stop" operator="between">
      <formula1>OR(ISNUMBER($G5),$G5="K",$G5="D",$G5="-",$G5="")</formula1>
      <formula2>0</formula2>
    </dataValidation>
    <dataValidation sqref="F5:F354" showDropDown="0" showInputMessage="0" showErrorMessage="1" allowBlank="1" errorTitle="Invalid entry" error="তালিকা থেকে নির্বাচন করুন / Choose from the list" type="list" errorStyle="stop" operator="between">
      <formula1>"Retailer,Hawker"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 filterMode="0">
    <tabColor rgb="FFD4820A"/>
    <outlinePr summaryBelow="1" summaryRight="1"/>
    <pageSetUpPr fitToPage="0"/>
  </sheetPr>
  <dimension ref="B2:L10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328125" defaultRowHeight="15" zeroHeight="0" outlineLevelRow="0"/>
  <cols>
    <col width="3" customWidth="1" style="44" min="1" max="1"/>
    <col width="13" customWidth="1" style="44" min="2" max="2"/>
    <col width="8" customWidth="1" style="44" min="3" max="3"/>
    <col width="18" customWidth="1" style="44" min="4" max="4"/>
    <col width="11" customWidth="1" style="44" min="5" max="5"/>
    <col width="8" customWidth="1" style="44" min="6" max="6"/>
    <col width="14" customWidth="1" style="44" min="7" max="7"/>
    <col width="11" customWidth="1" style="44" min="8" max="10"/>
    <col width="18" customWidth="1" style="44" min="11" max="11"/>
    <col width="22" customWidth="1" style="44" min="12" max="12"/>
  </cols>
  <sheetData>
    <row r="2" ht="31.5" customHeight="1" s="45">
      <c r="B2" s="46" t="inlineStr">
        <is>
          <t>Form C - Any Other Fish Bought (long format)</t>
        </is>
      </c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8" t="n"/>
    </row>
    <row r="3" ht="7.5" customHeight="1" s="45">
      <c r="B3" s="50" t="n"/>
      <c r="C3" s="50" t="n"/>
      <c r="D3" s="50" t="n"/>
      <c r="E3" s="50" t="n"/>
      <c r="F3" s="50" t="n"/>
      <c r="G3" s="50" t="n"/>
      <c r="H3" s="50" t="n"/>
      <c r="I3" s="50" t="n"/>
      <c r="J3" s="50" t="n"/>
      <c r="K3" s="50" t="n"/>
      <c r="L3" s="50" t="n"/>
    </row>
    <row r="4" ht="27.75" customHeight="1" s="45">
      <c r="B4" s="57" t="inlineStr">
        <is>
          <t>Respondent_ID</t>
        </is>
      </c>
      <c r="C4" s="57" t="inlineStr">
        <is>
          <t>Market</t>
        </is>
      </c>
      <c r="D4" s="57" t="inlineStr">
        <is>
          <t>Fish_name_local</t>
        </is>
      </c>
      <c r="E4" s="57" t="inlineStr">
        <is>
          <t>Price_raw</t>
        </is>
      </c>
      <c r="F4" s="57" t="inlineStr">
        <is>
          <t>Unit</t>
        </is>
      </c>
      <c r="G4" s="57" t="inlineStr">
        <is>
          <t>Price_BDT_per_kg</t>
        </is>
      </c>
      <c r="H4" s="57" t="inlineStr">
        <is>
          <t>Quantity_raw</t>
        </is>
      </c>
      <c r="I4" s="57" t="inlineStr">
        <is>
          <t>Quantity_unit</t>
        </is>
      </c>
      <c r="J4" s="57" t="inlineStr">
        <is>
          <t>Quantity_kg</t>
        </is>
      </c>
      <c r="K4" s="57" t="inlineStr">
        <is>
          <t>Purchase_location</t>
        </is>
      </c>
      <c r="L4" s="57" t="inlineStr">
        <is>
          <t>Notes</t>
        </is>
      </c>
    </row>
    <row r="5" ht="19.5" customHeight="1" s="45">
      <c r="B5" s="67" t="inlineStr">
        <is>
          <t>M1-C-01</t>
        </is>
      </c>
      <c r="C5" s="67" t="inlineStr">
        <is>
          <t>M1</t>
        </is>
      </c>
      <c r="D5" s="68" t="inlineStr">
        <is>
          <t>Chatka chingri</t>
        </is>
      </c>
      <c r="E5" s="75" t="n">
        <v>455</v>
      </c>
      <c r="F5" s="67" t="inlineStr">
        <is>
          <t>Kg</t>
        </is>
      </c>
      <c r="G5" s="76" t="n">
        <v>455</v>
      </c>
      <c r="H5" s="75" t="n">
        <v>0.75</v>
      </c>
      <c r="I5" s="67" t="inlineStr">
        <is>
          <t>Kg</t>
        </is>
      </c>
      <c r="J5" s="76" t="n">
        <v>0.75</v>
      </c>
      <c r="K5" s="68" t="inlineStr">
        <is>
          <t>Same market</t>
        </is>
      </c>
      <c r="L5" s="68" t="n"/>
    </row>
    <row r="6" ht="19.5" customHeight="1" s="45">
      <c r="B6" s="67" t="inlineStr">
        <is>
          <t>M1-C-01</t>
        </is>
      </c>
      <c r="C6" s="67" t="inlineStr">
        <is>
          <t>M1</t>
        </is>
      </c>
      <c r="D6" s="68" t="inlineStr">
        <is>
          <t>Datina</t>
        </is>
      </c>
      <c r="E6" s="75" t="n">
        <v>420</v>
      </c>
      <c r="F6" s="67" t="inlineStr">
        <is>
          <t>Kg</t>
        </is>
      </c>
      <c r="G6" s="76" t="n">
        <v>420</v>
      </c>
      <c r="H6" s="75" t="n">
        <v>1</v>
      </c>
      <c r="I6" s="67" t="inlineStr">
        <is>
          <t>Kg</t>
        </is>
      </c>
      <c r="J6" s="76" t="n">
        <v>1</v>
      </c>
      <c r="K6" s="68" t="inlineStr">
        <is>
          <t>Same market</t>
        </is>
      </c>
      <c r="L6" s="68" t="n"/>
    </row>
    <row r="7" ht="19.5" customHeight="1" s="45">
      <c r="B7" s="67" t="inlineStr">
        <is>
          <t>M1-C-04</t>
        </is>
      </c>
      <c r="C7" s="67" t="inlineStr">
        <is>
          <t>M1</t>
        </is>
      </c>
      <c r="D7" s="68" t="inlineStr">
        <is>
          <t>Bagda chingri</t>
        </is>
      </c>
      <c r="E7" s="75" t="n">
        <v>1130</v>
      </c>
      <c r="F7" s="67" t="inlineStr">
        <is>
          <t>Kg</t>
        </is>
      </c>
      <c r="G7" s="76" t="n">
        <v>1130</v>
      </c>
      <c r="H7" s="75" t="n">
        <v>0.5</v>
      </c>
      <c r="I7" s="67" t="inlineStr">
        <is>
          <t>Kg</t>
        </is>
      </c>
      <c r="J7" s="76" t="n">
        <v>0.5</v>
      </c>
      <c r="K7" s="68" t="inlineStr">
        <is>
          <t>Same market</t>
        </is>
      </c>
      <c r="L7" s="68" t="n"/>
    </row>
    <row r="8" ht="19.5" customHeight="1" s="45">
      <c r="B8" s="67" t="inlineStr">
        <is>
          <t>M1-C-04</t>
        </is>
      </c>
      <c r="C8" s="67" t="inlineStr">
        <is>
          <t>M1</t>
        </is>
      </c>
      <c r="D8" s="68" t="inlineStr">
        <is>
          <t>Kakra (crab)</t>
        </is>
      </c>
      <c r="E8" s="75" t="n">
        <v>585</v>
      </c>
      <c r="F8" s="67" t="inlineStr">
        <is>
          <t>Kg</t>
        </is>
      </c>
      <c r="G8" s="76" t="n">
        <v>585</v>
      </c>
      <c r="H8" s="75" t="n">
        <v>1</v>
      </c>
      <c r="I8" s="67" t="inlineStr">
        <is>
          <t>Kg</t>
        </is>
      </c>
      <c r="J8" s="76" t="n">
        <v>1</v>
      </c>
      <c r="K8" s="68" t="inlineStr">
        <is>
          <t>Same market</t>
        </is>
      </c>
      <c r="L8" s="68" t="n"/>
    </row>
    <row r="9" ht="19.5" customHeight="1" s="45">
      <c r="B9" s="67" t="inlineStr">
        <is>
          <t>M3-C-01</t>
        </is>
      </c>
      <c r="C9" s="67" t="inlineStr">
        <is>
          <t>M3</t>
        </is>
      </c>
      <c r="D9" s="68" t="inlineStr">
        <is>
          <t>Moid</t>
        </is>
      </c>
      <c r="E9" s="75" t="n">
        <v>155</v>
      </c>
      <c r="F9" s="67" t="inlineStr">
        <is>
          <t>Kg</t>
        </is>
      </c>
      <c r="G9" s="76" t="n">
        <v>155</v>
      </c>
      <c r="H9" s="75" t="n">
        <v>0.5</v>
      </c>
      <c r="I9" s="67" t="inlineStr">
        <is>
          <t>Kg</t>
        </is>
      </c>
      <c r="J9" s="76" t="n">
        <v>0.5</v>
      </c>
      <c r="K9" s="68" t="inlineStr">
        <is>
          <t>Neighbourhood van</t>
        </is>
      </c>
      <c r="L9" s="68" t="n"/>
    </row>
    <row r="10" ht="19.5" customHeight="1" s="45">
      <c r="B10" s="67" t="inlineStr">
        <is>
          <t>M3-C-03</t>
        </is>
      </c>
      <c r="C10" s="67" t="inlineStr">
        <is>
          <t>M3</t>
        </is>
      </c>
      <c r="D10" s="68" t="inlineStr">
        <is>
          <t>Datina</t>
        </is>
      </c>
      <c r="E10" s="75" t="n">
        <v>395</v>
      </c>
      <c r="F10" s="67" t="inlineStr">
        <is>
          <t>Kg</t>
        </is>
      </c>
      <c r="G10" s="76" t="n">
        <v>395</v>
      </c>
      <c r="H10" s="75" t="n">
        <v>1</v>
      </c>
      <c r="I10" s="67" t="inlineStr">
        <is>
          <t>Kg</t>
        </is>
      </c>
      <c r="J10" s="76" t="n">
        <v>1</v>
      </c>
      <c r="K10" s="68" t="inlineStr">
        <is>
          <t>Same market</t>
        </is>
      </c>
      <c r="L10" s="68" t="n"/>
    </row>
    <row r="11" ht="19.5" customHeight="1" s="45">
      <c r="B11" s="67" t="inlineStr">
        <is>
          <t>M3-C-03</t>
        </is>
      </c>
      <c r="C11" s="67" t="inlineStr">
        <is>
          <t>M3</t>
        </is>
      </c>
      <c r="D11" s="68" t="inlineStr">
        <is>
          <t>Moid</t>
        </is>
      </c>
      <c r="E11" s="75" t="n">
        <v>205</v>
      </c>
      <c r="F11" s="67" t="inlineStr">
        <is>
          <t>Kg</t>
        </is>
      </c>
      <c r="G11" s="76" t="n">
        <v>205</v>
      </c>
      <c r="H11" s="75" t="n">
        <v>0.5</v>
      </c>
      <c r="I11" s="67" t="inlineStr">
        <is>
          <t>Kg</t>
        </is>
      </c>
      <c r="J11" s="76" t="n">
        <v>0.5</v>
      </c>
      <c r="K11" s="68" t="inlineStr">
        <is>
          <t>Same market</t>
        </is>
      </c>
      <c r="L11" s="68" t="n"/>
    </row>
    <row r="12" ht="19.5" customHeight="1" s="45">
      <c r="B12" s="67" t="inlineStr">
        <is>
          <t>M3-C-04</t>
        </is>
      </c>
      <c r="C12" s="67" t="inlineStr">
        <is>
          <t>M3</t>
        </is>
      </c>
      <c r="D12" s="68" t="inlineStr">
        <is>
          <t>Datina</t>
        </is>
      </c>
      <c r="E12" s="75" t="n">
        <v>315</v>
      </c>
      <c r="F12" s="67" t="inlineStr">
        <is>
          <t>Kg</t>
        </is>
      </c>
      <c r="G12" s="76" t="n">
        <v>315</v>
      </c>
      <c r="H12" s="75" t="n">
        <v>0.5</v>
      </c>
      <c r="I12" s="67" t="inlineStr">
        <is>
          <t>Kg</t>
        </is>
      </c>
      <c r="J12" s="76" t="n">
        <v>0.5</v>
      </c>
      <c r="K12" s="68" t="inlineStr">
        <is>
          <t>Neighbourhood van</t>
        </is>
      </c>
      <c r="L12" s="68" t="n"/>
    </row>
    <row r="13" ht="19.5" customHeight="1" s="45">
      <c r="B13" s="67" t="inlineStr">
        <is>
          <t>M4-C-02</t>
        </is>
      </c>
      <c r="C13" s="67" t="inlineStr">
        <is>
          <t>M4</t>
        </is>
      </c>
      <c r="D13" s="68" t="inlineStr">
        <is>
          <t>Datina</t>
        </is>
      </c>
      <c r="E13" s="75" t="n">
        <v>370</v>
      </c>
      <c r="F13" s="67" t="inlineStr">
        <is>
          <t>Kg</t>
        </is>
      </c>
      <c r="G13" s="76" t="n">
        <v>370</v>
      </c>
      <c r="H13" s="75" t="n">
        <v>0.25</v>
      </c>
      <c r="I13" s="67" t="inlineStr">
        <is>
          <t>Kg</t>
        </is>
      </c>
      <c r="J13" s="76" t="n">
        <v>0.25</v>
      </c>
      <c r="K13" s="68" t="inlineStr">
        <is>
          <t>Same market</t>
        </is>
      </c>
      <c r="L13" s="68" t="n"/>
    </row>
    <row r="14" ht="19.5" customHeight="1" s="45">
      <c r="B14" s="67" t="inlineStr">
        <is>
          <t>M4-C-03</t>
        </is>
      </c>
      <c r="C14" s="67" t="inlineStr">
        <is>
          <t>M4</t>
        </is>
      </c>
      <c r="D14" s="68" t="inlineStr">
        <is>
          <t>Faisya</t>
        </is>
      </c>
      <c r="E14" s="75" t="n">
        <v>275</v>
      </c>
      <c r="F14" s="67" t="inlineStr">
        <is>
          <t>Kg</t>
        </is>
      </c>
      <c r="G14" s="76" t="n">
        <v>275</v>
      </c>
      <c r="H14" s="75" t="n">
        <v>0.25</v>
      </c>
      <c r="I14" s="67" t="inlineStr">
        <is>
          <t>Kg</t>
        </is>
      </c>
      <c r="J14" s="76" t="n">
        <v>0.25</v>
      </c>
      <c r="K14" s="68" t="inlineStr">
        <is>
          <t>Same market</t>
        </is>
      </c>
      <c r="L14" s="68" t="n"/>
    </row>
    <row r="15" ht="19.5" customHeight="1" s="45">
      <c r="B15" s="67" t="inlineStr">
        <is>
          <t>M4-C-03</t>
        </is>
      </c>
      <c r="C15" s="67" t="inlineStr">
        <is>
          <t>M4</t>
        </is>
      </c>
      <c r="D15" s="68" t="inlineStr">
        <is>
          <t>Khoira</t>
        </is>
      </c>
      <c r="E15" s="75" t="n">
        <v>345</v>
      </c>
      <c r="F15" s="67" t="inlineStr">
        <is>
          <t>Kg</t>
        </is>
      </c>
      <c r="G15" s="76" t="n">
        <v>345</v>
      </c>
      <c r="H15" s="75" t="n">
        <v>0.5</v>
      </c>
      <c r="I15" s="67" t="inlineStr">
        <is>
          <t>Kg</t>
        </is>
      </c>
      <c r="J15" s="76" t="n">
        <v>0.5</v>
      </c>
      <c r="K15" s="68" t="inlineStr">
        <is>
          <t>Neighbourhood van</t>
        </is>
      </c>
      <c r="L15" s="68" t="n"/>
    </row>
    <row r="16" ht="19.5" customHeight="1" s="45">
      <c r="B16" s="67" t="inlineStr">
        <is>
          <t>M5-C-03</t>
        </is>
      </c>
      <c r="C16" s="67" t="inlineStr">
        <is>
          <t>M5</t>
        </is>
      </c>
      <c r="D16" s="68" t="inlineStr">
        <is>
          <t>Lobster (local)</t>
        </is>
      </c>
      <c r="E16" s="75" t="n">
        <v>2340</v>
      </c>
      <c r="F16" s="67" t="inlineStr">
        <is>
          <t>Kg</t>
        </is>
      </c>
      <c r="G16" s="76" t="n">
        <v>2340</v>
      </c>
      <c r="H16" s="75" t="n">
        <v>0.75</v>
      </c>
      <c r="I16" s="67" t="inlineStr">
        <is>
          <t>Kg</t>
        </is>
      </c>
      <c r="J16" s="76" t="n">
        <v>0.75</v>
      </c>
      <c r="K16" s="68" t="inlineStr">
        <is>
          <t>Same market</t>
        </is>
      </c>
      <c r="L16" s="68" t="n"/>
    </row>
    <row r="17" ht="19.5" customHeight="1" s="45">
      <c r="B17" s="67" t="inlineStr">
        <is>
          <t>M5-C-03</t>
        </is>
      </c>
      <c r="C17" s="67" t="inlineStr">
        <is>
          <t>M5</t>
        </is>
      </c>
      <c r="D17" s="68" t="inlineStr">
        <is>
          <t>Kakra (crab)</t>
        </is>
      </c>
      <c r="E17" s="75" t="n">
        <v>565</v>
      </c>
      <c r="F17" s="67" t="inlineStr">
        <is>
          <t>Kg</t>
        </is>
      </c>
      <c r="G17" s="76" t="n">
        <v>565</v>
      </c>
      <c r="H17" s="75" t="n">
        <v>1.5</v>
      </c>
      <c r="I17" s="67" t="inlineStr">
        <is>
          <t>Kg</t>
        </is>
      </c>
      <c r="J17" s="76" t="n">
        <v>1.5</v>
      </c>
      <c r="K17" s="68" t="inlineStr">
        <is>
          <t>Same market</t>
        </is>
      </c>
      <c r="L17" s="68" t="n"/>
    </row>
    <row r="18" ht="19.5" customHeight="1" s="45">
      <c r="B18" s="67" t="inlineStr">
        <is>
          <t>M5-C-04</t>
        </is>
      </c>
      <c r="C18" s="67" t="inlineStr">
        <is>
          <t>M5</t>
        </is>
      </c>
      <c r="D18" s="68" t="inlineStr">
        <is>
          <t>Datina</t>
        </is>
      </c>
      <c r="E18" s="75" t="n">
        <v>430</v>
      </c>
      <c r="F18" s="67" t="inlineStr">
        <is>
          <t>Kg</t>
        </is>
      </c>
      <c r="G18" s="76" t="n">
        <v>430</v>
      </c>
      <c r="H18" s="75" t="n">
        <v>1</v>
      </c>
      <c r="I18" s="67" t="inlineStr">
        <is>
          <t>Kg</t>
        </is>
      </c>
      <c r="J18" s="76" t="n">
        <v>1</v>
      </c>
      <c r="K18" s="68" t="inlineStr">
        <is>
          <t>Same market</t>
        </is>
      </c>
      <c r="L18" s="68" t="n"/>
    </row>
    <row r="19" ht="19.5" customHeight="1" s="45">
      <c r="B19" s="67" t="inlineStr">
        <is>
          <t>M5-C-05</t>
        </is>
      </c>
      <c r="C19" s="67" t="inlineStr">
        <is>
          <t>M5</t>
        </is>
      </c>
      <c r="D19" s="68" t="inlineStr">
        <is>
          <t>Bagda chingri</t>
        </is>
      </c>
      <c r="E19" s="75" t="n">
        <v>1040</v>
      </c>
      <c r="F19" s="67" t="inlineStr">
        <is>
          <t>Kg</t>
        </is>
      </c>
      <c r="G19" s="76" t="n">
        <v>1040</v>
      </c>
      <c r="H19" s="75" t="n">
        <v>0.5</v>
      </c>
      <c r="I19" s="67" t="inlineStr">
        <is>
          <t>Kg</t>
        </is>
      </c>
      <c r="J19" s="76" t="n">
        <v>0.5</v>
      </c>
      <c r="K19" s="68" t="inlineStr">
        <is>
          <t>Same market</t>
        </is>
      </c>
      <c r="L19" s="68" t="n"/>
    </row>
    <row r="20" ht="19.5" customHeight="1" s="45">
      <c r="B20" s="67" t="inlineStr">
        <is>
          <t>M5-C-05</t>
        </is>
      </c>
      <c r="C20" s="67" t="inlineStr">
        <is>
          <t>M5</t>
        </is>
      </c>
      <c r="D20" s="68" t="inlineStr">
        <is>
          <t>Faisya</t>
        </is>
      </c>
      <c r="E20" s="75" t="n">
        <v>390</v>
      </c>
      <c r="F20" s="67" t="inlineStr">
        <is>
          <t>Kg</t>
        </is>
      </c>
      <c r="G20" s="76" t="n">
        <v>390</v>
      </c>
      <c r="H20" s="75" t="n">
        <v>0.25</v>
      </c>
      <c r="I20" s="67" t="inlineStr">
        <is>
          <t>Kg</t>
        </is>
      </c>
      <c r="J20" s="76" t="n">
        <v>0.25</v>
      </c>
      <c r="K20" s="68" t="inlineStr">
        <is>
          <t>Same market</t>
        </is>
      </c>
      <c r="L20" s="68" t="n"/>
    </row>
    <row r="21" ht="19.5" customHeight="1" s="45">
      <c r="B21" s="67" t="inlineStr">
        <is>
          <t>M6-C-01</t>
        </is>
      </c>
      <c r="C21" s="67" t="inlineStr">
        <is>
          <t>M6</t>
        </is>
      </c>
      <c r="D21" s="68" t="inlineStr">
        <is>
          <t>Bagda chingri</t>
        </is>
      </c>
      <c r="E21" s="75" t="n">
        <v>815</v>
      </c>
      <c r="F21" s="67" t="inlineStr">
        <is>
          <t>Kg</t>
        </is>
      </c>
      <c r="G21" s="76" t="n">
        <v>815</v>
      </c>
      <c r="H21" s="75" t="n">
        <v>1.5</v>
      </c>
      <c r="I21" s="67" t="inlineStr">
        <is>
          <t>Kg</t>
        </is>
      </c>
      <c r="J21" s="76" t="n">
        <v>1.5</v>
      </c>
      <c r="K21" s="68" t="inlineStr">
        <is>
          <t>Same market</t>
        </is>
      </c>
      <c r="L21" s="68" t="n"/>
    </row>
    <row r="22" ht="19.5" customHeight="1" s="45">
      <c r="B22" s="67" t="inlineStr">
        <is>
          <t>M6-C-04</t>
        </is>
      </c>
      <c r="C22" s="67" t="inlineStr">
        <is>
          <t>M6</t>
        </is>
      </c>
      <c r="D22" s="68" t="inlineStr">
        <is>
          <t>Lobster (local)</t>
        </is>
      </c>
      <c r="E22" s="75" t="n">
        <v>3260</v>
      </c>
      <c r="F22" s="67" t="inlineStr">
        <is>
          <t>Kg</t>
        </is>
      </c>
      <c r="G22" s="76" t="n">
        <v>3260</v>
      </c>
      <c r="H22" s="75" t="n">
        <v>1</v>
      </c>
      <c r="I22" s="67" t="inlineStr">
        <is>
          <t>Kg</t>
        </is>
      </c>
      <c r="J22" s="76" t="n">
        <v>1</v>
      </c>
      <c r="K22" s="68" t="inlineStr">
        <is>
          <t>Same market</t>
        </is>
      </c>
      <c r="L22" s="68" t="n"/>
    </row>
    <row r="23" ht="19.5" customHeight="1" s="45">
      <c r="B23" s="67" t="inlineStr">
        <is>
          <t>M6-C-04</t>
        </is>
      </c>
      <c r="C23" s="67" t="inlineStr">
        <is>
          <t>M6</t>
        </is>
      </c>
      <c r="D23" s="68" t="inlineStr">
        <is>
          <t>Chatka chingri</t>
        </is>
      </c>
      <c r="E23" s="75" t="n">
        <v>480</v>
      </c>
      <c r="F23" s="67" t="inlineStr">
        <is>
          <t>Kg</t>
        </is>
      </c>
      <c r="G23" s="76" t="n">
        <v>480</v>
      </c>
      <c r="H23" s="75" t="n">
        <v>1</v>
      </c>
      <c r="I23" s="67" t="inlineStr">
        <is>
          <t>Kg</t>
        </is>
      </c>
      <c r="J23" s="76" t="n">
        <v>1</v>
      </c>
      <c r="K23" s="68" t="inlineStr">
        <is>
          <t>Same market</t>
        </is>
      </c>
      <c r="L23" s="68" t="n"/>
    </row>
    <row r="24" ht="19.5" customHeight="1" s="45">
      <c r="B24" s="67" t="inlineStr">
        <is>
          <t>M6-C-05</t>
        </is>
      </c>
      <c r="C24" s="67" t="inlineStr">
        <is>
          <t>M6</t>
        </is>
      </c>
      <c r="D24" s="68" t="inlineStr">
        <is>
          <t>Datina</t>
        </is>
      </c>
      <c r="E24" s="75" t="n">
        <v>340</v>
      </c>
      <c r="F24" s="67" t="inlineStr">
        <is>
          <t>Kg</t>
        </is>
      </c>
      <c r="G24" s="76" t="n">
        <v>340</v>
      </c>
      <c r="H24" s="75" t="n">
        <v>0.75</v>
      </c>
      <c r="I24" s="67" t="inlineStr">
        <is>
          <t>Kg</t>
        </is>
      </c>
      <c r="J24" s="76" t="n">
        <v>0.75</v>
      </c>
      <c r="K24" s="68" t="inlineStr">
        <is>
          <t>Neighbourhood van</t>
        </is>
      </c>
      <c r="L24" s="68" t="n"/>
    </row>
    <row r="25" ht="19.5" customHeight="1" s="45">
      <c r="B25" s="67" t="n"/>
      <c r="C25" s="67" t="n"/>
      <c r="D25" s="68" t="n"/>
      <c r="E25" s="75" t="n"/>
      <c r="F25" s="67" t="n"/>
      <c r="G25" s="76" t="n"/>
      <c r="H25" s="75" t="n"/>
      <c r="I25" s="67" t="n"/>
      <c r="J25" s="76" t="n"/>
      <c r="K25" s="68" t="n"/>
      <c r="L25" s="68" t="n"/>
    </row>
    <row r="26" ht="19.5" customHeight="1" s="45">
      <c r="B26" s="67" t="n"/>
      <c r="C26" s="67" t="n"/>
      <c r="D26" s="68" t="n"/>
      <c r="E26" s="75" t="n"/>
      <c r="F26" s="67" t="n"/>
      <c r="G26" s="76" t="n"/>
      <c r="H26" s="75" t="n"/>
      <c r="I26" s="67" t="n"/>
      <c r="J26" s="76" t="n"/>
      <c r="K26" s="68" t="n"/>
      <c r="L26" s="68" t="n"/>
    </row>
    <row r="27" ht="19.5" customHeight="1" s="45">
      <c r="B27" s="67" t="n"/>
      <c r="C27" s="67" t="n"/>
      <c r="D27" s="68" t="n"/>
      <c r="E27" s="75" t="n"/>
      <c r="F27" s="67" t="n"/>
      <c r="G27" s="76" t="n"/>
      <c r="H27" s="75" t="n"/>
      <c r="I27" s="67" t="n"/>
      <c r="J27" s="76" t="n"/>
      <c r="K27" s="68" t="n"/>
      <c r="L27" s="68" t="n"/>
    </row>
    <row r="28" ht="19.5" customHeight="1" s="45">
      <c r="B28" s="67" t="n"/>
      <c r="C28" s="67" t="n"/>
      <c r="D28" s="68" t="n"/>
      <c r="E28" s="75" t="n"/>
      <c r="F28" s="67" t="n"/>
      <c r="G28" s="76" t="n"/>
      <c r="H28" s="75" t="n"/>
      <c r="I28" s="67" t="n"/>
      <c r="J28" s="76" t="n"/>
      <c r="K28" s="68" t="n"/>
      <c r="L28" s="68" t="n"/>
    </row>
    <row r="29" ht="19.5" customHeight="1" s="45">
      <c r="B29" s="67" t="n"/>
      <c r="C29" s="67" t="n"/>
      <c r="D29" s="68" t="n"/>
      <c r="E29" s="75" t="n"/>
      <c r="F29" s="67" t="n"/>
      <c r="G29" s="76" t="n"/>
      <c r="H29" s="75" t="n"/>
      <c r="I29" s="67" t="n"/>
      <c r="J29" s="76" t="n"/>
      <c r="K29" s="68" t="n"/>
      <c r="L29" s="68" t="n"/>
    </row>
    <row r="30" ht="19.5" customHeight="1" s="45">
      <c r="B30" s="67" t="n"/>
      <c r="C30" s="67" t="n"/>
      <c r="D30" s="68" t="n"/>
      <c r="E30" s="75" t="n"/>
      <c r="F30" s="67" t="n"/>
      <c r="G30" s="76" t="n"/>
      <c r="H30" s="75" t="n"/>
      <c r="I30" s="67" t="n"/>
      <c r="J30" s="76" t="n"/>
      <c r="K30" s="68" t="n"/>
      <c r="L30" s="68" t="n"/>
    </row>
    <row r="31" ht="19.5" customHeight="1" s="45">
      <c r="B31" s="67" t="n"/>
      <c r="C31" s="67" t="n"/>
      <c r="D31" s="68" t="n"/>
      <c r="E31" s="75" t="n"/>
      <c r="F31" s="67" t="n"/>
      <c r="G31" s="76" t="n"/>
      <c r="H31" s="75" t="n"/>
      <c r="I31" s="67" t="n"/>
      <c r="J31" s="76" t="n"/>
      <c r="K31" s="68" t="n"/>
      <c r="L31" s="68" t="n"/>
    </row>
    <row r="32" ht="19.5" customHeight="1" s="45">
      <c r="B32" s="67" t="n"/>
      <c r="C32" s="67" t="n"/>
      <c r="D32" s="68" t="n"/>
      <c r="E32" s="75" t="n"/>
      <c r="F32" s="67" t="n"/>
      <c r="G32" s="76" t="n"/>
      <c r="H32" s="75" t="n"/>
      <c r="I32" s="67" t="n"/>
      <c r="J32" s="76" t="n"/>
      <c r="K32" s="68" t="n"/>
      <c r="L32" s="68" t="n"/>
    </row>
    <row r="33" ht="19.5" customHeight="1" s="45">
      <c r="B33" s="67" t="n"/>
      <c r="C33" s="67" t="n"/>
      <c r="D33" s="68" t="n"/>
      <c r="E33" s="75" t="n"/>
      <c r="F33" s="67" t="n"/>
      <c r="G33" s="76" t="n"/>
      <c r="H33" s="75" t="n"/>
      <c r="I33" s="67" t="n"/>
      <c r="J33" s="76" t="n"/>
      <c r="K33" s="68" t="n"/>
      <c r="L33" s="68" t="n"/>
    </row>
    <row r="34" ht="19.5" customHeight="1" s="45">
      <c r="B34" s="67" t="n"/>
      <c r="C34" s="67" t="n"/>
      <c r="D34" s="68" t="n"/>
      <c r="E34" s="75" t="n"/>
      <c r="F34" s="67" t="n"/>
      <c r="G34" s="76" t="n"/>
      <c r="H34" s="75" t="n"/>
      <c r="I34" s="67" t="n"/>
      <c r="J34" s="76" t="n"/>
      <c r="K34" s="68" t="n"/>
      <c r="L34" s="68" t="n"/>
    </row>
    <row r="35" ht="19.5" customHeight="1" s="45">
      <c r="B35" s="67" t="n"/>
      <c r="C35" s="67" t="n"/>
      <c r="D35" s="68" t="n"/>
      <c r="E35" s="75" t="n"/>
      <c r="F35" s="67" t="n"/>
      <c r="G35" s="76" t="n"/>
      <c r="H35" s="75" t="n"/>
      <c r="I35" s="67" t="n"/>
      <c r="J35" s="76" t="n"/>
      <c r="K35" s="68" t="n"/>
      <c r="L35" s="68" t="n"/>
    </row>
    <row r="36" ht="19.5" customHeight="1" s="45">
      <c r="B36" s="67" t="n"/>
      <c r="C36" s="67" t="n"/>
      <c r="D36" s="68" t="n"/>
      <c r="E36" s="75" t="n"/>
      <c r="F36" s="67" t="n"/>
      <c r="G36" s="76" t="n"/>
      <c r="H36" s="75" t="n"/>
      <c r="I36" s="67" t="n"/>
      <c r="J36" s="76" t="n"/>
      <c r="K36" s="68" t="n"/>
      <c r="L36" s="68" t="n"/>
    </row>
    <row r="37" ht="19.5" customHeight="1" s="45">
      <c r="B37" s="67" t="n"/>
      <c r="C37" s="67" t="n"/>
      <c r="D37" s="68" t="n"/>
      <c r="E37" s="75" t="n"/>
      <c r="F37" s="67" t="n"/>
      <c r="G37" s="76" t="n"/>
      <c r="H37" s="75" t="n"/>
      <c r="I37" s="67" t="n"/>
      <c r="J37" s="76" t="n"/>
      <c r="K37" s="68" t="n"/>
      <c r="L37" s="68" t="n"/>
    </row>
    <row r="38" ht="19.5" customHeight="1" s="45">
      <c r="B38" s="67" t="n"/>
      <c r="C38" s="67" t="n"/>
      <c r="D38" s="68" t="n"/>
      <c r="E38" s="75" t="n"/>
      <c r="F38" s="67" t="n"/>
      <c r="G38" s="76" t="n"/>
      <c r="H38" s="75" t="n"/>
      <c r="I38" s="67" t="n"/>
      <c r="J38" s="76" t="n"/>
      <c r="K38" s="68" t="n"/>
      <c r="L38" s="68" t="n"/>
    </row>
    <row r="39" ht="19.5" customHeight="1" s="45">
      <c r="B39" s="67" t="n"/>
      <c r="C39" s="67" t="n"/>
      <c r="D39" s="68" t="n"/>
      <c r="E39" s="75" t="n"/>
      <c r="F39" s="67" t="n"/>
      <c r="G39" s="76" t="n"/>
      <c r="H39" s="75" t="n"/>
      <c r="I39" s="67" t="n"/>
      <c r="J39" s="76" t="n"/>
      <c r="K39" s="68" t="n"/>
      <c r="L39" s="68" t="n"/>
    </row>
    <row r="40" ht="19.5" customHeight="1" s="45">
      <c r="B40" s="67" t="n"/>
      <c r="C40" s="67" t="n"/>
      <c r="D40" s="68" t="n"/>
      <c r="E40" s="75" t="n"/>
      <c r="F40" s="67" t="n"/>
      <c r="G40" s="76" t="n"/>
      <c r="H40" s="75" t="n"/>
      <c r="I40" s="67" t="n"/>
      <c r="J40" s="76" t="n"/>
      <c r="K40" s="68" t="n"/>
      <c r="L40" s="68" t="n"/>
    </row>
    <row r="41" ht="19.5" customHeight="1" s="45">
      <c r="B41" s="67" t="n"/>
      <c r="C41" s="67" t="n"/>
      <c r="D41" s="68" t="n"/>
      <c r="E41" s="75" t="n"/>
      <c r="F41" s="67" t="n"/>
      <c r="G41" s="76" t="n"/>
      <c r="H41" s="75" t="n"/>
      <c r="I41" s="67" t="n"/>
      <c r="J41" s="76" t="n"/>
      <c r="K41" s="68" t="n"/>
      <c r="L41" s="68" t="n"/>
    </row>
    <row r="42" ht="19.5" customHeight="1" s="45">
      <c r="B42" s="67" t="n"/>
      <c r="C42" s="67" t="n"/>
      <c r="D42" s="68" t="n"/>
      <c r="E42" s="75" t="n"/>
      <c r="F42" s="67" t="n"/>
      <c r="G42" s="76" t="n"/>
      <c r="H42" s="75" t="n"/>
      <c r="I42" s="67" t="n"/>
      <c r="J42" s="76" t="n"/>
      <c r="K42" s="68" t="n"/>
      <c r="L42" s="68" t="n"/>
    </row>
    <row r="43" ht="19.5" customHeight="1" s="45">
      <c r="B43" s="67" t="n"/>
      <c r="C43" s="67" t="n"/>
      <c r="D43" s="68" t="n"/>
      <c r="E43" s="75" t="n"/>
      <c r="F43" s="67" t="n"/>
      <c r="G43" s="76" t="n"/>
      <c r="H43" s="75" t="n"/>
      <c r="I43" s="67" t="n"/>
      <c r="J43" s="76" t="n"/>
      <c r="K43" s="68" t="n"/>
      <c r="L43" s="68" t="n"/>
    </row>
    <row r="44" ht="19.5" customHeight="1" s="45">
      <c r="B44" s="67" t="n"/>
      <c r="C44" s="67" t="n"/>
      <c r="D44" s="68" t="n"/>
      <c r="E44" s="75" t="n"/>
      <c r="F44" s="67" t="n"/>
      <c r="G44" s="76" t="n"/>
      <c r="H44" s="75" t="n"/>
      <c r="I44" s="67" t="n"/>
      <c r="J44" s="76" t="n"/>
      <c r="K44" s="68" t="n"/>
      <c r="L44" s="68" t="n"/>
    </row>
    <row r="45" ht="19.5" customHeight="1" s="45">
      <c r="B45" s="67" t="n"/>
      <c r="C45" s="67" t="n"/>
      <c r="D45" s="68" t="n"/>
      <c r="E45" s="75" t="n"/>
      <c r="F45" s="67" t="n"/>
      <c r="G45" s="76" t="n"/>
      <c r="H45" s="75" t="n"/>
      <c r="I45" s="67" t="n"/>
      <c r="J45" s="76" t="n"/>
      <c r="K45" s="68" t="n"/>
      <c r="L45" s="68" t="n"/>
    </row>
    <row r="46" ht="19.5" customHeight="1" s="45">
      <c r="B46" s="67" t="n"/>
      <c r="C46" s="67" t="n"/>
      <c r="D46" s="68" t="n"/>
      <c r="E46" s="75" t="n"/>
      <c r="F46" s="67" t="n"/>
      <c r="G46" s="76" t="n"/>
      <c r="H46" s="75" t="n"/>
      <c r="I46" s="67" t="n"/>
      <c r="J46" s="76" t="n"/>
      <c r="K46" s="68" t="n"/>
      <c r="L46" s="68" t="n"/>
    </row>
    <row r="47" ht="19.5" customHeight="1" s="45">
      <c r="B47" s="67" t="n"/>
      <c r="C47" s="67" t="n"/>
      <c r="D47" s="68" t="n"/>
      <c r="E47" s="75" t="n"/>
      <c r="F47" s="67" t="n"/>
      <c r="G47" s="76" t="n"/>
      <c r="H47" s="75" t="n"/>
      <c r="I47" s="67" t="n"/>
      <c r="J47" s="76" t="n"/>
      <c r="K47" s="68" t="n"/>
      <c r="L47" s="68" t="n"/>
    </row>
    <row r="48" ht="19.5" customHeight="1" s="45">
      <c r="B48" s="67" t="n"/>
      <c r="C48" s="67" t="n"/>
      <c r="D48" s="68" t="n"/>
      <c r="E48" s="75" t="n"/>
      <c r="F48" s="67" t="n"/>
      <c r="G48" s="76" t="n"/>
      <c r="H48" s="75" t="n"/>
      <c r="I48" s="67" t="n"/>
      <c r="J48" s="76" t="n"/>
      <c r="K48" s="68" t="n"/>
      <c r="L48" s="68" t="n"/>
    </row>
    <row r="49" ht="19.5" customHeight="1" s="45">
      <c r="B49" s="67" t="n"/>
      <c r="C49" s="67" t="n"/>
      <c r="D49" s="68" t="n"/>
      <c r="E49" s="75" t="n"/>
      <c r="F49" s="67" t="n"/>
      <c r="G49" s="76" t="n"/>
      <c r="H49" s="75" t="n"/>
      <c r="I49" s="67" t="n"/>
      <c r="J49" s="76" t="n"/>
      <c r="K49" s="68" t="n"/>
      <c r="L49" s="68" t="n"/>
    </row>
    <row r="50" ht="19.5" customHeight="1" s="45">
      <c r="B50" s="67" t="n"/>
      <c r="C50" s="67" t="n"/>
      <c r="D50" s="68" t="n"/>
      <c r="E50" s="75" t="n"/>
      <c r="F50" s="67" t="n"/>
      <c r="G50" s="76" t="n"/>
      <c r="H50" s="75" t="n"/>
      <c r="I50" s="67" t="n"/>
      <c r="J50" s="76" t="n"/>
      <c r="K50" s="68" t="n"/>
      <c r="L50" s="68" t="n"/>
    </row>
    <row r="51" ht="19.5" customHeight="1" s="45">
      <c r="B51" s="67" t="n"/>
      <c r="C51" s="67" t="n"/>
      <c r="D51" s="68" t="n"/>
      <c r="E51" s="75" t="n"/>
      <c r="F51" s="67" t="n"/>
      <c r="G51" s="76" t="n"/>
      <c r="H51" s="75" t="n"/>
      <c r="I51" s="67" t="n"/>
      <c r="J51" s="76" t="n"/>
      <c r="K51" s="68" t="n"/>
      <c r="L51" s="68" t="n"/>
    </row>
    <row r="52" ht="19.5" customHeight="1" s="45">
      <c r="B52" s="67" t="n"/>
      <c r="C52" s="67" t="n"/>
      <c r="D52" s="68" t="n"/>
      <c r="E52" s="75" t="n"/>
      <c r="F52" s="67" t="n"/>
      <c r="G52" s="76" t="n"/>
      <c r="H52" s="75" t="n"/>
      <c r="I52" s="67" t="n"/>
      <c r="J52" s="76" t="n"/>
      <c r="K52" s="68" t="n"/>
      <c r="L52" s="68" t="n"/>
    </row>
    <row r="53" ht="19.5" customHeight="1" s="45">
      <c r="B53" s="67" t="n"/>
      <c r="C53" s="67" t="n"/>
      <c r="D53" s="68" t="n"/>
      <c r="E53" s="75" t="n"/>
      <c r="F53" s="67" t="n"/>
      <c r="G53" s="76" t="n"/>
      <c r="H53" s="75" t="n"/>
      <c r="I53" s="67" t="n"/>
      <c r="J53" s="76" t="n"/>
      <c r="K53" s="68" t="n"/>
      <c r="L53" s="68" t="n"/>
    </row>
    <row r="54" ht="19.5" customHeight="1" s="45">
      <c r="B54" s="67" t="n"/>
      <c r="C54" s="67" t="n"/>
      <c r="D54" s="68" t="n"/>
      <c r="E54" s="75" t="n"/>
      <c r="F54" s="67" t="n"/>
      <c r="G54" s="76" t="n"/>
      <c r="H54" s="75" t="n"/>
      <c r="I54" s="67" t="n"/>
      <c r="J54" s="76" t="n"/>
      <c r="K54" s="68" t="n"/>
      <c r="L54" s="68" t="n"/>
    </row>
    <row r="55" ht="19.5" customHeight="1" s="45">
      <c r="B55" s="67" t="n"/>
      <c r="C55" s="67" t="n"/>
      <c r="D55" s="68" t="n"/>
      <c r="E55" s="75" t="n"/>
      <c r="F55" s="67" t="n"/>
      <c r="G55" s="76" t="n"/>
      <c r="H55" s="75" t="n"/>
      <c r="I55" s="67" t="n"/>
      <c r="J55" s="76" t="n"/>
      <c r="K55" s="68" t="n"/>
      <c r="L55" s="68" t="n"/>
    </row>
    <row r="56" ht="19.5" customHeight="1" s="45">
      <c r="B56" s="67" t="n"/>
      <c r="C56" s="67" t="n"/>
      <c r="D56" s="68" t="n"/>
      <c r="E56" s="75" t="n"/>
      <c r="F56" s="67" t="n"/>
      <c r="G56" s="76" t="n"/>
      <c r="H56" s="75" t="n"/>
      <c r="I56" s="67" t="n"/>
      <c r="J56" s="76" t="n"/>
      <c r="K56" s="68" t="n"/>
      <c r="L56" s="68" t="n"/>
    </row>
    <row r="57" ht="19.5" customHeight="1" s="45">
      <c r="B57" s="67" t="n"/>
      <c r="C57" s="67" t="n"/>
      <c r="D57" s="68" t="n"/>
      <c r="E57" s="75" t="n"/>
      <c r="F57" s="67" t="n"/>
      <c r="G57" s="76" t="n"/>
      <c r="H57" s="75" t="n"/>
      <c r="I57" s="67" t="n"/>
      <c r="J57" s="76" t="n"/>
      <c r="K57" s="68" t="n"/>
      <c r="L57" s="68" t="n"/>
    </row>
    <row r="58" ht="19.5" customHeight="1" s="45">
      <c r="B58" s="67" t="n"/>
      <c r="C58" s="67" t="n"/>
      <c r="D58" s="68" t="n"/>
      <c r="E58" s="75" t="n"/>
      <c r="F58" s="67" t="n"/>
      <c r="G58" s="76" t="n"/>
      <c r="H58" s="75" t="n"/>
      <c r="I58" s="67" t="n"/>
      <c r="J58" s="76" t="n"/>
      <c r="K58" s="68" t="n"/>
      <c r="L58" s="68" t="n"/>
    </row>
    <row r="59" ht="19.5" customHeight="1" s="45">
      <c r="B59" s="67" t="n"/>
      <c r="C59" s="67" t="n"/>
      <c r="D59" s="68" t="n"/>
      <c r="E59" s="75" t="n"/>
      <c r="F59" s="67" t="n"/>
      <c r="G59" s="76" t="n"/>
      <c r="H59" s="75" t="n"/>
      <c r="I59" s="67" t="n"/>
      <c r="J59" s="76" t="n"/>
      <c r="K59" s="68" t="n"/>
      <c r="L59" s="68" t="n"/>
    </row>
    <row r="60" ht="19.5" customHeight="1" s="45">
      <c r="B60" s="67" t="n"/>
      <c r="C60" s="67" t="n"/>
      <c r="D60" s="68" t="n"/>
      <c r="E60" s="75" t="n"/>
      <c r="F60" s="67" t="n"/>
      <c r="G60" s="76" t="n"/>
      <c r="H60" s="75" t="n"/>
      <c r="I60" s="67" t="n"/>
      <c r="J60" s="76" t="n"/>
      <c r="K60" s="68" t="n"/>
      <c r="L60" s="68" t="n"/>
    </row>
    <row r="61" ht="19.5" customHeight="1" s="45">
      <c r="B61" s="67" t="n"/>
      <c r="C61" s="67" t="n"/>
      <c r="D61" s="68" t="n"/>
      <c r="E61" s="75" t="n"/>
      <c r="F61" s="67" t="n"/>
      <c r="G61" s="76" t="n"/>
      <c r="H61" s="75" t="n"/>
      <c r="I61" s="67" t="n"/>
      <c r="J61" s="76" t="n"/>
      <c r="K61" s="68" t="n"/>
      <c r="L61" s="68" t="n"/>
    </row>
    <row r="62" ht="19.5" customHeight="1" s="45">
      <c r="B62" s="67" t="n"/>
      <c r="C62" s="67" t="n"/>
      <c r="D62" s="68" t="n"/>
      <c r="E62" s="75" t="n"/>
      <c r="F62" s="67" t="n"/>
      <c r="G62" s="76" t="n"/>
      <c r="H62" s="75" t="n"/>
      <c r="I62" s="67" t="n"/>
      <c r="J62" s="76" t="n"/>
      <c r="K62" s="68" t="n"/>
      <c r="L62" s="68" t="n"/>
    </row>
    <row r="63" ht="19.5" customHeight="1" s="45">
      <c r="B63" s="67" t="n"/>
      <c r="C63" s="67" t="n"/>
      <c r="D63" s="68" t="n"/>
      <c r="E63" s="75" t="n"/>
      <c r="F63" s="67" t="n"/>
      <c r="G63" s="76" t="n"/>
      <c r="H63" s="75" t="n"/>
      <c r="I63" s="67" t="n"/>
      <c r="J63" s="76" t="n"/>
      <c r="K63" s="68" t="n"/>
      <c r="L63" s="68" t="n"/>
    </row>
    <row r="64" ht="19.5" customHeight="1" s="45">
      <c r="B64" s="67" t="n"/>
      <c r="C64" s="67" t="n"/>
      <c r="D64" s="68" t="n"/>
      <c r="E64" s="75" t="n"/>
      <c r="F64" s="67" t="n"/>
      <c r="G64" s="76" t="n"/>
      <c r="H64" s="75" t="n"/>
      <c r="I64" s="67" t="n"/>
      <c r="J64" s="76" t="n"/>
      <c r="K64" s="68" t="n"/>
      <c r="L64" s="68" t="n"/>
    </row>
    <row r="65" ht="19.5" customHeight="1" s="45">
      <c r="B65" s="67" t="n"/>
      <c r="C65" s="67" t="n"/>
      <c r="D65" s="68" t="n"/>
      <c r="E65" s="75" t="n"/>
      <c r="F65" s="67" t="n"/>
      <c r="G65" s="76" t="n"/>
      <c r="H65" s="75" t="n"/>
      <c r="I65" s="67" t="n"/>
      <c r="J65" s="76" t="n"/>
      <c r="K65" s="68" t="n"/>
      <c r="L65" s="68" t="n"/>
    </row>
    <row r="66" ht="19.5" customHeight="1" s="45">
      <c r="B66" s="67" t="n"/>
      <c r="C66" s="67" t="n"/>
      <c r="D66" s="68" t="n"/>
      <c r="E66" s="75" t="n"/>
      <c r="F66" s="67" t="n"/>
      <c r="G66" s="76" t="n"/>
      <c r="H66" s="75" t="n"/>
      <c r="I66" s="67" t="n"/>
      <c r="J66" s="76" t="n"/>
      <c r="K66" s="68" t="n"/>
      <c r="L66" s="68" t="n"/>
    </row>
    <row r="67" ht="19.5" customHeight="1" s="45">
      <c r="B67" s="67" t="n"/>
      <c r="C67" s="67" t="n"/>
      <c r="D67" s="68" t="n"/>
      <c r="E67" s="75" t="n"/>
      <c r="F67" s="67" t="n"/>
      <c r="G67" s="76" t="n"/>
      <c r="H67" s="75" t="n"/>
      <c r="I67" s="67" t="n"/>
      <c r="J67" s="76" t="n"/>
      <c r="K67" s="68" t="n"/>
      <c r="L67" s="68" t="n"/>
    </row>
    <row r="68" ht="19.5" customHeight="1" s="45">
      <c r="B68" s="67" t="n"/>
      <c r="C68" s="67" t="n"/>
      <c r="D68" s="68" t="n"/>
      <c r="E68" s="75" t="n"/>
      <c r="F68" s="67" t="n"/>
      <c r="G68" s="76" t="n"/>
      <c r="H68" s="75" t="n"/>
      <c r="I68" s="67" t="n"/>
      <c r="J68" s="76" t="n"/>
      <c r="K68" s="68" t="n"/>
      <c r="L68" s="68" t="n"/>
    </row>
    <row r="69" ht="19.5" customHeight="1" s="45">
      <c r="B69" s="67" t="n"/>
      <c r="C69" s="67" t="n"/>
      <c r="D69" s="68" t="n"/>
      <c r="E69" s="75" t="n"/>
      <c r="F69" s="67" t="n"/>
      <c r="G69" s="76" t="n"/>
      <c r="H69" s="75" t="n"/>
      <c r="I69" s="67" t="n"/>
      <c r="J69" s="76" t="n"/>
      <c r="K69" s="68" t="n"/>
      <c r="L69" s="68" t="n"/>
    </row>
    <row r="70" ht="19.5" customHeight="1" s="45">
      <c r="B70" s="67" t="n"/>
      <c r="C70" s="67" t="n"/>
      <c r="D70" s="68" t="n"/>
      <c r="E70" s="75" t="n"/>
      <c r="F70" s="67" t="n"/>
      <c r="G70" s="76" t="n"/>
      <c r="H70" s="75" t="n"/>
      <c r="I70" s="67" t="n"/>
      <c r="J70" s="76" t="n"/>
      <c r="K70" s="68" t="n"/>
      <c r="L70" s="68" t="n"/>
    </row>
    <row r="71" ht="19.5" customHeight="1" s="45">
      <c r="B71" s="67" t="n"/>
      <c r="C71" s="67" t="n"/>
      <c r="D71" s="68" t="n"/>
      <c r="E71" s="75" t="n"/>
      <c r="F71" s="67" t="n"/>
      <c r="G71" s="76" t="n"/>
      <c r="H71" s="75" t="n"/>
      <c r="I71" s="67" t="n"/>
      <c r="J71" s="76" t="n"/>
      <c r="K71" s="68" t="n"/>
      <c r="L71" s="68" t="n"/>
    </row>
    <row r="72" ht="19.5" customHeight="1" s="45">
      <c r="B72" s="67" t="n"/>
      <c r="C72" s="67" t="n"/>
      <c r="D72" s="68" t="n"/>
      <c r="E72" s="75" t="n"/>
      <c r="F72" s="67" t="n"/>
      <c r="G72" s="76" t="n"/>
      <c r="H72" s="75" t="n"/>
      <c r="I72" s="67" t="n"/>
      <c r="J72" s="76" t="n"/>
      <c r="K72" s="68" t="n"/>
      <c r="L72" s="68" t="n"/>
    </row>
    <row r="73" ht="19.5" customHeight="1" s="45">
      <c r="B73" s="67" t="n"/>
      <c r="C73" s="67" t="n"/>
      <c r="D73" s="68" t="n"/>
      <c r="E73" s="75" t="n"/>
      <c r="F73" s="67" t="n"/>
      <c r="G73" s="76" t="n"/>
      <c r="H73" s="75" t="n"/>
      <c r="I73" s="67" t="n"/>
      <c r="J73" s="76" t="n"/>
      <c r="K73" s="68" t="n"/>
      <c r="L73" s="68" t="n"/>
    </row>
    <row r="74" ht="19.5" customHeight="1" s="45">
      <c r="B74" s="67" t="n"/>
      <c r="C74" s="67" t="n"/>
      <c r="D74" s="68" t="n"/>
      <c r="E74" s="75" t="n"/>
      <c r="F74" s="67" t="n"/>
      <c r="G74" s="76" t="n"/>
      <c r="H74" s="75" t="n"/>
      <c r="I74" s="67" t="n"/>
      <c r="J74" s="76" t="n"/>
      <c r="K74" s="68" t="n"/>
      <c r="L74" s="68" t="n"/>
    </row>
    <row r="75" ht="19.5" customHeight="1" s="45">
      <c r="B75" s="67" t="n"/>
      <c r="C75" s="67" t="n"/>
      <c r="D75" s="68" t="n"/>
      <c r="E75" s="75" t="n"/>
      <c r="F75" s="67" t="n"/>
      <c r="G75" s="76" t="n"/>
      <c r="H75" s="75" t="n"/>
      <c r="I75" s="67" t="n"/>
      <c r="J75" s="76" t="n"/>
      <c r="K75" s="68" t="n"/>
      <c r="L75" s="68" t="n"/>
    </row>
    <row r="76" ht="19.5" customHeight="1" s="45">
      <c r="B76" s="67" t="n"/>
      <c r="C76" s="67" t="n"/>
      <c r="D76" s="68" t="n"/>
      <c r="E76" s="75" t="n"/>
      <c r="F76" s="67" t="n"/>
      <c r="G76" s="76" t="n"/>
      <c r="H76" s="75" t="n"/>
      <c r="I76" s="67" t="n"/>
      <c r="J76" s="76" t="n"/>
      <c r="K76" s="68" t="n"/>
      <c r="L76" s="68" t="n"/>
    </row>
    <row r="77" ht="19.5" customHeight="1" s="45">
      <c r="B77" s="67" t="n"/>
      <c r="C77" s="67" t="n"/>
      <c r="D77" s="68" t="n"/>
      <c r="E77" s="75" t="n"/>
      <c r="F77" s="67" t="n"/>
      <c r="G77" s="76" t="n"/>
      <c r="H77" s="75" t="n"/>
      <c r="I77" s="67" t="n"/>
      <c r="J77" s="76" t="n"/>
      <c r="K77" s="68" t="n"/>
      <c r="L77" s="68" t="n"/>
    </row>
    <row r="78" ht="19.5" customHeight="1" s="45">
      <c r="B78" s="67" t="n"/>
      <c r="C78" s="67" t="n"/>
      <c r="D78" s="68" t="n"/>
      <c r="E78" s="75" t="n"/>
      <c r="F78" s="67" t="n"/>
      <c r="G78" s="76" t="n"/>
      <c r="H78" s="75" t="n"/>
      <c r="I78" s="67" t="n"/>
      <c r="J78" s="76" t="n"/>
      <c r="K78" s="68" t="n"/>
      <c r="L78" s="68" t="n"/>
    </row>
    <row r="79" ht="19.5" customHeight="1" s="45">
      <c r="B79" s="67" t="n"/>
      <c r="C79" s="67" t="n"/>
      <c r="D79" s="68" t="n"/>
      <c r="E79" s="75" t="n"/>
      <c r="F79" s="67" t="n"/>
      <c r="G79" s="76" t="n"/>
      <c r="H79" s="75" t="n"/>
      <c r="I79" s="67" t="n"/>
      <c r="J79" s="76" t="n"/>
      <c r="K79" s="68" t="n"/>
      <c r="L79" s="68" t="n"/>
    </row>
    <row r="80" ht="19.5" customHeight="1" s="45">
      <c r="B80" s="67" t="n"/>
      <c r="C80" s="67" t="n"/>
      <c r="D80" s="68" t="n"/>
      <c r="E80" s="75" t="n"/>
      <c r="F80" s="67" t="n"/>
      <c r="G80" s="76" t="n"/>
      <c r="H80" s="75" t="n"/>
      <c r="I80" s="67" t="n"/>
      <c r="J80" s="76" t="n"/>
      <c r="K80" s="68" t="n"/>
      <c r="L80" s="68" t="n"/>
    </row>
    <row r="81" ht="19.5" customHeight="1" s="45">
      <c r="B81" s="67" t="n"/>
      <c r="C81" s="67" t="n"/>
      <c r="D81" s="68" t="n"/>
      <c r="E81" s="75" t="n"/>
      <c r="F81" s="67" t="n"/>
      <c r="G81" s="76" t="n"/>
      <c r="H81" s="75" t="n"/>
      <c r="I81" s="67" t="n"/>
      <c r="J81" s="76" t="n"/>
      <c r="K81" s="68" t="n"/>
      <c r="L81" s="68" t="n"/>
    </row>
    <row r="82" ht="19.5" customHeight="1" s="45">
      <c r="B82" s="67" t="n"/>
      <c r="C82" s="67" t="n"/>
      <c r="D82" s="68" t="n"/>
      <c r="E82" s="75" t="n"/>
      <c r="F82" s="67" t="n"/>
      <c r="G82" s="76" t="n"/>
      <c r="H82" s="75" t="n"/>
      <c r="I82" s="67" t="n"/>
      <c r="J82" s="76" t="n"/>
      <c r="K82" s="68" t="n"/>
      <c r="L82" s="68" t="n"/>
    </row>
    <row r="83" ht="19.5" customHeight="1" s="45">
      <c r="B83" s="67" t="n"/>
      <c r="C83" s="67" t="n"/>
      <c r="D83" s="68" t="n"/>
      <c r="E83" s="75" t="n"/>
      <c r="F83" s="67" t="n"/>
      <c r="G83" s="76" t="n"/>
      <c r="H83" s="75" t="n"/>
      <c r="I83" s="67" t="n"/>
      <c r="J83" s="76" t="n"/>
      <c r="K83" s="68" t="n"/>
      <c r="L83" s="68" t="n"/>
    </row>
    <row r="84" ht="19.5" customHeight="1" s="45">
      <c r="B84" s="67" t="n"/>
      <c r="C84" s="67" t="n"/>
      <c r="D84" s="68" t="n"/>
      <c r="E84" s="75" t="n"/>
      <c r="F84" s="67" t="n"/>
      <c r="G84" s="76" t="n"/>
      <c r="H84" s="75" t="n"/>
      <c r="I84" s="67" t="n"/>
      <c r="J84" s="76" t="n"/>
      <c r="K84" s="68" t="n"/>
      <c r="L84" s="68" t="n"/>
    </row>
    <row r="85" ht="19.5" customHeight="1" s="45">
      <c r="B85" s="67" t="n"/>
      <c r="C85" s="67" t="n"/>
      <c r="D85" s="68" t="n"/>
      <c r="E85" s="75" t="n"/>
      <c r="F85" s="67" t="n"/>
      <c r="G85" s="76" t="n"/>
      <c r="H85" s="75" t="n"/>
      <c r="I85" s="67" t="n"/>
      <c r="J85" s="76" t="n"/>
      <c r="K85" s="68" t="n"/>
      <c r="L85" s="68" t="n"/>
    </row>
    <row r="86" ht="19.5" customHeight="1" s="45">
      <c r="B86" s="67" t="n"/>
      <c r="C86" s="67" t="n"/>
      <c r="D86" s="68" t="n"/>
      <c r="E86" s="75" t="n"/>
      <c r="F86" s="67" t="n"/>
      <c r="G86" s="76" t="n"/>
      <c r="H86" s="75" t="n"/>
      <c r="I86" s="67" t="n"/>
      <c r="J86" s="76" t="n"/>
      <c r="K86" s="68" t="n"/>
      <c r="L86" s="68" t="n"/>
    </row>
    <row r="87" ht="19.5" customHeight="1" s="45">
      <c r="B87" s="67" t="n"/>
      <c r="C87" s="67" t="n"/>
      <c r="D87" s="68" t="n"/>
      <c r="E87" s="75" t="n"/>
      <c r="F87" s="67" t="n"/>
      <c r="G87" s="76" t="n"/>
      <c r="H87" s="75" t="n"/>
      <c r="I87" s="67" t="n"/>
      <c r="J87" s="76" t="n"/>
      <c r="K87" s="68" t="n"/>
      <c r="L87" s="68" t="n"/>
    </row>
    <row r="88" ht="19.5" customHeight="1" s="45">
      <c r="B88" s="67" t="n"/>
      <c r="C88" s="67" t="n"/>
      <c r="D88" s="68" t="n"/>
      <c r="E88" s="75" t="n"/>
      <c r="F88" s="67" t="n"/>
      <c r="G88" s="76" t="n"/>
      <c r="H88" s="75" t="n"/>
      <c r="I88" s="67" t="n"/>
      <c r="J88" s="76" t="n"/>
      <c r="K88" s="68" t="n"/>
      <c r="L88" s="68" t="n"/>
    </row>
    <row r="89" ht="19.5" customHeight="1" s="45">
      <c r="B89" s="67" t="n"/>
      <c r="C89" s="67" t="n"/>
      <c r="D89" s="68" t="n"/>
      <c r="E89" s="75" t="n"/>
      <c r="F89" s="67" t="n"/>
      <c r="G89" s="76" t="n"/>
      <c r="H89" s="75" t="n"/>
      <c r="I89" s="67" t="n"/>
      <c r="J89" s="76" t="n"/>
      <c r="K89" s="68" t="n"/>
      <c r="L89" s="68" t="n"/>
    </row>
    <row r="90" ht="19.5" customHeight="1" s="45">
      <c r="B90" s="67" t="n"/>
      <c r="C90" s="67" t="n"/>
      <c r="D90" s="68" t="n"/>
      <c r="E90" s="75" t="n"/>
      <c r="F90" s="67" t="n"/>
      <c r="G90" s="76" t="n"/>
      <c r="H90" s="75" t="n"/>
      <c r="I90" s="67" t="n"/>
      <c r="J90" s="76" t="n"/>
      <c r="K90" s="68" t="n"/>
      <c r="L90" s="68" t="n"/>
    </row>
    <row r="91" ht="19.5" customHeight="1" s="45">
      <c r="B91" s="67" t="n"/>
      <c r="C91" s="67" t="n"/>
      <c r="D91" s="68" t="n"/>
      <c r="E91" s="75" t="n"/>
      <c r="F91" s="67" t="n"/>
      <c r="G91" s="76" t="n"/>
      <c r="H91" s="75" t="n"/>
      <c r="I91" s="67" t="n"/>
      <c r="J91" s="76" t="n"/>
      <c r="K91" s="68" t="n"/>
      <c r="L91" s="68" t="n"/>
    </row>
    <row r="92" ht="19.5" customHeight="1" s="45">
      <c r="B92" s="67" t="n"/>
      <c r="C92" s="67" t="n"/>
      <c r="D92" s="68" t="n"/>
      <c r="E92" s="75" t="n"/>
      <c r="F92" s="67" t="n"/>
      <c r="G92" s="76" t="n"/>
      <c r="H92" s="75" t="n"/>
      <c r="I92" s="67" t="n"/>
      <c r="J92" s="76" t="n"/>
      <c r="K92" s="68" t="n"/>
      <c r="L92" s="68" t="n"/>
    </row>
    <row r="93" ht="19.5" customHeight="1" s="45">
      <c r="B93" s="67" t="n"/>
      <c r="C93" s="67" t="n"/>
      <c r="D93" s="68" t="n"/>
      <c r="E93" s="75" t="n"/>
      <c r="F93" s="67" t="n"/>
      <c r="G93" s="76" t="n"/>
      <c r="H93" s="75" t="n"/>
      <c r="I93" s="67" t="n"/>
      <c r="J93" s="76" t="n"/>
      <c r="K93" s="68" t="n"/>
      <c r="L93" s="68" t="n"/>
    </row>
    <row r="94" ht="19.5" customHeight="1" s="45">
      <c r="B94" s="67" t="n"/>
      <c r="C94" s="67" t="n"/>
      <c r="D94" s="68" t="n"/>
      <c r="E94" s="75" t="n"/>
      <c r="F94" s="67" t="n"/>
      <c r="G94" s="76" t="n"/>
      <c r="H94" s="75" t="n"/>
      <c r="I94" s="67" t="n"/>
      <c r="J94" s="76" t="n"/>
      <c r="K94" s="68" t="n"/>
      <c r="L94" s="68" t="n"/>
    </row>
    <row r="95" ht="19.5" customHeight="1" s="45">
      <c r="B95" s="67" t="n"/>
      <c r="C95" s="67" t="n"/>
      <c r="D95" s="68" t="n"/>
      <c r="E95" s="75" t="n"/>
      <c r="F95" s="67" t="n"/>
      <c r="G95" s="76" t="n"/>
      <c r="H95" s="75" t="n"/>
      <c r="I95" s="67" t="n"/>
      <c r="J95" s="76" t="n"/>
      <c r="K95" s="68" t="n"/>
      <c r="L95" s="68" t="n"/>
    </row>
    <row r="96" ht="19.5" customHeight="1" s="45">
      <c r="B96" s="67" t="n"/>
      <c r="C96" s="67" t="n"/>
      <c r="D96" s="68" t="n"/>
      <c r="E96" s="75" t="n"/>
      <c r="F96" s="67" t="n"/>
      <c r="G96" s="76" t="n"/>
      <c r="H96" s="75" t="n"/>
      <c r="I96" s="67" t="n"/>
      <c r="J96" s="76" t="n"/>
      <c r="K96" s="68" t="n"/>
      <c r="L96" s="68" t="n"/>
    </row>
    <row r="97" ht="19.5" customHeight="1" s="45">
      <c r="B97" s="67" t="n"/>
      <c r="C97" s="67" t="n"/>
      <c r="D97" s="68" t="n"/>
      <c r="E97" s="75" t="n"/>
      <c r="F97" s="67" t="n"/>
      <c r="G97" s="76" t="n"/>
      <c r="H97" s="75" t="n"/>
      <c r="I97" s="67" t="n"/>
      <c r="J97" s="76" t="n"/>
      <c r="K97" s="68" t="n"/>
      <c r="L97" s="68" t="n"/>
    </row>
    <row r="98" ht="19.5" customHeight="1" s="45">
      <c r="B98" s="67" t="n"/>
      <c r="C98" s="67" t="n"/>
      <c r="D98" s="68" t="n"/>
      <c r="E98" s="75" t="n"/>
      <c r="F98" s="67" t="n"/>
      <c r="G98" s="76" t="n"/>
      <c r="H98" s="75" t="n"/>
      <c r="I98" s="67" t="n"/>
      <c r="J98" s="76" t="n"/>
      <c r="K98" s="68" t="n"/>
      <c r="L98" s="68" t="n"/>
    </row>
    <row r="99" ht="19.5" customHeight="1" s="45">
      <c r="B99" s="67" t="n"/>
      <c r="C99" s="67" t="n"/>
      <c r="D99" s="68" t="n"/>
      <c r="E99" s="75" t="n"/>
      <c r="F99" s="67" t="n"/>
      <c r="G99" s="76" t="n"/>
      <c r="H99" s="75" t="n"/>
      <c r="I99" s="67" t="n"/>
      <c r="J99" s="76" t="n"/>
      <c r="K99" s="68" t="n"/>
      <c r="L99" s="68" t="n"/>
    </row>
    <row r="100" ht="19.5" customHeight="1" s="45">
      <c r="B100" s="67" t="n"/>
      <c r="C100" s="67" t="n"/>
      <c r="D100" s="68" t="n"/>
      <c r="E100" s="75" t="n"/>
      <c r="F100" s="67" t="n"/>
      <c r="G100" s="76" t="n"/>
      <c r="H100" s="75" t="n"/>
      <c r="I100" s="67" t="n"/>
      <c r="J100" s="76" t="n"/>
      <c r="K100" s="68" t="n"/>
      <c r="L100" s="68" t="n"/>
    </row>
    <row r="101" ht="19.5" customHeight="1" s="45">
      <c r="B101" s="67" t="n"/>
      <c r="C101" s="67" t="n"/>
      <c r="D101" s="68" t="n"/>
      <c r="E101" s="75" t="n"/>
      <c r="F101" s="67" t="n"/>
      <c r="G101" s="76" t="n"/>
      <c r="H101" s="75" t="n"/>
      <c r="I101" s="67" t="n"/>
      <c r="J101" s="76" t="n"/>
      <c r="K101" s="68" t="n"/>
      <c r="L101" s="68" t="n"/>
    </row>
    <row r="102" ht="19.5" customHeight="1" s="45">
      <c r="B102" s="67" t="n"/>
      <c r="C102" s="67" t="n"/>
      <c r="D102" s="68" t="n"/>
      <c r="E102" s="75" t="n"/>
      <c r="F102" s="67" t="n"/>
      <c r="G102" s="76" t="n"/>
      <c r="H102" s="75" t="n"/>
      <c r="I102" s="67" t="n"/>
      <c r="J102" s="76" t="n"/>
      <c r="K102" s="68" t="n"/>
      <c r="L102" s="68" t="n"/>
    </row>
    <row r="103" ht="19.5" customHeight="1" s="45">
      <c r="B103" s="67" t="n"/>
      <c r="C103" s="67" t="n"/>
      <c r="D103" s="68" t="n"/>
      <c r="E103" s="75" t="n"/>
      <c r="F103" s="67" t="n"/>
      <c r="G103" s="76" t="n"/>
      <c r="H103" s="75" t="n"/>
      <c r="I103" s="67" t="n"/>
      <c r="J103" s="76" t="n"/>
      <c r="K103" s="68" t="n"/>
      <c r="L103" s="68" t="n"/>
    </row>
    <row r="104" ht="19.5" customHeight="1" s="45">
      <c r="B104" s="67" t="n"/>
      <c r="C104" s="67" t="n"/>
      <c r="D104" s="68" t="n"/>
      <c r="E104" s="75" t="n"/>
      <c r="F104" s="67" t="n"/>
      <c r="G104" s="76" t="n"/>
      <c r="H104" s="75" t="n"/>
      <c r="I104" s="67" t="n"/>
      <c r="J104" s="76" t="n"/>
      <c r="K104" s="68" t="n"/>
      <c r="L104" s="68" t="n"/>
    </row>
  </sheetData>
  <autoFilter ref="B4:L104"/>
  <mergeCells count="1">
    <mergeCell ref="B2:L2"/>
  </mergeCells>
  <dataValidations count="3">
    <dataValidation sqref="E5:E104 H5:H104" showDropDown="0" showInputMessage="0" showErrorMessage="1" allowBlank="1" errorTitle="Out of range" error="Enter a number between 0 and 1000000." type="decimal" errorStyle="stop" operator="between">
      <formula1>0</formula1>
      <formula2>1000000</formula2>
    </dataValidation>
    <dataValidation sqref="C5:C104" showDropDown="0" showInputMessage="0" showErrorMessage="1" allowBlank="1" errorTitle="Invalid entry" error="Please choose one of the listed values." promptTitle="Dropdown" prompt="Select from list" type="list" errorStyle="stop" operator="between">
      <formula1>"M1,M2,M3,M4,M5,M6"</formula1>
      <formula2>0</formula2>
    </dataValidation>
    <dataValidation sqref="F5:F104 I5:I104" showDropDown="0" showInputMessage="0" showErrorMessage="1" allowBlank="1" errorTitle="Invalid entry" error="Please choose one of the listed values." promptTitle="Dropdown" prompt="Select from list" type="list" errorStyle="stop" operator="between">
      <formula1>"Maund,Kg"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C0392B"/>
    <outlinePr summaryBelow="1" summaryRight="1"/>
    <pageSetUpPr fitToPage="0"/>
  </sheetPr>
  <dimension ref="B2:U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328125" defaultRowHeight="15" zeroHeight="0" outlineLevelRow="0"/>
  <cols>
    <col width="3" customWidth="1" style="44" min="1" max="1"/>
    <col width="8" customWidth="1" style="44" min="2" max="2"/>
    <col width="18" customWidth="1" style="44" min="3" max="3"/>
    <col width="12" customWidth="1" style="44" min="4" max="5"/>
    <col width="14" customWidth="1" style="44" min="6" max="6"/>
    <col width="12" customWidth="1" style="44" min="7" max="7"/>
    <col width="14" customWidth="1" style="44" min="8" max="9"/>
    <col width="11" customWidth="1" style="44" min="10" max="10"/>
    <col width="12" customWidth="1" style="44" min="11" max="12"/>
    <col width="13" customWidth="1" style="44" min="13" max="13"/>
    <col width="16" customWidth="1" style="44" min="14" max="14"/>
    <col width="12" customWidth="1" style="44" min="15" max="16"/>
    <col width="14" customWidth="1" style="44" min="17" max="17"/>
    <col width="16" customWidth="1" style="44" min="18" max="20"/>
    <col width="26" customWidth="1" style="44" min="21" max="21"/>
  </cols>
  <sheetData>
    <row r="2" ht="31.5" customHeight="1" s="45">
      <c r="B2" s="46" t="inlineStr">
        <is>
          <t>Form M - Market Observation Checklist (one row per market)</t>
        </is>
      </c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7" t="n"/>
      <c r="M2" s="47" t="n"/>
      <c r="N2" s="47" t="n"/>
      <c r="O2" s="47" t="n"/>
      <c r="P2" s="47" t="n"/>
      <c r="Q2" s="47" t="n"/>
      <c r="R2" s="47" t="n"/>
      <c r="S2" s="47" t="n"/>
      <c r="T2" s="47" t="n"/>
      <c r="U2" s="48" t="n"/>
    </row>
    <row r="3" ht="7.5" customHeight="1" s="45">
      <c r="B3" s="50" t="n"/>
      <c r="C3" s="50" t="n"/>
      <c r="D3" s="50" t="n"/>
      <c r="E3" s="50" t="n"/>
      <c r="F3" s="50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</row>
    <row r="4" ht="27.75" customHeight="1" s="45">
      <c r="B4" s="57" t="inlineStr">
        <is>
          <t>Market</t>
        </is>
      </c>
      <c r="C4" s="57" t="inlineStr">
        <is>
          <t>Market_name</t>
        </is>
      </c>
      <c r="D4" s="57" t="inlineStr">
        <is>
          <t>Obs_Date</t>
        </is>
      </c>
      <c r="E4" s="57" t="inlineStr">
        <is>
          <t>Market_type</t>
        </is>
      </c>
      <c r="F4" s="57" t="inlineStr">
        <is>
          <t>Trading_hours</t>
        </is>
      </c>
      <c r="G4" s="57" t="inlineStr">
        <is>
          <t>Retail_stall_count</t>
        </is>
      </c>
      <c r="H4" s="57" t="inlineStr">
        <is>
          <t>Transport_access</t>
        </is>
      </c>
      <c r="I4" s="57" t="inlineStr">
        <is>
          <t>Platform_condition</t>
        </is>
      </c>
      <c r="J4" s="57" t="inlineStr">
        <is>
          <t>Roofing</t>
        </is>
      </c>
      <c r="K4" s="57" t="inlineStr">
        <is>
          <t>Drainage</t>
        </is>
      </c>
      <c r="L4" s="57" t="inlineStr">
        <is>
          <t>Electricity</t>
        </is>
      </c>
      <c r="M4" s="57" t="inlineStr">
        <is>
          <t>Ice_availability</t>
        </is>
      </c>
      <c r="N4" s="57" t="inlineStr">
        <is>
          <t>Ice_distance_note</t>
        </is>
      </c>
      <c r="O4" s="57" t="inlineStr">
        <is>
          <t>Sanitation</t>
        </is>
      </c>
      <c r="P4" s="57" t="inlineStr">
        <is>
          <t>Water_supply</t>
        </is>
      </c>
      <c r="Q4" s="57" t="inlineStr">
        <is>
          <t>Fee_arrangement</t>
        </is>
      </c>
      <c r="R4" s="57" t="inlineStr">
        <is>
          <t>Fee_rate_note</t>
        </is>
      </c>
      <c r="S4" s="57" t="inlineStr">
        <is>
          <t>GPS_coordinates</t>
        </is>
      </c>
      <c r="T4" s="57" t="inlineStr">
        <is>
          <t>Photo_references</t>
        </is>
      </c>
      <c r="U4" s="57" t="inlineStr">
        <is>
          <t>Evidence_source_note</t>
        </is>
      </c>
    </row>
    <row r="5" ht="19.5" customHeight="1" s="45">
      <c r="B5" s="74" t="inlineStr">
        <is>
          <t>M1</t>
        </is>
      </c>
      <c r="C5" s="73" t="inlineStr">
        <is>
          <t>Fishery Ghat</t>
        </is>
      </c>
      <c r="D5" s="65" t="n">
        <v>46084</v>
      </c>
      <c r="E5" s="67" t="inlineStr">
        <is>
          <t>Mixed</t>
        </is>
      </c>
      <c r="F5" s="67" t="inlineStr">
        <is>
          <t>03:30-13:00</t>
        </is>
      </c>
      <c r="G5" s="69" t="n">
        <v>210</v>
      </c>
      <c r="H5" s="67" t="inlineStr">
        <is>
          <t>Good</t>
        </is>
      </c>
      <c r="I5" s="67" t="inlineStr">
        <is>
          <t>Medium</t>
        </is>
      </c>
      <c r="J5" s="67" t="inlineStr">
        <is>
          <t>Partial</t>
        </is>
      </c>
      <c r="K5" s="67" t="inlineStr">
        <is>
          <t>Medium</t>
        </is>
      </c>
      <c r="L5" s="67" t="inlineStr">
        <is>
          <t>Irregular</t>
        </is>
      </c>
      <c r="M5" s="67" t="inlineStr">
        <is>
          <t>Available</t>
        </is>
      </c>
      <c r="N5" s="68" t="inlineStr">
        <is>
          <t>On-site ice factory, approx 150 m</t>
        </is>
      </c>
      <c r="O5" s="67" t="inlineStr">
        <is>
          <t>Poor</t>
        </is>
      </c>
      <c r="P5" s="67" t="inlineStr">
        <is>
          <t>Irregular</t>
        </is>
      </c>
      <c r="Q5" s="67" t="inlineStr">
        <is>
          <t>Aratdar</t>
        </is>
      </c>
      <c r="R5" s="68" t="inlineStr">
        <is>
          <t>2.5-5% commission per lot; daily stall fee BDT 30-60</t>
        </is>
      </c>
      <c r="S5" s="68" t="inlineStr">
        <is>
          <t>22.3370, 91.8312</t>
        </is>
      </c>
      <c r="T5" s="68" t="inlineStr">
        <is>
          <t>IMG_M1_01 to IMG_M1_04</t>
        </is>
      </c>
      <c r="U5" s="68" t="inlineStr">
        <is>
          <t>Direct observation</t>
        </is>
      </c>
    </row>
    <row r="6" ht="19.5" customHeight="1" s="45">
      <c r="B6" s="74" t="inlineStr">
        <is>
          <t>M2</t>
        </is>
      </c>
      <c r="C6" s="73" t="inlineStr">
        <is>
          <t>Chawkbazar</t>
        </is>
      </c>
      <c r="D6" s="65" t="n">
        <v>46085</v>
      </c>
      <c r="E6" s="67" t="inlineStr">
        <is>
          <t>Retail</t>
        </is>
      </c>
      <c r="F6" s="67" t="inlineStr">
        <is>
          <t>06:00-20:00</t>
        </is>
      </c>
      <c r="G6" s="69" t="n">
        <v>160</v>
      </c>
      <c r="H6" s="67" t="inlineStr">
        <is>
          <t>Good</t>
        </is>
      </c>
      <c r="I6" s="67" t="inlineStr">
        <is>
          <t>Good</t>
        </is>
      </c>
      <c r="J6" s="67" t="inlineStr">
        <is>
          <t>Complete</t>
        </is>
      </c>
      <c r="K6" s="67" t="inlineStr">
        <is>
          <t>Medium</t>
        </is>
      </c>
      <c r="L6" s="67" t="inlineStr">
        <is>
          <t>Regular</t>
        </is>
      </c>
      <c r="M6" s="67" t="inlineStr">
        <is>
          <t>Available</t>
        </is>
      </c>
      <c r="N6" s="68" t="inlineStr">
        <is>
          <t>Two private ice suppliers at gate</t>
        </is>
      </c>
      <c r="O6" s="67" t="inlineStr">
        <is>
          <t>Medium</t>
        </is>
      </c>
      <c r="P6" s="67" t="inlineStr">
        <is>
          <t>Regular</t>
        </is>
      </c>
      <c r="Q6" s="67" t="inlineStr">
        <is>
          <t>Committee</t>
        </is>
      </c>
      <c r="R6" s="68" t="inlineStr">
        <is>
          <t>Daily toll BDT 50 per stall; monthly cleaning levy</t>
        </is>
      </c>
      <c r="S6" s="68" t="inlineStr">
        <is>
          <t>22.3392, 91.8366</t>
        </is>
      </c>
      <c r="T6" s="68" t="inlineStr">
        <is>
          <t>IMG_M2_01 to IMG_M2_04</t>
        </is>
      </c>
      <c r="U6" s="68" t="inlineStr">
        <is>
          <t>Direct observation</t>
        </is>
      </c>
    </row>
    <row r="7" ht="19.5" customHeight="1" s="45">
      <c r="B7" s="74" t="inlineStr">
        <is>
          <t>M3</t>
        </is>
      </c>
      <c r="C7" s="73" t="inlineStr">
        <is>
          <t>Kazir Dewri</t>
        </is>
      </c>
      <c r="D7" s="65" t="n">
        <v>46086</v>
      </c>
      <c r="E7" s="67" t="inlineStr">
        <is>
          <t>Retail</t>
        </is>
      </c>
      <c r="F7" s="67" t="inlineStr">
        <is>
          <t>06:30-19:30</t>
        </is>
      </c>
      <c r="G7" s="69" t="n">
        <v>85</v>
      </c>
      <c r="H7" s="67" t="inlineStr">
        <is>
          <t>Medium</t>
        </is>
      </c>
      <c r="I7" s="67" t="inlineStr">
        <is>
          <t>Medium</t>
        </is>
      </c>
      <c r="J7" s="67" t="inlineStr">
        <is>
          <t>Partial</t>
        </is>
      </c>
      <c r="K7" s="67" t="inlineStr">
        <is>
          <t>Poor</t>
        </is>
      </c>
      <c r="L7" s="67" t="inlineStr">
        <is>
          <t>Regular</t>
        </is>
      </c>
      <c r="M7" s="67" t="inlineStr">
        <is>
          <t>Available</t>
        </is>
      </c>
      <c r="N7" s="68" t="inlineStr">
        <is>
          <t>Ice cart delivery from Bahaddarhat, 1.5 km</t>
        </is>
      </c>
      <c r="O7" s="67" t="inlineStr">
        <is>
          <t>Medium</t>
        </is>
      </c>
      <c r="P7" s="67" t="inlineStr">
        <is>
          <t>Regular</t>
        </is>
      </c>
      <c r="Q7" s="67" t="inlineStr">
        <is>
          <t>Committee</t>
        </is>
      </c>
      <c r="R7" s="68" t="inlineStr">
        <is>
          <t>Daily toll BDT 40 per stall</t>
        </is>
      </c>
      <c r="S7" s="68" t="inlineStr">
        <is>
          <t>22.3415, 91.8301</t>
        </is>
      </c>
      <c r="T7" s="68" t="inlineStr">
        <is>
          <t>IMG_M3_01 to IMG_M3_04</t>
        </is>
      </c>
      <c r="U7" s="68" t="inlineStr">
        <is>
          <t>Direct observation</t>
        </is>
      </c>
    </row>
    <row r="8" ht="19.5" customHeight="1" s="45">
      <c r="B8" s="74" t="inlineStr">
        <is>
          <t>M4</t>
        </is>
      </c>
      <c r="C8" s="73" t="inlineStr">
        <is>
          <t>Karnaphuli Complex</t>
        </is>
      </c>
      <c r="D8" s="65" t="n">
        <v>46087</v>
      </c>
      <c r="E8" s="67" t="inlineStr">
        <is>
          <t>Retail</t>
        </is>
      </c>
      <c r="F8" s="67" t="inlineStr">
        <is>
          <t>06:00-20:00</t>
        </is>
      </c>
      <c r="G8" s="69" t="n">
        <v>120</v>
      </c>
      <c r="H8" s="67" t="inlineStr">
        <is>
          <t>Good</t>
        </is>
      </c>
      <c r="I8" s="67" t="inlineStr">
        <is>
          <t>Good</t>
        </is>
      </c>
      <c r="J8" s="67" t="inlineStr">
        <is>
          <t>Complete</t>
        </is>
      </c>
      <c r="K8" s="67" t="inlineStr">
        <is>
          <t>Good</t>
        </is>
      </c>
      <c r="L8" s="67" t="inlineStr">
        <is>
          <t>Regular</t>
        </is>
      </c>
      <c r="M8" s="67" t="inlineStr">
        <is>
          <t>Available</t>
        </is>
      </c>
      <c r="N8" s="68" t="inlineStr">
        <is>
          <t>Ice plant within market compound</t>
        </is>
      </c>
      <c r="O8" s="67" t="inlineStr">
        <is>
          <t>Good</t>
        </is>
      </c>
      <c r="P8" s="67" t="inlineStr">
        <is>
          <t>Regular</t>
        </is>
      </c>
      <c r="Q8" s="67" t="inlineStr">
        <is>
          <t>Committee</t>
        </is>
      </c>
      <c r="R8" s="68" t="inlineStr">
        <is>
          <t>Daily toll BDT 60; covered modern shed</t>
        </is>
      </c>
      <c r="S8" s="68" t="inlineStr">
        <is>
          <t>22.3318, 91.8178</t>
        </is>
      </c>
      <c r="T8" s="68" t="inlineStr">
        <is>
          <t>IMG_M4_01 to IMG_M4_04</t>
        </is>
      </c>
      <c r="U8" s="68" t="inlineStr">
        <is>
          <t>Direct observation</t>
        </is>
      </c>
    </row>
    <row r="9" ht="19.5" customHeight="1" s="45">
      <c r="B9" s="74" t="inlineStr">
        <is>
          <t>M5</t>
        </is>
      </c>
      <c r="C9" s="73" t="inlineStr">
        <is>
          <t>Bahaddarhat</t>
        </is>
      </c>
      <c r="D9" s="65" t="n">
        <v>46088</v>
      </c>
      <c r="E9" s="67" t="inlineStr">
        <is>
          <t>Retail</t>
        </is>
      </c>
      <c r="F9" s="67" t="inlineStr">
        <is>
          <t>06:30-20:00</t>
        </is>
      </c>
      <c r="G9" s="69" t="n">
        <v>110</v>
      </c>
      <c r="H9" s="67" t="inlineStr">
        <is>
          <t>Medium</t>
        </is>
      </c>
      <c r="I9" s="67" t="inlineStr">
        <is>
          <t>Good</t>
        </is>
      </c>
      <c r="J9" s="67" t="inlineStr">
        <is>
          <t>Complete</t>
        </is>
      </c>
      <c r="K9" s="67" t="inlineStr">
        <is>
          <t>Medium</t>
        </is>
      </c>
      <c r="L9" s="67" t="inlineStr">
        <is>
          <t>Regular</t>
        </is>
      </c>
      <c r="M9" s="67" t="inlineStr">
        <is>
          <t>Available</t>
        </is>
      </c>
      <c r="N9" s="68" t="inlineStr">
        <is>
          <t>Adjacent ice factory, approx 300 m</t>
        </is>
      </c>
      <c r="O9" s="67" t="inlineStr">
        <is>
          <t>Medium</t>
        </is>
      </c>
      <c r="P9" s="67" t="inlineStr">
        <is>
          <t>Regular</t>
        </is>
      </c>
      <c r="Q9" s="67" t="inlineStr">
        <is>
          <t>Mixed</t>
        </is>
      </c>
      <c r="R9" s="68" t="inlineStr">
        <is>
          <t>Committee toll plus informal entry charge for vans</t>
        </is>
      </c>
      <c r="S9" s="68" t="inlineStr">
        <is>
          <t>22.3611, 91.8230</t>
        </is>
      </c>
      <c r="T9" s="68" t="inlineStr">
        <is>
          <t>IMG_M5_01 to IMG_M5_04</t>
        </is>
      </c>
      <c r="U9" s="68" t="inlineStr">
        <is>
          <t>Direct observation</t>
        </is>
      </c>
    </row>
    <row r="10" ht="19.5" customHeight="1" s="45">
      <c r="B10" s="74" t="inlineStr">
        <is>
          <t>M6</t>
        </is>
      </c>
      <c r="C10" s="73" t="inlineStr">
        <is>
          <t>Patenga</t>
        </is>
      </c>
      <c r="D10" s="65" t="n">
        <v>46084</v>
      </c>
      <c r="E10" s="67" t="inlineStr">
        <is>
          <t>Mixed</t>
        </is>
      </c>
      <c r="F10" s="67" t="inlineStr">
        <is>
          <t>04:00-12:30</t>
        </is>
      </c>
      <c r="G10" s="69" t="n">
        <v>65</v>
      </c>
      <c r="H10" s="67" t="inlineStr">
        <is>
          <t>Medium</t>
        </is>
      </c>
      <c r="I10" s="67" t="inlineStr">
        <is>
          <t>Poor</t>
        </is>
      </c>
      <c r="J10" s="67" t="inlineStr">
        <is>
          <t>Partial</t>
        </is>
      </c>
      <c r="K10" s="67" t="inlineStr">
        <is>
          <t>Poor</t>
        </is>
      </c>
      <c r="L10" s="67" t="inlineStr">
        <is>
          <t>Irregular</t>
        </is>
      </c>
      <c r="M10" s="67" t="inlineStr">
        <is>
          <t>Available</t>
        </is>
      </c>
      <c r="N10" s="68" t="inlineStr">
        <is>
          <t>Private ice factory adjacent to landing</t>
        </is>
      </c>
      <c r="O10" s="67" t="inlineStr">
        <is>
          <t>Poor</t>
        </is>
      </c>
      <c r="P10" s="67" t="inlineStr">
        <is>
          <t>Irregular</t>
        </is>
      </c>
      <c r="Q10" s="67" t="inlineStr">
        <is>
          <t>Committee</t>
        </is>
      </c>
      <c r="R10" s="68" t="inlineStr">
        <is>
          <t>Landing-side fee per basket; BDT 20-40 per maund handled</t>
        </is>
      </c>
      <c r="S10" s="68" t="inlineStr">
        <is>
          <t>22.2786, 91.7991</t>
        </is>
      </c>
      <c r="T10" s="68" t="inlineStr">
        <is>
          <t>IMG_M6_01 to IMG_M6_04</t>
        </is>
      </c>
      <c r="U10" s="68" t="inlineStr">
        <is>
          <t>Direct observation</t>
        </is>
      </c>
    </row>
    <row r="11" ht="15" customHeight="1" s="45">
      <c r="B11" s="50" t="n"/>
      <c r="C11" s="50" t="n"/>
      <c r="D11" s="50" t="n"/>
      <c r="E11" s="50" t="n"/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</row>
    <row r="12" ht="14.25" customHeight="1" s="45">
      <c r="B12" s="54" t="inlineStr">
        <is>
          <t>Twelve infrastructure items graded Good/Medium/Poor, Complete/Partial/None or Regular/Irregular/None as applicable (Methodology 3.5).</t>
        </is>
      </c>
      <c r="C12" s="50" t="n"/>
      <c r="D12" s="50" t="n"/>
      <c r="E12" s="50" t="n"/>
      <c r="F12" s="50" t="n"/>
      <c r="G12" s="50" t="n"/>
      <c r="H12" s="50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  <c r="R12" s="50" t="n"/>
      <c r="S12" s="50" t="n"/>
      <c r="T12" s="50" t="n"/>
      <c r="U12" s="50" t="n"/>
    </row>
  </sheetData>
  <mergeCells count="1">
    <mergeCell ref="B2:U2"/>
  </mergeCells>
  <dataValidations count="7">
    <dataValidation sqref="E5:E10" showDropDown="0" showInputMessage="0" showErrorMessage="1" allowBlank="1" errorTitle="Invalid entry" error="Please choose one of the listed values." promptTitle="Dropdown" prompt="Select from list" type="list" errorStyle="stop" operator="between">
      <formula1>"Wholesale,Retail,Mixed"</formula1>
      <formula2>0</formula2>
    </dataValidation>
    <dataValidation sqref="H5:I10 K5:K10 O5:O10" showDropDown="0" showInputMessage="0" showErrorMessage="1" allowBlank="1" errorTitle="Invalid entry" error="Please choose one of the listed values." promptTitle="Dropdown" prompt="Select from list" type="list" errorStyle="stop" operator="between">
      <formula1>"Good,Medium,Poor"</formula1>
      <formula2>0</formula2>
    </dataValidation>
    <dataValidation sqref="J5:J10" showDropDown="0" showInputMessage="0" showErrorMessage="1" allowBlank="1" errorTitle="Invalid entry" error="Please choose one of the listed values." promptTitle="Dropdown" prompt="Select from list" type="list" errorStyle="stop" operator="between">
      <formula1>"Complete,Partial,None"</formula1>
      <formula2>0</formula2>
    </dataValidation>
    <dataValidation sqref="L5:L10 P5:P10" showDropDown="0" showInputMessage="0" showErrorMessage="1" allowBlank="1" errorTitle="Invalid entry" error="Please choose one of the listed values." promptTitle="Dropdown" prompt="Select from list" type="list" errorStyle="stop" operator="between">
      <formula1>"Regular,Irregular,None"</formula1>
      <formula2>0</formula2>
    </dataValidation>
    <dataValidation sqref="M5:M10" showDropDown="0" showInputMessage="0" showErrorMessage="1" allowBlank="1" errorTitle="Invalid entry" error="Please choose one of the listed values." promptTitle="Dropdown" prompt="Select from list" type="list" errorStyle="stop" operator="between">
      <formula1>"Available,Not_available"</formula1>
      <formula2>0</formula2>
    </dataValidation>
    <dataValidation sqref="Q5:Q10" showDropDown="0" showInputMessage="0" showErrorMessage="1" allowBlank="1" errorTitle="Invalid entry" error="Please choose one of the listed values." promptTitle="Dropdown" prompt="Select from list" type="list" errorStyle="stop" operator="between">
      <formula1>"Aratdar,Committee,Mixed"</formula1>
      <formula2>0</formula2>
    </dataValidation>
    <dataValidation sqref="G5:G10" showDropDown="0" showInputMessage="0" showErrorMessage="1" allowBlank="1" errorTitle="Out of range" error="Enter a whole number between 0 and 5000." type="whole" errorStyle="stop" operator="between">
      <formula1>0</formula1>
      <formula2>5000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 filterMode="0">
    <tabColor rgb="FFC0392B"/>
    <outlinePr summaryBelow="1" summaryRight="1"/>
    <pageSetUpPr fitToPage="0"/>
  </sheetPr>
  <dimension ref="B2:J3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328125" defaultRowHeight="15" zeroHeight="0" outlineLevelRow="0"/>
  <cols>
    <col width="3" customWidth="1" style="44" min="1" max="1"/>
    <col width="12" customWidth="1" style="44" min="2" max="2"/>
    <col width="9" customWidth="1" style="44" min="3" max="3"/>
    <col width="16" customWidth="1" style="44" min="4" max="5"/>
    <col width="20" customWidth="1" style="44" min="6" max="6"/>
    <col width="11" customWidth="1" style="44" min="7" max="7"/>
    <col width="8" customWidth="1" style="44" min="8" max="8"/>
    <col width="14" customWidth="1" style="44" min="9" max="9"/>
    <col width="24" customWidth="1" style="44" min="10" max="10"/>
  </cols>
  <sheetData>
    <row r="2" ht="31.5" customHeight="1" s="45">
      <c r="B2" s="46" t="inlineStr">
        <is>
          <t>Tag Price Sheet - displayed prices of all fish seen (optional, appendix only)</t>
        </is>
      </c>
      <c r="C2" s="47" t="n"/>
      <c r="D2" s="47" t="n"/>
      <c r="E2" s="47" t="n"/>
      <c r="F2" s="47" t="n"/>
      <c r="G2" s="47" t="n"/>
      <c r="H2" s="47" t="n"/>
      <c r="I2" s="47" t="n"/>
      <c r="J2" s="48" t="n"/>
    </row>
    <row r="3" ht="7.5" customHeight="1" s="45">
      <c r="B3" s="50" t="n"/>
      <c r="C3" s="50" t="n"/>
      <c r="D3" s="50" t="n"/>
      <c r="E3" s="50" t="n"/>
      <c r="F3" s="50" t="n"/>
      <c r="G3" s="50" t="n"/>
      <c r="H3" s="50" t="n"/>
      <c r="I3" s="50" t="n"/>
      <c r="J3" s="50" t="n"/>
    </row>
    <row r="4" ht="27.75" customHeight="1" s="45">
      <c r="B4" s="57" t="inlineStr">
        <is>
          <t>Date</t>
        </is>
      </c>
      <c r="C4" s="57" t="inlineStr">
        <is>
          <t>Market</t>
        </is>
      </c>
      <c r="D4" s="57" t="inlineStr">
        <is>
          <t>Shop_or_Vendor_No</t>
        </is>
      </c>
      <c r="E4" s="57" t="inlineStr">
        <is>
          <t>Collector_initials</t>
        </is>
      </c>
      <c r="F4" s="57" t="inlineStr">
        <is>
          <t>Fish_name_local</t>
        </is>
      </c>
      <c r="G4" s="57" t="inlineStr">
        <is>
          <t>Price_raw</t>
        </is>
      </c>
      <c r="H4" s="57" t="inlineStr">
        <is>
          <t>Unit</t>
        </is>
      </c>
      <c r="I4" s="57" t="inlineStr">
        <is>
          <t>Price_BDT_per_kg</t>
        </is>
      </c>
      <c r="J4" s="57" t="inlineStr">
        <is>
          <t>Notes</t>
        </is>
      </c>
    </row>
    <row r="5" ht="19.5" customHeight="1" s="45">
      <c r="B5" s="65" t="n">
        <v>46084</v>
      </c>
      <c r="C5" s="67" t="inlineStr">
        <is>
          <t>M1</t>
        </is>
      </c>
      <c r="D5" s="67" t="inlineStr">
        <is>
          <t>V-01</t>
        </is>
      </c>
      <c r="E5" s="67" t="inlineStr">
        <is>
          <t>RS</t>
        </is>
      </c>
      <c r="F5" s="68" t="inlineStr">
        <is>
          <t>Rupchanda</t>
        </is>
      </c>
      <c r="G5" s="75" t="n">
        <v>1470</v>
      </c>
      <c r="H5" s="67" t="inlineStr">
        <is>
          <t>Kg</t>
        </is>
      </c>
      <c r="I5" s="76">
        <f>IF(OR($G5="",$H5="",NOT(ISNUMBER($G5))),"",IF($H5="Maund",ROUND($G5/37.32,2),$G5))</f>
        <v/>
      </c>
      <c r="J5" s="68" t="n"/>
    </row>
    <row r="6" ht="19.5" customHeight="1" s="45">
      <c r="B6" s="65" t="n">
        <v>46084</v>
      </c>
      <c r="C6" s="67" t="inlineStr">
        <is>
          <t>M1</t>
        </is>
      </c>
      <c r="D6" s="67" t="inlineStr">
        <is>
          <t>V-01</t>
        </is>
      </c>
      <c r="E6" s="67" t="inlineStr">
        <is>
          <t>RS</t>
        </is>
      </c>
      <c r="F6" s="68" t="inlineStr">
        <is>
          <t>Koral</t>
        </is>
      </c>
      <c r="G6" s="75" t="n">
        <v>825</v>
      </c>
      <c r="H6" s="67" t="inlineStr">
        <is>
          <t>Kg</t>
        </is>
      </c>
      <c r="I6" s="76">
        <f>IF(OR($G6="",$H6="",NOT(ISNUMBER($G6))),"",IF($H6="Maund",ROUND($G6/37.32,2),$G6))</f>
        <v/>
      </c>
      <c r="J6" s="68" t="n"/>
    </row>
    <row r="7" ht="19.5" customHeight="1" s="45">
      <c r="B7" s="65" t="n">
        <v>46084</v>
      </c>
      <c r="C7" s="67" t="inlineStr">
        <is>
          <t>M1</t>
        </is>
      </c>
      <c r="D7" s="67" t="inlineStr">
        <is>
          <t>V-01</t>
        </is>
      </c>
      <c r="E7" s="67" t="inlineStr">
        <is>
          <t>RS</t>
        </is>
      </c>
      <c r="F7" s="68" t="inlineStr">
        <is>
          <t>Kakra (crab)</t>
        </is>
      </c>
      <c r="G7" s="75" t="n">
        <v>640</v>
      </c>
      <c r="H7" s="67" t="inlineStr">
        <is>
          <t>Kg</t>
        </is>
      </c>
      <c r="I7" s="76">
        <f>IF(OR($G7="",$H7="",NOT(ISNUMBER($G7))),"",IF($H7="Maund",ROUND($G7/37.32,2),$G7))</f>
        <v/>
      </c>
      <c r="J7" s="68" t="n"/>
    </row>
    <row r="8" ht="19.5" customHeight="1" s="45">
      <c r="B8" s="65" t="n">
        <v>46084</v>
      </c>
      <c r="C8" s="67" t="inlineStr">
        <is>
          <t>M1</t>
        </is>
      </c>
      <c r="D8" s="67" t="inlineStr">
        <is>
          <t>V-02</t>
        </is>
      </c>
      <c r="E8" s="67" t="inlineStr">
        <is>
          <t>RS</t>
        </is>
      </c>
      <c r="F8" s="68" t="inlineStr">
        <is>
          <t>Poa</t>
        </is>
      </c>
      <c r="G8" s="75" t="n">
        <v>505</v>
      </c>
      <c r="H8" s="67" t="inlineStr">
        <is>
          <t>Kg</t>
        </is>
      </c>
      <c r="I8" s="76">
        <f>IF(OR($G8="",$H8="",NOT(ISNUMBER($G8))),"",IF($H8="Maund",ROUND($G8/37.32,2),$G8))</f>
        <v/>
      </c>
      <c r="J8" s="68" t="n"/>
    </row>
    <row r="9" ht="19.5" customHeight="1" s="45">
      <c r="B9" s="65" t="n">
        <v>46084</v>
      </c>
      <c r="C9" s="67" t="inlineStr">
        <is>
          <t>M1</t>
        </is>
      </c>
      <c r="D9" s="67" t="inlineStr">
        <is>
          <t>V-02</t>
        </is>
      </c>
      <c r="E9" s="67" t="inlineStr">
        <is>
          <t>RS</t>
        </is>
      </c>
      <c r="F9" s="68" t="inlineStr">
        <is>
          <t>Kankoita</t>
        </is>
      </c>
      <c r="G9" s="75" t="n">
        <v>310</v>
      </c>
      <c r="H9" s="67" t="inlineStr">
        <is>
          <t>Kg</t>
        </is>
      </c>
      <c r="I9" s="76">
        <f>IF(OR($G9="",$H9="",NOT(ISNUMBER($G9))),"",IF($H9="Maund",ROUND($G9/37.32,2),$G9))</f>
        <v/>
      </c>
      <c r="J9" s="68" t="n"/>
    </row>
    <row r="10" ht="19.5" customHeight="1" s="45">
      <c r="B10" s="65" t="n">
        <v>46084</v>
      </c>
      <c r="C10" s="67" t="inlineStr">
        <is>
          <t>M1</t>
        </is>
      </c>
      <c r="D10" s="67" t="inlineStr">
        <is>
          <t>V-02</t>
        </is>
      </c>
      <c r="E10" s="67" t="inlineStr">
        <is>
          <t>RS</t>
        </is>
      </c>
      <c r="F10" s="68" t="inlineStr">
        <is>
          <t>Khoira</t>
        </is>
      </c>
      <c r="G10" s="75" t="n">
        <v>245</v>
      </c>
      <c r="H10" s="67" t="inlineStr">
        <is>
          <t>Kg</t>
        </is>
      </c>
      <c r="I10" s="76">
        <f>IF(OR($G10="",$H10="",NOT(ISNUMBER($G10))),"",IF($H10="Maund",ROUND($G10/37.32,2),$G10))</f>
        <v/>
      </c>
      <c r="J10" s="68" t="n"/>
    </row>
    <row r="11" ht="19.5" customHeight="1" s="45">
      <c r="B11" s="65" t="n">
        <v>46084</v>
      </c>
      <c r="C11" s="67" t="inlineStr">
        <is>
          <t>M1</t>
        </is>
      </c>
      <c r="D11" s="67" t="inlineStr">
        <is>
          <t>V-03</t>
        </is>
      </c>
      <c r="E11" s="67" t="inlineStr">
        <is>
          <t>RS</t>
        </is>
      </c>
      <c r="F11" s="68" t="inlineStr">
        <is>
          <t>Rupchanda</t>
        </is>
      </c>
      <c r="G11" s="75" t="n">
        <v>1445</v>
      </c>
      <c r="H11" s="67" t="inlineStr">
        <is>
          <t>Kg</t>
        </is>
      </c>
      <c r="I11" s="76">
        <f>IF(OR($G11="",$H11="",NOT(ISNUMBER($G11))),"",IF($H11="Maund",ROUND($G11/37.32,2),$G11))</f>
        <v/>
      </c>
      <c r="J11" s="68" t="n"/>
    </row>
    <row r="12" ht="19.5" customHeight="1" s="45">
      <c r="B12" s="65" t="n">
        <v>46084</v>
      </c>
      <c r="C12" s="67" t="inlineStr">
        <is>
          <t>M1</t>
        </is>
      </c>
      <c r="D12" s="67" t="inlineStr">
        <is>
          <t>V-03</t>
        </is>
      </c>
      <c r="E12" s="67" t="inlineStr">
        <is>
          <t>RS</t>
        </is>
      </c>
      <c r="F12" s="68" t="inlineStr">
        <is>
          <t>Koral</t>
        </is>
      </c>
      <c r="G12" s="75" t="n">
        <v>835</v>
      </c>
      <c r="H12" s="67" t="inlineStr">
        <is>
          <t>Kg</t>
        </is>
      </c>
      <c r="I12" s="76">
        <f>IF(OR($G12="",$H12="",NOT(ISNUMBER($G12))),"",IF($H12="Maund",ROUND($G12/37.32,2),$G12))</f>
        <v/>
      </c>
      <c r="J12" s="68" t="n"/>
    </row>
    <row r="13" ht="19.5" customHeight="1" s="45">
      <c r="B13" s="65" t="n">
        <v>46084</v>
      </c>
      <c r="C13" s="67" t="inlineStr">
        <is>
          <t>M1</t>
        </is>
      </c>
      <c r="D13" s="67" t="inlineStr">
        <is>
          <t>V-04</t>
        </is>
      </c>
      <c r="E13" s="67" t="inlineStr">
        <is>
          <t>RS</t>
        </is>
      </c>
      <c r="F13" s="68" t="inlineStr">
        <is>
          <t>Ilish</t>
        </is>
      </c>
      <c r="G13" s="75" t="n">
        <v>1315</v>
      </c>
      <c r="H13" s="67" t="inlineStr">
        <is>
          <t>Kg</t>
        </is>
      </c>
      <c r="I13" s="76">
        <f>IF(OR($G13="",$H13="",NOT(ISNUMBER($G13))),"",IF($H13="Maund",ROUND($G13/37.32,2),$G13))</f>
        <v/>
      </c>
      <c r="J13" s="68" t="n"/>
    </row>
    <row r="14" ht="19.5" customHeight="1" s="45">
      <c r="B14" s="65" t="n">
        <v>46084</v>
      </c>
      <c r="C14" s="67" t="inlineStr">
        <is>
          <t>M1</t>
        </is>
      </c>
      <c r="D14" s="67" t="inlineStr">
        <is>
          <t>V-04</t>
        </is>
      </c>
      <c r="E14" s="67" t="inlineStr">
        <is>
          <t>RS</t>
        </is>
      </c>
      <c r="F14" s="68" t="inlineStr">
        <is>
          <t>Bagda chingri</t>
        </is>
      </c>
      <c r="G14" s="75" t="n">
        <v>810</v>
      </c>
      <c r="H14" s="67" t="inlineStr">
        <is>
          <t>Kg</t>
        </is>
      </c>
      <c r="I14" s="76">
        <f>IF(OR($G14="",$H14="",NOT(ISNUMBER($G14))),"",IF($H14="Maund",ROUND($G14/37.32,2),$G14))</f>
        <v/>
      </c>
      <c r="J14" s="68" t="n"/>
    </row>
    <row r="15" ht="19.5" customHeight="1" s="45">
      <c r="B15" s="65" t="n">
        <v>46084</v>
      </c>
      <c r="C15" s="67" t="inlineStr">
        <is>
          <t>M1</t>
        </is>
      </c>
      <c r="D15" s="67" t="inlineStr">
        <is>
          <t>V-05</t>
        </is>
      </c>
      <c r="E15" s="67" t="inlineStr">
        <is>
          <t>RS</t>
        </is>
      </c>
      <c r="F15" s="68" t="inlineStr">
        <is>
          <t>Ilish</t>
        </is>
      </c>
      <c r="G15" s="75" t="n">
        <v>1315</v>
      </c>
      <c r="H15" s="67" t="inlineStr">
        <is>
          <t>Kg</t>
        </is>
      </c>
      <c r="I15" s="76">
        <f>IF(OR($G15="",$H15="",NOT(ISNUMBER($G15))),"",IF($H15="Maund",ROUND($G15/37.32,2),$G15))</f>
        <v/>
      </c>
      <c r="J15" s="68" t="n"/>
    </row>
    <row r="16" ht="19.5" customHeight="1" s="45">
      <c r="B16" s="65" t="n">
        <v>46084</v>
      </c>
      <c r="C16" s="67" t="inlineStr">
        <is>
          <t>M1</t>
        </is>
      </c>
      <c r="D16" s="67" t="inlineStr">
        <is>
          <t>V-05</t>
        </is>
      </c>
      <c r="E16" s="67" t="inlineStr">
        <is>
          <t>RS</t>
        </is>
      </c>
      <c r="F16" s="68" t="inlineStr">
        <is>
          <t>Rupchanda</t>
        </is>
      </c>
      <c r="G16" s="75" t="n">
        <v>1440</v>
      </c>
      <c r="H16" s="67" t="inlineStr">
        <is>
          <t>Kg</t>
        </is>
      </c>
      <c r="I16" s="76">
        <f>IF(OR($G16="",$H16="",NOT(ISNUMBER($G16))),"",IF($H16="Maund",ROUND($G16/37.32,2),$G16))</f>
        <v/>
      </c>
      <c r="J16" s="68" t="n"/>
    </row>
    <row r="17" ht="19.5" customHeight="1" s="45">
      <c r="B17" s="65" t="n">
        <v>46084</v>
      </c>
      <c r="C17" s="67" t="inlineStr">
        <is>
          <t>M1</t>
        </is>
      </c>
      <c r="D17" s="67" t="inlineStr">
        <is>
          <t>V-06</t>
        </is>
      </c>
      <c r="E17" s="67" t="inlineStr">
        <is>
          <t>RS</t>
        </is>
      </c>
      <c r="F17" s="68" t="inlineStr">
        <is>
          <t>Koral</t>
        </is>
      </c>
      <c r="G17" s="75" t="n">
        <v>830</v>
      </c>
      <c r="H17" s="67" t="inlineStr">
        <is>
          <t>Kg</t>
        </is>
      </c>
      <c r="I17" s="76">
        <f>IF(OR($G17="",$H17="",NOT(ISNUMBER($G17))),"",IF($H17="Maund",ROUND($G17/37.32,2),$G17))</f>
        <v/>
      </c>
      <c r="J17" s="68" t="n"/>
    </row>
    <row r="18" ht="19.5" customHeight="1" s="45">
      <c r="B18" s="65" t="n">
        <v>46084</v>
      </c>
      <c r="C18" s="67" t="inlineStr">
        <is>
          <t>M1</t>
        </is>
      </c>
      <c r="D18" s="67" t="inlineStr">
        <is>
          <t>V-06</t>
        </is>
      </c>
      <c r="E18" s="67" t="inlineStr">
        <is>
          <t>RS</t>
        </is>
      </c>
      <c r="F18" s="68" t="inlineStr">
        <is>
          <t>Churi</t>
        </is>
      </c>
      <c r="G18" s="75" t="n">
        <v>420</v>
      </c>
      <c r="H18" s="67" t="inlineStr">
        <is>
          <t>Kg</t>
        </is>
      </c>
      <c r="I18" s="76">
        <f>IF(OR($G18="",$H18="",NOT(ISNUMBER($G18))),"",IF($H18="Maund",ROUND($G18/37.32,2),$G18))</f>
        <v/>
      </c>
      <c r="J18" s="68" t="n"/>
    </row>
    <row r="19" ht="19.5" customHeight="1" s="45">
      <c r="B19" s="65" t="n">
        <v>46084</v>
      </c>
      <c r="C19" s="67" t="inlineStr">
        <is>
          <t>M1</t>
        </is>
      </c>
      <c r="D19" s="67" t="inlineStr">
        <is>
          <t>V-07</t>
        </is>
      </c>
      <c r="E19" s="67" t="inlineStr">
        <is>
          <t>RS</t>
        </is>
      </c>
      <c r="F19" s="68" t="inlineStr">
        <is>
          <t>Lakkha</t>
        </is>
      </c>
      <c r="G19" s="75" t="n">
        <v>1000</v>
      </c>
      <c r="H19" s="67" t="inlineStr">
        <is>
          <t>Kg</t>
        </is>
      </c>
      <c r="I19" s="76">
        <f>IF(OR($G19="",$H19="",NOT(ISNUMBER($G19))),"",IF($H19="Maund",ROUND($G19/37.32,2),$G19))</f>
        <v/>
      </c>
      <c r="J19" s="68" t="n"/>
    </row>
    <row r="20" ht="19.5" customHeight="1" s="45">
      <c r="B20" s="65" t="n">
        <v>46084</v>
      </c>
      <c r="C20" s="67" t="inlineStr">
        <is>
          <t>M1</t>
        </is>
      </c>
      <c r="D20" s="67" t="inlineStr">
        <is>
          <t>V-07</t>
        </is>
      </c>
      <c r="E20" s="67" t="inlineStr">
        <is>
          <t>RS</t>
        </is>
      </c>
      <c r="F20" s="68" t="inlineStr">
        <is>
          <t>Koral</t>
        </is>
      </c>
      <c r="G20" s="75" t="n">
        <v>815</v>
      </c>
      <c r="H20" s="67" t="inlineStr">
        <is>
          <t>Kg</t>
        </is>
      </c>
      <c r="I20" s="76">
        <f>IF(OR($G20="",$H20="",NOT(ISNUMBER($G20))),"",IF($H20="Maund",ROUND($G20/37.32,2),$G20))</f>
        <v/>
      </c>
      <c r="J20" s="68" t="n"/>
    </row>
    <row r="21" ht="19.5" customHeight="1" s="45">
      <c r="B21" s="65" t="n">
        <v>46084</v>
      </c>
      <c r="C21" s="67" t="inlineStr">
        <is>
          <t>M1</t>
        </is>
      </c>
      <c r="D21" s="67" t="inlineStr">
        <is>
          <t>V-07</t>
        </is>
      </c>
      <c r="E21" s="67" t="inlineStr">
        <is>
          <t>RS</t>
        </is>
      </c>
      <c r="F21" s="68" t="inlineStr">
        <is>
          <t>Bagda chingri</t>
        </is>
      </c>
      <c r="G21" s="75" t="n">
        <v>955</v>
      </c>
      <c r="H21" s="67" t="inlineStr">
        <is>
          <t>Kg</t>
        </is>
      </c>
      <c r="I21" s="76">
        <f>IF(OR($G21="",$H21="",NOT(ISNUMBER($G21))),"",IF($H21="Maund",ROUND($G21/37.32,2),$G21))</f>
        <v/>
      </c>
      <c r="J21" s="68" t="n"/>
    </row>
    <row r="22" ht="19.5" customHeight="1" s="45">
      <c r="B22" s="65" t="n">
        <v>46084</v>
      </c>
      <c r="C22" s="67" t="inlineStr">
        <is>
          <t>M1</t>
        </is>
      </c>
      <c r="D22" s="67" t="inlineStr">
        <is>
          <t>V-08</t>
        </is>
      </c>
      <c r="E22" s="67" t="inlineStr">
        <is>
          <t>RS</t>
        </is>
      </c>
      <c r="F22" s="68" t="inlineStr">
        <is>
          <t>Loitta</t>
        </is>
      </c>
      <c r="G22" s="75" t="n">
        <v>250</v>
      </c>
      <c r="H22" s="67" t="inlineStr">
        <is>
          <t>Kg</t>
        </is>
      </c>
      <c r="I22" s="76">
        <f>IF(OR($G22="",$H22="",NOT(ISNUMBER($G22))),"",IF($H22="Maund",ROUND($G22/37.32,2),$G22))</f>
        <v/>
      </c>
      <c r="J22" s="68" t="n"/>
    </row>
    <row r="23" ht="19.5" customHeight="1" s="45">
      <c r="B23" s="65" t="n">
        <v>46084</v>
      </c>
      <c r="C23" s="67" t="inlineStr">
        <is>
          <t>M1</t>
        </is>
      </c>
      <c r="D23" s="67" t="inlineStr">
        <is>
          <t>V-08</t>
        </is>
      </c>
      <c r="E23" s="67" t="inlineStr">
        <is>
          <t>RS</t>
        </is>
      </c>
      <c r="F23" s="68" t="inlineStr">
        <is>
          <t>Harina</t>
        </is>
      </c>
      <c r="G23" s="75" t="n">
        <v>225</v>
      </c>
      <c r="H23" s="67" t="inlineStr">
        <is>
          <t>Kg</t>
        </is>
      </c>
      <c r="I23" s="76">
        <f>IF(OR($G23="",$H23="",NOT(ISNUMBER($G23))),"",IF($H23="Maund",ROUND($G23/37.32,2),$G23))</f>
        <v/>
      </c>
      <c r="J23" s="68" t="n"/>
    </row>
    <row r="24" ht="19.5" customHeight="1" s="45">
      <c r="B24" s="65" t="n">
        <v>46084</v>
      </c>
      <c r="C24" s="67" t="inlineStr">
        <is>
          <t>M1</t>
        </is>
      </c>
      <c r="D24" s="67" t="inlineStr">
        <is>
          <t>V-09</t>
        </is>
      </c>
      <c r="E24" s="67" t="inlineStr">
        <is>
          <t>RS</t>
        </is>
      </c>
      <c r="F24" s="68" t="inlineStr">
        <is>
          <t>Rupchanda</t>
        </is>
      </c>
      <c r="G24" s="75" t="n">
        <v>1495</v>
      </c>
      <c r="H24" s="67" t="inlineStr">
        <is>
          <t>Kg</t>
        </is>
      </c>
      <c r="I24" s="76">
        <f>IF(OR($G24="",$H24="",NOT(ISNUMBER($G24))),"",IF($H24="Maund",ROUND($G24/37.32,2),$G24))</f>
        <v/>
      </c>
      <c r="J24" s="68" t="n"/>
    </row>
    <row r="25" ht="19.5" customHeight="1" s="45">
      <c r="B25" s="65" t="n">
        <v>46084</v>
      </c>
      <c r="C25" s="67" t="inlineStr">
        <is>
          <t>M1</t>
        </is>
      </c>
      <c r="D25" s="67" t="inlineStr">
        <is>
          <t>V-09</t>
        </is>
      </c>
      <c r="E25" s="67" t="inlineStr">
        <is>
          <t>RS</t>
        </is>
      </c>
      <c r="F25" s="68" t="inlineStr">
        <is>
          <t>Koral</t>
        </is>
      </c>
      <c r="G25" s="75" t="n">
        <v>835</v>
      </c>
      <c r="H25" s="67" t="inlineStr">
        <is>
          <t>Kg</t>
        </is>
      </c>
      <c r="I25" s="76">
        <f>IF(OR($G25="",$H25="",NOT(ISNUMBER($G25))),"",IF($H25="Maund",ROUND($G25/37.32,2),$G25))</f>
        <v/>
      </c>
      <c r="J25" s="68" t="n"/>
    </row>
    <row r="26" ht="19.5" customHeight="1" s="45">
      <c r="B26" s="65" t="n">
        <v>46084</v>
      </c>
      <c r="C26" s="67" t="inlineStr">
        <is>
          <t>M1</t>
        </is>
      </c>
      <c r="D26" s="67" t="inlineStr">
        <is>
          <t>V-10</t>
        </is>
      </c>
      <c r="E26" s="67" t="inlineStr">
        <is>
          <t>RS</t>
        </is>
      </c>
      <c r="F26" s="68" t="inlineStr">
        <is>
          <t>Kankoita</t>
        </is>
      </c>
      <c r="G26" s="75" t="n">
        <v>330</v>
      </c>
      <c r="H26" s="67" t="inlineStr">
        <is>
          <t>Kg</t>
        </is>
      </c>
      <c r="I26" s="76">
        <f>IF(OR($G26="",$H26="",NOT(ISNUMBER($G26))),"",IF($H26="Maund",ROUND($G26/37.32,2),$G26))</f>
        <v/>
      </c>
      <c r="J26" s="68" t="n"/>
    </row>
    <row r="27" ht="19.5" customHeight="1" s="45">
      <c r="B27" s="65" t="n">
        <v>46084</v>
      </c>
      <c r="C27" s="67" t="inlineStr">
        <is>
          <t>M1</t>
        </is>
      </c>
      <c r="D27" s="67" t="inlineStr">
        <is>
          <t>V-11</t>
        </is>
      </c>
      <c r="E27" s="67" t="inlineStr">
        <is>
          <t>RS</t>
        </is>
      </c>
      <c r="F27" s="68" t="inlineStr">
        <is>
          <t>Koral</t>
        </is>
      </c>
      <c r="G27" s="75" t="n">
        <v>835</v>
      </c>
      <c r="H27" s="67" t="inlineStr">
        <is>
          <t>Kg</t>
        </is>
      </c>
      <c r="I27" s="76">
        <f>IF(OR($G27="",$H27="",NOT(ISNUMBER($G27))),"",IF($H27="Maund",ROUND($G27/37.32,2),$G27))</f>
        <v/>
      </c>
      <c r="J27" s="68" t="n"/>
    </row>
    <row r="28" ht="19.5" customHeight="1" s="45">
      <c r="B28" s="65" t="n">
        <v>46084</v>
      </c>
      <c r="C28" s="67" t="inlineStr">
        <is>
          <t>M1</t>
        </is>
      </c>
      <c r="D28" s="67" t="inlineStr">
        <is>
          <t>V-12</t>
        </is>
      </c>
      <c r="E28" s="67" t="inlineStr">
        <is>
          <t>RS</t>
        </is>
      </c>
      <c r="F28" s="68" t="inlineStr">
        <is>
          <t>Kankoita</t>
        </is>
      </c>
      <c r="G28" s="75" t="n">
        <v>320</v>
      </c>
      <c r="H28" s="67" t="inlineStr">
        <is>
          <t>Kg</t>
        </is>
      </c>
      <c r="I28" s="76">
        <f>IF(OR($G28="",$H28="",NOT(ISNUMBER($G28))),"",IF($H28="Maund",ROUND($G28/37.32,2),$G28))</f>
        <v/>
      </c>
      <c r="J28" s="68" t="n"/>
    </row>
    <row r="29" ht="19.5" customHeight="1" s="45">
      <c r="B29" s="65" t="n">
        <v>46085</v>
      </c>
      <c r="C29" s="67" t="inlineStr">
        <is>
          <t>M2</t>
        </is>
      </c>
      <c r="D29" s="67" t="inlineStr">
        <is>
          <t>V-01</t>
        </is>
      </c>
      <c r="E29" s="67" t="inlineStr">
        <is>
          <t>RS</t>
        </is>
      </c>
      <c r="F29" s="68" t="inlineStr">
        <is>
          <t>Ilish</t>
        </is>
      </c>
      <c r="G29" s="75" t="n">
        <v>1455</v>
      </c>
      <c r="H29" s="67" t="inlineStr">
        <is>
          <t>Kg</t>
        </is>
      </c>
      <c r="I29" s="76">
        <f>IF(OR($G29="",$H29="",NOT(ISNUMBER($G29))),"",IF($H29="Maund",ROUND($G29/37.32,2),$G29))</f>
        <v/>
      </c>
      <c r="J29" s="68" t="n"/>
    </row>
    <row r="30" ht="19.5" customHeight="1" s="45">
      <c r="B30" s="65" t="n">
        <v>46085</v>
      </c>
      <c r="C30" s="67" t="inlineStr">
        <is>
          <t>M2</t>
        </is>
      </c>
      <c r="D30" s="67" t="inlineStr">
        <is>
          <t>V-01</t>
        </is>
      </c>
      <c r="E30" s="67" t="inlineStr">
        <is>
          <t>RS</t>
        </is>
      </c>
      <c r="F30" s="68" t="inlineStr">
        <is>
          <t>Surma</t>
        </is>
      </c>
      <c r="G30" s="75" t="n">
        <v>580</v>
      </c>
      <c r="H30" s="67" t="inlineStr">
        <is>
          <t>Kg</t>
        </is>
      </c>
      <c r="I30" s="76">
        <f>IF(OR($G30="",$H30="",NOT(ISNUMBER($G30))),"",IF($H30="Maund",ROUND($G30/37.32,2),$G30))</f>
        <v/>
      </c>
      <c r="J30" s="68" t="n"/>
    </row>
    <row r="31" ht="19.5" customHeight="1" s="45">
      <c r="B31" s="65" t="n">
        <v>46085</v>
      </c>
      <c r="C31" s="67" t="inlineStr">
        <is>
          <t>M2</t>
        </is>
      </c>
      <c r="D31" s="67" t="inlineStr">
        <is>
          <t>V-01</t>
        </is>
      </c>
      <c r="E31" s="67" t="inlineStr">
        <is>
          <t>RS</t>
        </is>
      </c>
      <c r="F31" s="68" t="inlineStr">
        <is>
          <t>Chatka chingri</t>
        </is>
      </c>
      <c r="G31" s="75" t="n">
        <v>445</v>
      </c>
      <c r="H31" s="67" t="inlineStr">
        <is>
          <t>Kg</t>
        </is>
      </c>
      <c r="I31" s="76">
        <f>IF(OR($G31="",$H31="",NOT(ISNUMBER($G31))),"",IF($H31="Maund",ROUND($G31/37.32,2),$G31))</f>
        <v/>
      </c>
      <c r="J31" s="68" t="n"/>
    </row>
    <row r="32" ht="19.5" customHeight="1" s="45">
      <c r="B32" s="65" t="n">
        <v>46085</v>
      </c>
      <c r="C32" s="67" t="inlineStr">
        <is>
          <t>M2</t>
        </is>
      </c>
      <c r="D32" s="67" t="inlineStr">
        <is>
          <t>V-02</t>
        </is>
      </c>
      <c r="E32" s="67" t="inlineStr">
        <is>
          <t>RS</t>
        </is>
      </c>
      <c r="F32" s="68" t="inlineStr">
        <is>
          <t>Rupchanda</t>
        </is>
      </c>
      <c r="G32" s="75" t="n">
        <v>1595</v>
      </c>
      <c r="H32" s="67" t="inlineStr">
        <is>
          <t>Kg</t>
        </is>
      </c>
      <c r="I32" s="76">
        <f>IF(OR($G32="",$H32="",NOT(ISNUMBER($G32))),"",IF($H32="Maund",ROUND($G32/37.32,2),$G32))</f>
        <v/>
      </c>
      <c r="J32" s="68" t="n"/>
    </row>
    <row r="33" ht="19.5" customHeight="1" s="45">
      <c r="B33" s="65" t="n">
        <v>46085</v>
      </c>
      <c r="C33" s="67" t="inlineStr">
        <is>
          <t>M2</t>
        </is>
      </c>
      <c r="D33" s="67" t="inlineStr">
        <is>
          <t>V-02</t>
        </is>
      </c>
      <c r="E33" s="67" t="inlineStr">
        <is>
          <t>RS</t>
        </is>
      </c>
      <c r="F33" s="68" t="inlineStr">
        <is>
          <t>Harina</t>
        </is>
      </c>
      <c r="G33" s="75" t="n">
        <v>230</v>
      </c>
      <c r="H33" s="67" t="inlineStr">
        <is>
          <t>Kg</t>
        </is>
      </c>
      <c r="I33" s="76">
        <f>IF(OR($G33="",$H33="",NOT(ISNUMBER($G33))),"",IF($H33="Maund",ROUND($G33/37.32,2),$G33))</f>
        <v/>
      </c>
      <c r="J33" s="68" t="n"/>
    </row>
    <row r="34" ht="19.5" customHeight="1" s="45">
      <c r="B34" s="65" t="n">
        <v>46085</v>
      </c>
      <c r="C34" s="67" t="inlineStr">
        <is>
          <t>M2</t>
        </is>
      </c>
      <c r="D34" s="67" t="inlineStr">
        <is>
          <t>V-03</t>
        </is>
      </c>
      <c r="E34" s="67" t="inlineStr">
        <is>
          <t>RS</t>
        </is>
      </c>
      <c r="F34" s="68" t="inlineStr">
        <is>
          <t>Ilish</t>
        </is>
      </c>
      <c r="G34" s="75" t="n">
        <v>1400</v>
      </c>
      <c r="H34" s="67" t="inlineStr">
        <is>
          <t>Kg</t>
        </is>
      </c>
      <c r="I34" s="76">
        <f>IF(OR($G34="",$H34="",NOT(ISNUMBER($G34))),"",IF($H34="Maund",ROUND($G34/37.32,2),$G34))</f>
        <v/>
      </c>
      <c r="J34" s="68" t="n"/>
    </row>
    <row r="35" ht="19.5" customHeight="1" s="45">
      <c r="B35" s="65" t="n">
        <v>46085</v>
      </c>
      <c r="C35" s="67" t="inlineStr">
        <is>
          <t>M2</t>
        </is>
      </c>
      <c r="D35" s="67" t="inlineStr">
        <is>
          <t>V-03</t>
        </is>
      </c>
      <c r="E35" s="67" t="inlineStr">
        <is>
          <t>RS</t>
        </is>
      </c>
      <c r="F35" s="68" t="inlineStr">
        <is>
          <t>Rupchanda</t>
        </is>
      </c>
      <c r="G35" s="75" t="n">
        <v>1545</v>
      </c>
      <c r="H35" s="67" t="inlineStr">
        <is>
          <t>Kg</t>
        </is>
      </c>
      <c r="I35" s="76">
        <f>IF(OR($G35="",$H35="",NOT(ISNUMBER($G35))),"",IF($H35="Maund",ROUND($G35/37.32,2),$G35))</f>
        <v/>
      </c>
      <c r="J35" s="68" t="n"/>
    </row>
    <row r="36" ht="19.5" customHeight="1" s="45">
      <c r="B36" s="65" t="n">
        <v>46085</v>
      </c>
      <c r="C36" s="67" t="inlineStr">
        <is>
          <t>M2</t>
        </is>
      </c>
      <c r="D36" s="67" t="inlineStr">
        <is>
          <t>V-03</t>
        </is>
      </c>
      <c r="E36" s="67" t="inlineStr">
        <is>
          <t>RS</t>
        </is>
      </c>
      <c r="F36" s="68" t="inlineStr">
        <is>
          <t>Kakra (crab)</t>
        </is>
      </c>
      <c r="G36" s="75" t="n">
        <v>540</v>
      </c>
      <c r="H36" s="67" t="inlineStr">
        <is>
          <t>Kg</t>
        </is>
      </c>
      <c r="I36" s="76">
        <f>IF(OR($G36="",$H36="",NOT(ISNUMBER($G36))),"",IF($H36="Maund",ROUND($G36/37.32,2),$G36))</f>
        <v/>
      </c>
      <c r="J36" s="68" t="n"/>
    </row>
    <row r="37" ht="19.5" customHeight="1" s="45">
      <c r="B37" s="65" t="n">
        <v>46085</v>
      </c>
      <c r="C37" s="67" t="inlineStr">
        <is>
          <t>M2</t>
        </is>
      </c>
      <c r="D37" s="67" t="inlineStr">
        <is>
          <t>V-04</t>
        </is>
      </c>
      <c r="E37" s="67" t="inlineStr">
        <is>
          <t>RS</t>
        </is>
      </c>
      <c r="F37" s="68" t="inlineStr">
        <is>
          <t>Rupchanda</t>
        </is>
      </c>
      <c r="G37" s="75" t="n">
        <v>1600</v>
      </c>
      <c r="H37" s="67" t="inlineStr">
        <is>
          <t>Kg</t>
        </is>
      </c>
      <c r="I37" s="76">
        <f>IF(OR($G37="",$H37="",NOT(ISNUMBER($G37))),"",IF($H37="Maund",ROUND($G37/37.32,2),$G37))</f>
        <v/>
      </c>
      <c r="J37" s="68" t="n"/>
    </row>
    <row r="38" ht="19.5" customHeight="1" s="45">
      <c r="B38" s="65" t="n">
        <v>46085</v>
      </c>
      <c r="C38" s="67" t="inlineStr">
        <is>
          <t>M2</t>
        </is>
      </c>
      <c r="D38" s="67" t="inlineStr">
        <is>
          <t>V-04</t>
        </is>
      </c>
      <c r="E38" s="67" t="inlineStr">
        <is>
          <t>RS</t>
        </is>
      </c>
      <c r="F38" s="68" t="inlineStr">
        <is>
          <t>Lakkha</t>
        </is>
      </c>
      <c r="G38" s="75" t="n">
        <v>1015</v>
      </c>
      <c r="H38" s="67" t="inlineStr">
        <is>
          <t>Kg</t>
        </is>
      </c>
      <c r="I38" s="76">
        <f>IF(OR($G38="",$H38="",NOT(ISNUMBER($G38))),"",IF($H38="Maund",ROUND($G38/37.32,2),$G38))</f>
        <v/>
      </c>
      <c r="J38" s="68" t="n"/>
    </row>
    <row r="39" ht="19.5" customHeight="1" s="45">
      <c r="B39" s="65" t="n">
        <v>46085</v>
      </c>
      <c r="C39" s="67" t="inlineStr">
        <is>
          <t>M2</t>
        </is>
      </c>
      <c r="D39" s="67" t="inlineStr">
        <is>
          <t>V-05</t>
        </is>
      </c>
      <c r="E39" s="67" t="inlineStr">
        <is>
          <t>RS</t>
        </is>
      </c>
      <c r="F39" s="68" t="inlineStr">
        <is>
          <t>Kankoita</t>
        </is>
      </c>
      <c r="G39" s="75" t="n">
        <v>335</v>
      </c>
      <c r="H39" s="67" t="inlineStr">
        <is>
          <t>Kg</t>
        </is>
      </c>
      <c r="I39" s="76">
        <f>IF(OR($G39="",$H39="",NOT(ISNUMBER($G39))),"",IF($H39="Maund",ROUND($G39/37.32,2),$G39))</f>
        <v/>
      </c>
      <c r="J39" s="68" t="n"/>
    </row>
    <row r="40" ht="19.5" customHeight="1" s="45">
      <c r="B40" s="65" t="n">
        <v>46085</v>
      </c>
      <c r="C40" s="67" t="inlineStr">
        <is>
          <t>M2</t>
        </is>
      </c>
      <c r="D40" s="67" t="inlineStr">
        <is>
          <t>V-05</t>
        </is>
      </c>
      <c r="E40" s="67" t="inlineStr">
        <is>
          <t>RS</t>
        </is>
      </c>
      <c r="F40" s="68" t="inlineStr">
        <is>
          <t>Loitta</t>
        </is>
      </c>
      <c r="G40" s="75" t="n">
        <v>270</v>
      </c>
      <c r="H40" s="67" t="inlineStr">
        <is>
          <t>Kg</t>
        </is>
      </c>
      <c r="I40" s="76">
        <f>IF(OR($G40="",$H40="",NOT(ISNUMBER($G40))),"",IF($H40="Maund",ROUND($G40/37.32,2),$G40))</f>
        <v/>
      </c>
      <c r="J40" s="68" t="n"/>
    </row>
    <row r="41" ht="19.5" customHeight="1" s="45">
      <c r="B41" s="65" t="n">
        <v>46085</v>
      </c>
      <c r="C41" s="67" t="inlineStr">
        <is>
          <t>M2</t>
        </is>
      </c>
      <c r="D41" s="67" t="inlineStr">
        <is>
          <t>V-05</t>
        </is>
      </c>
      <c r="E41" s="67" t="inlineStr">
        <is>
          <t>RS</t>
        </is>
      </c>
      <c r="F41" s="68" t="inlineStr">
        <is>
          <t>Bagda chingri</t>
        </is>
      </c>
      <c r="G41" s="75" t="n">
        <v>885</v>
      </c>
      <c r="H41" s="67" t="inlineStr">
        <is>
          <t>Kg</t>
        </is>
      </c>
      <c r="I41" s="76">
        <f>IF(OR($G41="",$H41="",NOT(ISNUMBER($G41))),"",IF($H41="Maund",ROUND($G41/37.32,2),$G41))</f>
        <v/>
      </c>
      <c r="J41" s="68" t="n"/>
    </row>
    <row r="42" ht="19.5" customHeight="1" s="45">
      <c r="B42" s="65" t="n">
        <v>46085</v>
      </c>
      <c r="C42" s="67" t="inlineStr">
        <is>
          <t>M2</t>
        </is>
      </c>
      <c r="D42" s="67" t="inlineStr">
        <is>
          <t>V-06</t>
        </is>
      </c>
      <c r="E42" s="67" t="inlineStr">
        <is>
          <t>RS</t>
        </is>
      </c>
      <c r="F42" s="68" t="inlineStr">
        <is>
          <t>Ilish</t>
        </is>
      </c>
      <c r="G42" s="75" t="n">
        <v>1490</v>
      </c>
      <c r="H42" s="67" t="inlineStr">
        <is>
          <t>Kg</t>
        </is>
      </c>
      <c r="I42" s="76">
        <f>IF(OR($G42="",$H42="",NOT(ISNUMBER($G42))),"",IF($H42="Maund",ROUND($G42/37.32,2),$G42))</f>
        <v/>
      </c>
      <c r="J42" s="68" t="n"/>
    </row>
    <row r="43" ht="19.5" customHeight="1" s="45">
      <c r="B43" s="65" t="n">
        <v>46085</v>
      </c>
      <c r="C43" s="67" t="inlineStr">
        <is>
          <t>M2</t>
        </is>
      </c>
      <c r="D43" s="67" t="inlineStr">
        <is>
          <t>V-06</t>
        </is>
      </c>
      <c r="E43" s="67" t="inlineStr">
        <is>
          <t>RS</t>
        </is>
      </c>
      <c r="F43" s="68" t="inlineStr">
        <is>
          <t>Churi</t>
        </is>
      </c>
      <c r="G43" s="75" t="n">
        <v>455</v>
      </c>
      <c r="H43" s="67" t="inlineStr">
        <is>
          <t>Kg</t>
        </is>
      </c>
      <c r="I43" s="76">
        <f>IF(OR($G43="",$H43="",NOT(ISNUMBER($G43))),"",IF($H43="Maund",ROUND($G43/37.32,2),$G43))</f>
        <v/>
      </c>
      <c r="J43" s="68" t="n"/>
    </row>
    <row r="44" ht="19.5" customHeight="1" s="45">
      <c r="B44" s="65" t="n">
        <v>46085</v>
      </c>
      <c r="C44" s="67" t="inlineStr">
        <is>
          <t>M2</t>
        </is>
      </c>
      <c r="D44" s="67" t="inlineStr">
        <is>
          <t>V-07</t>
        </is>
      </c>
      <c r="E44" s="67" t="inlineStr">
        <is>
          <t>RS</t>
        </is>
      </c>
      <c r="F44" s="68" t="inlineStr">
        <is>
          <t>Ilish</t>
        </is>
      </c>
      <c r="G44" s="75" t="n">
        <v>1400</v>
      </c>
      <c r="H44" s="67" t="inlineStr">
        <is>
          <t>Kg</t>
        </is>
      </c>
      <c r="I44" s="76">
        <f>IF(OR($G44="",$H44="",NOT(ISNUMBER($G44))),"",IF($H44="Maund",ROUND($G44/37.32,2),$G44))</f>
        <v/>
      </c>
      <c r="J44" s="68" t="n"/>
    </row>
    <row r="45" ht="19.5" customHeight="1" s="45">
      <c r="B45" s="65" t="n">
        <v>46085</v>
      </c>
      <c r="C45" s="67" t="inlineStr">
        <is>
          <t>M2</t>
        </is>
      </c>
      <c r="D45" s="67" t="inlineStr">
        <is>
          <t>V-07</t>
        </is>
      </c>
      <c r="E45" s="67" t="inlineStr">
        <is>
          <t>RS</t>
        </is>
      </c>
      <c r="F45" s="68" t="inlineStr">
        <is>
          <t>Surma</t>
        </is>
      </c>
      <c r="G45" s="75" t="n">
        <v>585</v>
      </c>
      <c r="H45" s="67" t="inlineStr">
        <is>
          <t>Kg</t>
        </is>
      </c>
      <c r="I45" s="76">
        <f>IF(OR($G45="",$H45="",NOT(ISNUMBER($G45))),"",IF($H45="Maund",ROUND($G45/37.32,2),$G45))</f>
        <v/>
      </c>
      <c r="J45" s="68" t="n"/>
    </row>
    <row r="46" ht="19.5" customHeight="1" s="45">
      <c r="B46" s="65" t="n">
        <v>46085</v>
      </c>
      <c r="C46" s="67" t="inlineStr">
        <is>
          <t>M2</t>
        </is>
      </c>
      <c r="D46" s="67" t="inlineStr">
        <is>
          <t>V-08</t>
        </is>
      </c>
      <c r="E46" s="67" t="inlineStr">
        <is>
          <t>RS</t>
        </is>
      </c>
      <c r="F46" s="68" t="inlineStr">
        <is>
          <t>Kankoita</t>
        </is>
      </c>
      <c r="G46" s="75" t="n">
        <v>335</v>
      </c>
      <c r="H46" s="67" t="inlineStr">
        <is>
          <t>Kg</t>
        </is>
      </c>
      <c r="I46" s="76">
        <f>IF(OR($G46="",$H46="",NOT(ISNUMBER($G46))),"",IF($H46="Maund",ROUND($G46/37.32,2),$G46))</f>
        <v/>
      </c>
      <c r="J46" s="68" t="n"/>
    </row>
    <row r="47" ht="19.5" customHeight="1" s="45">
      <c r="B47" s="65" t="n">
        <v>46085</v>
      </c>
      <c r="C47" s="67" t="inlineStr">
        <is>
          <t>M2</t>
        </is>
      </c>
      <c r="D47" s="67" t="inlineStr">
        <is>
          <t>V-09</t>
        </is>
      </c>
      <c r="E47" s="67" t="inlineStr">
        <is>
          <t>RS</t>
        </is>
      </c>
      <c r="F47" s="68" t="inlineStr">
        <is>
          <t>Ilish</t>
        </is>
      </c>
      <c r="G47" s="75" t="n">
        <v>1420</v>
      </c>
      <c r="H47" s="67" t="inlineStr">
        <is>
          <t>Kg</t>
        </is>
      </c>
      <c r="I47" s="76">
        <f>IF(OR($G47="",$H47="",NOT(ISNUMBER($G47))),"",IF($H47="Maund",ROUND($G47/37.32,2),$G47))</f>
        <v/>
      </c>
      <c r="J47" s="68" t="n"/>
    </row>
    <row r="48" ht="19.5" customHeight="1" s="45">
      <c r="B48" s="65" t="n">
        <v>46085</v>
      </c>
      <c r="C48" s="67" t="inlineStr">
        <is>
          <t>M2</t>
        </is>
      </c>
      <c r="D48" s="67" t="inlineStr">
        <is>
          <t>V-09</t>
        </is>
      </c>
      <c r="E48" s="67" t="inlineStr">
        <is>
          <t>RS</t>
        </is>
      </c>
      <c r="F48" s="68" t="inlineStr">
        <is>
          <t>Lakkha</t>
        </is>
      </c>
      <c r="G48" s="75" t="n">
        <v>1045</v>
      </c>
      <c r="H48" s="67" t="inlineStr">
        <is>
          <t>Kg</t>
        </is>
      </c>
      <c r="I48" s="76">
        <f>IF(OR($G48="",$H48="",NOT(ISNUMBER($G48))),"",IF($H48="Maund",ROUND($G48/37.32,2),$G48))</f>
        <v/>
      </c>
      <c r="J48" s="68" t="n"/>
    </row>
    <row r="49" ht="19.5" customHeight="1" s="45">
      <c r="B49" s="65" t="n">
        <v>46085</v>
      </c>
      <c r="C49" s="67" t="inlineStr">
        <is>
          <t>M2</t>
        </is>
      </c>
      <c r="D49" s="67" t="inlineStr">
        <is>
          <t>V-09</t>
        </is>
      </c>
      <c r="E49" s="67" t="inlineStr">
        <is>
          <t>RS</t>
        </is>
      </c>
      <c r="F49" s="68" t="inlineStr">
        <is>
          <t>Faisya</t>
        </is>
      </c>
      <c r="G49" s="75" t="n">
        <v>365</v>
      </c>
      <c r="H49" s="67" t="inlineStr">
        <is>
          <t>Kg</t>
        </is>
      </c>
      <c r="I49" s="76">
        <f>IF(OR($G49="",$H49="",NOT(ISNUMBER($G49))),"",IF($H49="Maund",ROUND($G49/37.32,2),$G49))</f>
        <v/>
      </c>
      <c r="J49" s="68" t="n"/>
    </row>
    <row r="50" ht="19.5" customHeight="1" s="45">
      <c r="B50" s="65" t="n">
        <v>46085</v>
      </c>
      <c r="C50" s="67" t="inlineStr">
        <is>
          <t>M2</t>
        </is>
      </c>
      <c r="D50" s="67" t="inlineStr">
        <is>
          <t>V-10</t>
        </is>
      </c>
      <c r="E50" s="67" t="inlineStr">
        <is>
          <t>RS</t>
        </is>
      </c>
      <c r="F50" s="68" t="inlineStr">
        <is>
          <t>Surma</t>
        </is>
      </c>
      <c r="G50" s="75" t="n">
        <v>585</v>
      </c>
      <c r="H50" s="67" t="inlineStr">
        <is>
          <t>Kg</t>
        </is>
      </c>
      <c r="I50" s="76">
        <f>IF(OR($G50="",$H50="",NOT(ISNUMBER($G50))),"",IF($H50="Maund",ROUND($G50/37.32,2),$G50))</f>
        <v/>
      </c>
      <c r="J50" s="68" t="n"/>
    </row>
    <row r="51" ht="19.5" customHeight="1" s="45">
      <c r="B51" s="65" t="n">
        <v>46085</v>
      </c>
      <c r="C51" s="67" t="inlineStr">
        <is>
          <t>M2</t>
        </is>
      </c>
      <c r="D51" s="67" t="inlineStr">
        <is>
          <t>V-10</t>
        </is>
      </c>
      <c r="E51" s="67" t="inlineStr">
        <is>
          <t>RS</t>
        </is>
      </c>
      <c r="F51" s="68" t="inlineStr">
        <is>
          <t>Loitta</t>
        </is>
      </c>
      <c r="G51" s="75" t="n">
        <v>270</v>
      </c>
      <c r="H51" s="67" t="inlineStr">
        <is>
          <t>Kg</t>
        </is>
      </c>
      <c r="I51" s="76">
        <f>IF(OR($G51="",$H51="",NOT(ISNUMBER($G51))),"",IF($H51="Maund",ROUND($G51/37.32,2),$G51))</f>
        <v/>
      </c>
      <c r="J51" s="68" t="n"/>
    </row>
    <row r="52" ht="19.5" customHeight="1" s="45">
      <c r="B52" s="65" t="n">
        <v>46085</v>
      </c>
      <c r="C52" s="67" t="inlineStr">
        <is>
          <t>M2</t>
        </is>
      </c>
      <c r="D52" s="67" t="inlineStr">
        <is>
          <t>V-10</t>
        </is>
      </c>
      <c r="E52" s="67" t="inlineStr">
        <is>
          <t>RS</t>
        </is>
      </c>
      <c r="F52" s="68" t="inlineStr">
        <is>
          <t>Khoira</t>
        </is>
      </c>
      <c r="G52" s="75" t="n">
        <v>260</v>
      </c>
      <c r="H52" s="67" t="inlineStr">
        <is>
          <t>Kg</t>
        </is>
      </c>
      <c r="I52" s="76">
        <f>IF(OR($G52="",$H52="",NOT(ISNUMBER($G52))),"",IF($H52="Maund",ROUND($G52/37.32,2),$G52))</f>
        <v/>
      </c>
      <c r="J52" s="68" t="n"/>
    </row>
    <row r="53" ht="19.5" customHeight="1" s="45">
      <c r="B53" s="65" t="n">
        <v>46085</v>
      </c>
      <c r="C53" s="67" t="inlineStr">
        <is>
          <t>M2</t>
        </is>
      </c>
      <c r="D53" s="67" t="inlineStr">
        <is>
          <t>V-11</t>
        </is>
      </c>
      <c r="E53" s="67" t="inlineStr">
        <is>
          <t>RS</t>
        </is>
      </c>
      <c r="F53" s="68" t="inlineStr">
        <is>
          <t>Ilish</t>
        </is>
      </c>
      <c r="G53" s="75" t="n">
        <v>1445</v>
      </c>
      <c r="H53" s="67" t="inlineStr">
        <is>
          <t>Kg</t>
        </is>
      </c>
      <c r="I53" s="76">
        <f>IF(OR($G53="",$H53="",NOT(ISNUMBER($G53))),"",IF($H53="Maund",ROUND($G53/37.32,2),$G53))</f>
        <v/>
      </c>
      <c r="J53" s="68" t="n"/>
    </row>
    <row r="54" ht="19.5" customHeight="1" s="45">
      <c r="B54" s="65" t="n">
        <v>46085</v>
      </c>
      <c r="C54" s="67" t="inlineStr">
        <is>
          <t>M2</t>
        </is>
      </c>
      <c r="D54" s="67" t="inlineStr">
        <is>
          <t>V-11</t>
        </is>
      </c>
      <c r="E54" s="67" t="inlineStr">
        <is>
          <t>RS</t>
        </is>
      </c>
      <c r="F54" s="68" t="inlineStr">
        <is>
          <t>Lakkha</t>
        </is>
      </c>
      <c r="G54" s="75" t="n">
        <v>1045</v>
      </c>
      <c r="H54" s="67" t="inlineStr">
        <is>
          <t>Kg</t>
        </is>
      </c>
      <c r="I54" s="76">
        <f>IF(OR($G54="",$H54="",NOT(ISNUMBER($G54))),"",IF($H54="Maund",ROUND($G54/37.32,2),$G54))</f>
        <v/>
      </c>
      <c r="J54" s="68" t="n"/>
    </row>
    <row r="55" ht="19.5" customHeight="1" s="45">
      <c r="B55" s="65" t="n">
        <v>46085</v>
      </c>
      <c r="C55" s="67" t="inlineStr">
        <is>
          <t>M2</t>
        </is>
      </c>
      <c r="D55" s="67" t="inlineStr">
        <is>
          <t>V-12</t>
        </is>
      </c>
      <c r="E55" s="67" t="inlineStr">
        <is>
          <t>RS</t>
        </is>
      </c>
      <c r="F55" s="68" t="inlineStr">
        <is>
          <t>Churi</t>
        </is>
      </c>
      <c r="G55" s="75" t="n">
        <v>440</v>
      </c>
      <c r="H55" s="67" t="inlineStr">
        <is>
          <t>Kg</t>
        </is>
      </c>
      <c r="I55" s="76">
        <f>IF(OR($G55="",$H55="",NOT(ISNUMBER($G55))),"",IF($H55="Maund",ROUND($G55/37.32,2),$G55))</f>
        <v/>
      </c>
      <c r="J55" s="68" t="n"/>
    </row>
    <row r="56" ht="19.5" customHeight="1" s="45">
      <c r="B56" s="65" t="n">
        <v>46085</v>
      </c>
      <c r="C56" s="67" t="inlineStr">
        <is>
          <t>M2</t>
        </is>
      </c>
      <c r="D56" s="67" t="inlineStr">
        <is>
          <t>V-12</t>
        </is>
      </c>
      <c r="E56" s="67" t="inlineStr">
        <is>
          <t>RS</t>
        </is>
      </c>
      <c r="F56" s="68" t="inlineStr">
        <is>
          <t>Loitta</t>
        </is>
      </c>
      <c r="G56" s="75" t="n">
        <v>270</v>
      </c>
      <c r="H56" s="67" t="inlineStr">
        <is>
          <t>Kg</t>
        </is>
      </c>
      <c r="I56" s="76">
        <f>IF(OR($G56="",$H56="",NOT(ISNUMBER($G56))),"",IF($H56="Maund",ROUND($G56/37.32,2),$G56))</f>
        <v/>
      </c>
      <c r="J56" s="68" t="n"/>
    </row>
    <row r="57" ht="19.5" customHeight="1" s="45">
      <c r="B57" s="65" t="n">
        <v>46086</v>
      </c>
      <c r="C57" s="67" t="inlineStr">
        <is>
          <t>M3</t>
        </is>
      </c>
      <c r="D57" s="67" t="inlineStr">
        <is>
          <t>V-01</t>
        </is>
      </c>
      <c r="E57" s="67" t="inlineStr">
        <is>
          <t>RS</t>
        </is>
      </c>
      <c r="F57" s="68" t="inlineStr">
        <is>
          <t>Rupchanda</t>
        </is>
      </c>
      <c r="G57" s="75" t="n">
        <v>1610</v>
      </c>
      <c r="H57" s="67" t="inlineStr">
        <is>
          <t>Kg</t>
        </is>
      </c>
      <c r="I57" s="76">
        <f>IF(OR($G57="",$H57="",NOT(ISNUMBER($G57))),"",IF($H57="Maund",ROUND($G57/37.32,2),$G57))</f>
        <v/>
      </c>
      <c r="J57" s="68" t="n"/>
    </row>
    <row r="58" ht="19.5" customHeight="1" s="45">
      <c r="B58" s="65" t="n">
        <v>46086</v>
      </c>
      <c r="C58" s="67" t="inlineStr">
        <is>
          <t>M3</t>
        </is>
      </c>
      <c r="D58" s="67" t="inlineStr">
        <is>
          <t>V-01</t>
        </is>
      </c>
      <c r="E58" s="67" t="inlineStr">
        <is>
          <t>RS</t>
        </is>
      </c>
      <c r="F58" s="68" t="inlineStr">
        <is>
          <t>Loitta</t>
        </is>
      </c>
      <c r="G58" s="75" t="n">
        <v>260</v>
      </c>
      <c r="H58" s="67" t="inlineStr">
        <is>
          <t>Kg</t>
        </is>
      </c>
      <c r="I58" s="76">
        <f>IF(OR($G58="",$H58="",NOT(ISNUMBER($G58))),"",IF($H58="Maund",ROUND($G58/37.32,2),$G58))</f>
        <v/>
      </c>
      <c r="J58" s="68" t="n"/>
    </row>
    <row r="59" ht="19.5" customHeight="1" s="45">
      <c r="B59" s="65" t="n">
        <v>46086</v>
      </c>
      <c r="C59" s="67" t="inlineStr">
        <is>
          <t>M3</t>
        </is>
      </c>
      <c r="D59" s="67" t="inlineStr">
        <is>
          <t>V-02</t>
        </is>
      </c>
      <c r="E59" s="67" t="inlineStr">
        <is>
          <t>RS</t>
        </is>
      </c>
      <c r="F59" s="68" t="inlineStr">
        <is>
          <t>Churi</t>
        </is>
      </c>
      <c r="G59" s="75" t="n">
        <v>450</v>
      </c>
      <c r="H59" s="67" t="inlineStr">
        <is>
          <t>Kg</t>
        </is>
      </c>
      <c r="I59" s="76">
        <f>IF(OR($G59="",$H59="",NOT(ISNUMBER($G59))),"",IF($H59="Maund",ROUND($G59/37.32,2),$G59))</f>
        <v/>
      </c>
      <c r="J59" s="68" t="n"/>
    </row>
    <row r="60" ht="19.5" customHeight="1" s="45">
      <c r="B60" s="65" t="n">
        <v>46086</v>
      </c>
      <c r="C60" s="67" t="inlineStr">
        <is>
          <t>M3</t>
        </is>
      </c>
      <c r="D60" s="67" t="inlineStr">
        <is>
          <t>V-02</t>
        </is>
      </c>
      <c r="E60" s="67" t="inlineStr">
        <is>
          <t>RS</t>
        </is>
      </c>
      <c r="F60" s="68" t="inlineStr">
        <is>
          <t>Poa</t>
        </is>
      </c>
      <c r="G60" s="75" t="n">
        <v>525</v>
      </c>
      <c r="H60" s="67" t="inlineStr">
        <is>
          <t>Kg</t>
        </is>
      </c>
      <c r="I60" s="76">
        <f>IF(OR($G60="",$H60="",NOT(ISNUMBER($G60))),"",IF($H60="Maund",ROUND($G60/37.32,2),$G60))</f>
        <v/>
      </c>
      <c r="J60" s="68" t="n"/>
    </row>
    <row r="61" ht="19.5" customHeight="1" s="45">
      <c r="B61" s="65" t="n">
        <v>46086</v>
      </c>
      <c r="C61" s="67" t="inlineStr">
        <is>
          <t>M3</t>
        </is>
      </c>
      <c r="D61" s="67" t="inlineStr">
        <is>
          <t>V-02</t>
        </is>
      </c>
      <c r="E61" s="67" t="inlineStr">
        <is>
          <t>RS</t>
        </is>
      </c>
      <c r="F61" s="68" t="inlineStr">
        <is>
          <t>Faisya</t>
        </is>
      </c>
      <c r="G61" s="75" t="n">
        <v>330</v>
      </c>
      <c r="H61" s="67" t="inlineStr">
        <is>
          <t>Kg</t>
        </is>
      </c>
      <c r="I61" s="76">
        <f>IF(OR($G61="",$H61="",NOT(ISNUMBER($G61))),"",IF($H61="Maund",ROUND($G61/37.32,2),$G61))</f>
        <v/>
      </c>
      <c r="J61" s="68" t="n"/>
    </row>
    <row r="62" ht="19.5" customHeight="1" s="45">
      <c r="B62" s="65" t="n">
        <v>46086</v>
      </c>
      <c r="C62" s="67" t="inlineStr">
        <is>
          <t>M3</t>
        </is>
      </c>
      <c r="D62" s="67" t="inlineStr">
        <is>
          <t>V-03</t>
        </is>
      </c>
      <c r="E62" s="67" t="inlineStr">
        <is>
          <t>RS</t>
        </is>
      </c>
      <c r="F62" s="68" t="inlineStr">
        <is>
          <t>Koral</t>
        </is>
      </c>
      <c r="G62" s="75" t="n">
        <v>895</v>
      </c>
      <c r="H62" s="67" t="inlineStr">
        <is>
          <t>Kg</t>
        </is>
      </c>
      <c r="I62" s="76">
        <f>IF(OR($G62="",$H62="",NOT(ISNUMBER($G62))),"",IF($H62="Maund",ROUND($G62/37.32,2),$G62))</f>
        <v/>
      </c>
      <c r="J62" s="68" t="n"/>
    </row>
    <row r="63" ht="19.5" customHeight="1" s="45">
      <c r="B63" s="65" t="n">
        <v>46086</v>
      </c>
      <c r="C63" s="67" t="inlineStr">
        <is>
          <t>M3</t>
        </is>
      </c>
      <c r="D63" s="67" t="inlineStr">
        <is>
          <t>V-03</t>
        </is>
      </c>
      <c r="E63" s="67" t="inlineStr">
        <is>
          <t>RS</t>
        </is>
      </c>
      <c r="F63" s="68" t="inlineStr">
        <is>
          <t>Surma</t>
        </is>
      </c>
      <c r="G63" s="75" t="n">
        <v>600</v>
      </c>
      <c r="H63" s="67" t="inlineStr">
        <is>
          <t>Kg</t>
        </is>
      </c>
      <c r="I63" s="76">
        <f>IF(OR($G63="",$H63="",NOT(ISNUMBER($G63))),"",IF($H63="Maund",ROUND($G63/37.32,2),$G63))</f>
        <v/>
      </c>
      <c r="J63" s="68" t="n"/>
    </row>
    <row r="64" ht="19.5" customHeight="1" s="45">
      <c r="B64" s="65" t="n">
        <v>46086</v>
      </c>
      <c r="C64" s="67" t="inlineStr">
        <is>
          <t>M3</t>
        </is>
      </c>
      <c r="D64" s="67" t="inlineStr">
        <is>
          <t>V-04</t>
        </is>
      </c>
      <c r="E64" s="67" t="inlineStr">
        <is>
          <t>RS</t>
        </is>
      </c>
      <c r="F64" s="68" t="inlineStr">
        <is>
          <t>Rupchanda</t>
        </is>
      </c>
      <c r="G64" s="75" t="n">
        <v>1560</v>
      </c>
      <c r="H64" s="67" t="inlineStr">
        <is>
          <t>Kg</t>
        </is>
      </c>
      <c r="I64" s="76">
        <f>IF(OR($G64="",$H64="",NOT(ISNUMBER($G64))),"",IF($H64="Maund",ROUND($G64/37.32,2),$G64))</f>
        <v/>
      </c>
      <c r="J64" s="68" t="n"/>
    </row>
    <row r="65" ht="19.5" customHeight="1" s="45">
      <c r="B65" s="65" t="n">
        <v>46086</v>
      </c>
      <c r="C65" s="67" t="inlineStr">
        <is>
          <t>M3</t>
        </is>
      </c>
      <c r="D65" s="67" t="inlineStr">
        <is>
          <t>V-04</t>
        </is>
      </c>
      <c r="E65" s="67" t="inlineStr">
        <is>
          <t>RS</t>
        </is>
      </c>
      <c r="F65" s="68" t="inlineStr">
        <is>
          <t>Kankoita</t>
        </is>
      </c>
      <c r="G65" s="75" t="n">
        <v>350</v>
      </c>
      <c r="H65" s="67" t="inlineStr">
        <is>
          <t>Kg</t>
        </is>
      </c>
      <c r="I65" s="76">
        <f>IF(OR($G65="",$H65="",NOT(ISNUMBER($G65))),"",IF($H65="Maund",ROUND($G65/37.32,2),$G65))</f>
        <v/>
      </c>
      <c r="J65" s="68" t="n"/>
    </row>
    <row r="66" ht="19.5" customHeight="1" s="45">
      <c r="B66" s="65" t="n">
        <v>46086</v>
      </c>
      <c r="C66" s="67" t="inlineStr">
        <is>
          <t>M3</t>
        </is>
      </c>
      <c r="D66" s="67" t="inlineStr">
        <is>
          <t>V-05</t>
        </is>
      </c>
      <c r="E66" s="67" t="inlineStr">
        <is>
          <t>RS</t>
        </is>
      </c>
      <c r="F66" s="68" t="inlineStr">
        <is>
          <t>Ilish</t>
        </is>
      </c>
      <c r="G66" s="75" t="n">
        <v>1455</v>
      </c>
      <c r="H66" s="67" t="inlineStr">
        <is>
          <t>Kg</t>
        </is>
      </c>
      <c r="I66" s="76">
        <f>IF(OR($G66="",$H66="",NOT(ISNUMBER($G66))),"",IF($H66="Maund",ROUND($G66/37.32,2),$G66))</f>
        <v/>
      </c>
      <c r="J66" s="68" t="n"/>
    </row>
    <row r="67" ht="19.5" customHeight="1" s="45">
      <c r="B67" s="65" t="n">
        <v>46086</v>
      </c>
      <c r="C67" s="67" t="inlineStr">
        <is>
          <t>M3</t>
        </is>
      </c>
      <c r="D67" s="67" t="inlineStr">
        <is>
          <t>V-05</t>
        </is>
      </c>
      <c r="E67" s="67" t="inlineStr">
        <is>
          <t>RS</t>
        </is>
      </c>
      <c r="F67" s="68" t="inlineStr">
        <is>
          <t>Kankoita</t>
        </is>
      </c>
      <c r="G67" s="75" t="n">
        <v>335</v>
      </c>
      <c r="H67" s="67" t="inlineStr">
        <is>
          <t>Kg</t>
        </is>
      </c>
      <c r="I67" s="76">
        <f>IF(OR($G67="",$H67="",NOT(ISNUMBER($G67))),"",IF($H67="Maund",ROUND($G67/37.32,2),$G67))</f>
        <v/>
      </c>
      <c r="J67" s="68" t="n"/>
    </row>
    <row r="68" ht="19.5" customHeight="1" s="45">
      <c r="B68" s="65" t="n">
        <v>46086</v>
      </c>
      <c r="C68" s="67" t="inlineStr">
        <is>
          <t>M3</t>
        </is>
      </c>
      <c r="D68" s="67" t="inlineStr">
        <is>
          <t>V-06</t>
        </is>
      </c>
      <c r="E68" s="67" t="inlineStr">
        <is>
          <t>RS</t>
        </is>
      </c>
      <c r="F68" s="68" t="inlineStr">
        <is>
          <t>Lakkha</t>
        </is>
      </c>
      <c r="G68" s="75" t="n">
        <v>1030</v>
      </c>
      <c r="H68" s="67" t="inlineStr">
        <is>
          <t>Kg</t>
        </is>
      </c>
      <c r="I68" s="76">
        <f>IF(OR($G68="",$H68="",NOT(ISNUMBER($G68))),"",IF($H68="Maund",ROUND($G68/37.32,2),$G68))</f>
        <v/>
      </c>
      <c r="J68" s="68" t="n"/>
    </row>
    <row r="69" ht="19.5" customHeight="1" s="45">
      <c r="B69" s="65" t="n">
        <v>46086</v>
      </c>
      <c r="C69" s="67" t="inlineStr">
        <is>
          <t>M3</t>
        </is>
      </c>
      <c r="D69" s="67" t="inlineStr">
        <is>
          <t>V-06</t>
        </is>
      </c>
      <c r="E69" s="67" t="inlineStr">
        <is>
          <t>RS</t>
        </is>
      </c>
      <c r="F69" s="68" t="inlineStr">
        <is>
          <t>Surma</t>
        </is>
      </c>
      <c r="G69" s="75" t="n">
        <v>565</v>
      </c>
      <c r="H69" s="67" t="inlineStr">
        <is>
          <t>Kg</t>
        </is>
      </c>
      <c r="I69" s="76">
        <f>IF(OR($G69="",$H69="",NOT(ISNUMBER($G69))),"",IF($H69="Maund",ROUND($G69/37.32,2),$G69))</f>
        <v/>
      </c>
      <c r="J69" s="68" t="n"/>
    </row>
    <row r="70" ht="19.5" customHeight="1" s="45">
      <c r="B70" s="65" t="n">
        <v>46086</v>
      </c>
      <c r="C70" s="67" t="inlineStr">
        <is>
          <t>M3</t>
        </is>
      </c>
      <c r="D70" s="67" t="inlineStr">
        <is>
          <t>V-07</t>
        </is>
      </c>
      <c r="E70" s="67" t="inlineStr">
        <is>
          <t>RS</t>
        </is>
      </c>
      <c r="F70" s="68" t="inlineStr">
        <is>
          <t>Poa</t>
        </is>
      </c>
      <c r="G70" s="75" t="n">
        <v>530</v>
      </c>
      <c r="H70" s="67" t="inlineStr">
        <is>
          <t>Kg</t>
        </is>
      </c>
      <c r="I70" s="76">
        <f>IF(OR($G70="",$H70="",NOT(ISNUMBER($G70))),"",IF($H70="Maund",ROUND($G70/37.32,2),$G70))</f>
        <v/>
      </c>
      <c r="J70" s="68" t="n"/>
    </row>
    <row r="71" ht="19.5" customHeight="1" s="45">
      <c r="B71" s="65" t="n">
        <v>46086</v>
      </c>
      <c r="C71" s="67" t="inlineStr">
        <is>
          <t>M3</t>
        </is>
      </c>
      <c r="D71" s="67" t="inlineStr">
        <is>
          <t>V-07</t>
        </is>
      </c>
      <c r="E71" s="67" t="inlineStr">
        <is>
          <t>RS</t>
        </is>
      </c>
      <c r="F71" s="68" t="inlineStr">
        <is>
          <t>Kankoita</t>
        </is>
      </c>
      <c r="G71" s="75" t="n">
        <v>340</v>
      </c>
      <c r="H71" s="67" t="inlineStr">
        <is>
          <t>Kg</t>
        </is>
      </c>
      <c r="I71" s="76">
        <f>IF(OR($G71="",$H71="",NOT(ISNUMBER($G71))),"",IF($H71="Maund",ROUND($G71/37.32,2),$G71))</f>
        <v/>
      </c>
      <c r="J71" s="68" t="n"/>
    </row>
    <row r="72" ht="19.5" customHeight="1" s="45">
      <c r="B72" s="65" t="n">
        <v>46086</v>
      </c>
      <c r="C72" s="67" t="inlineStr">
        <is>
          <t>M3</t>
        </is>
      </c>
      <c r="D72" s="67" t="inlineStr">
        <is>
          <t>V-07</t>
        </is>
      </c>
      <c r="E72" s="67" t="inlineStr">
        <is>
          <t>RS</t>
        </is>
      </c>
      <c r="F72" s="68" t="inlineStr">
        <is>
          <t>Lobster (local)</t>
        </is>
      </c>
      <c r="G72" s="75" t="n">
        <v>3305</v>
      </c>
      <c r="H72" s="67" t="inlineStr">
        <is>
          <t>Kg</t>
        </is>
      </c>
      <c r="I72" s="76">
        <f>IF(OR($G72="",$H72="",NOT(ISNUMBER($G72))),"",IF($H72="Maund",ROUND($G72/37.32,2),$G72))</f>
        <v/>
      </c>
      <c r="J72" s="68" t="n"/>
    </row>
    <row r="73" ht="19.5" customHeight="1" s="45">
      <c r="B73" s="65" t="n">
        <v>46086</v>
      </c>
      <c r="C73" s="67" t="inlineStr">
        <is>
          <t>M3</t>
        </is>
      </c>
      <c r="D73" s="67" t="inlineStr">
        <is>
          <t>V-08</t>
        </is>
      </c>
      <c r="E73" s="67" t="inlineStr">
        <is>
          <t>RS</t>
        </is>
      </c>
      <c r="F73" s="68" t="inlineStr">
        <is>
          <t>Surma</t>
        </is>
      </c>
      <c r="G73" s="75" t="n">
        <v>575</v>
      </c>
      <c r="H73" s="67" t="inlineStr">
        <is>
          <t>Kg</t>
        </is>
      </c>
      <c r="I73" s="76">
        <f>IF(OR($G73="",$H73="",NOT(ISNUMBER($G73))),"",IF($H73="Maund",ROUND($G73/37.32,2),$G73))</f>
        <v/>
      </c>
      <c r="J73" s="68" t="n"/>
    </row>
    <row r="74" ht="19.5" customHeight="1" s="45">
      <c r="B74" s="65" t="n">
        <v>46086</v>
      </c>
      <c r="C74" s="67" t="inlineStr">
        <is>
          <t>M3</t>
        </is>
      </c>
      <c r="D74" s="67" t="inlineStr">
        <is>
          <t>V-08</t>
        </is>
      </c>
      <c r="E74" s="67" t="inlineStr">
        <is>
          <t>RS</t>
        </is>
      </c>
      <c r="F74" s="68" t="inlineStr">
        <is>
          <t>Kankoita</t>
        </is>
      </c>
      <c r="G74" s="75" t="n">
        <v>340</v>
      </c>
      <c r="H74" s="67" t="inlineStr">
        <is>
          <t>Kg</t>
        </is>
      </c>
      <c r="I74" s="76">
        <f>IF(OR($G74="",$H74="",NOT(ISNUMBER($G74))),"",IF($H74="Maund",ROUND($G74/37.32,2),$G74))</f>
        <v/>
      </c>
      <c r="J74" s="68" t="n"/>
    </row>
    <row r="75" ht="19.5" customHeight="1" s="45">
      <c r="B75" s="65" t="n">
        <v>46086</v>
      </c>
      <c r="C75" s="67" t="inlineStr">
        <is>
          <t>M3</t>
        </is>
      </c>
      <c r="D75" s="67" t="inlineStr">
        <is>
          <t>V-09</t>
        </is>
      </c>
      <c r="E75" s="67" t="inlineStr">
        <is>
          <t>RS</t>
        </is>
      </c>
      <c r="F75" s="68" t="inlineStr">
        <is>
          <t>Koral</t>
        </is>
      </c>
      <c r="G75" s="75" t="n">
        <v>895</v>
      </c>
      <c r="H75" s="67" t="inlineStr">
        <is>
          <t>Kg</t>
        </is>
      </c>
      <c r="I75" s="76">
        <f>IF(OR($G75="",$H75="",NOT(ISNUMBER($G75))),"",IF($H75="Maund",ROUND($G75/37.32,2),$G75))</f>
        <v/>
      </c>
      <c r="J75" s="68" t="n"/>
    </row>
    <row r="76" ht="19.5" customHeight="1" s="45">
      <c r="B76" s="65" t="n">
        <v>46086</v>
      </c>
      <c r="C76" s="67" t="inlineStr">
        <is>
          <t>M3</t>
        </is>
      </c>
      <c r="D76" s="67" t="inlineStr">
        <is>
          <t>V-09</t>
        </is>
      </c>
      <c r="E76" s="67" t="inlineStr">
        <is>
          <t>RS</t>
        </is>
      </c>
      <c r="F76" s="68" t="inlineStr">
        <is>
          <t>Churi</t>
        </is>
      </c>
      <c r="G76" s="75" t="n">
        <v>460</v>
      </c>
      <c r="H76" s="67" t="inlineStr">
        <is>
          <t>Kg</t>
        </is>
      </c>
      <c r="I76" s="76">
        <f>IF(OR($G76="",$H76="",NOT(ISNUMBER($G76))),"",IF($H76="Maund",ROUND($G76/37.32,2),$G76))</f>
        <v/>
      </c>
      <c r="J76" s="68" t="n"/>
    </row>
    <row r="77" ht="19.5" customHeight="1" s="45">
      <c r="B77" s="65" t="n">
        <v>46086</v>
      </c>
      <c r="C77" s="67" t="inlineStr">
        <is>
          <t>M3</t>
        </is>
      </c>
      <c r="D77" s="67" t="inlineStr">
        <is>
          <t>V-09</t>
        </is>
      </c>
      <c r="E77" s="67" t="inlineStr">
        <is>
          <t>RS</t>
        </is>
      </c>
      <c r="F77" s="68" t="inlineStr">
        <is>
          <t>Faisya</t>
        </is>
      </c>
      <c r="G77" s="75" t="n">
        <v>390</v>
      </c>
      <c r="H77" s="67" t="inlineStr">
        <is>
          <t>Kg</t>
        </is>
      </c>
      <c r="I77" s="76">
        <f>IF(OR($G77="",$H77="",NOT(ISNUMBER($G77))),"",IF($H77="Maund",ROUND($G77/37.32,2),$G77))</f>
        <v/>
      </c>
      <c r="J77" s="68" t="n"/>
    </row>
    <row r="78" ht="19.5" customHeight="1" s="45">
      <c r="B78" s="65" t="n">
        <v>46086</v>
      </c>
      <c r="C78" s="67" t="inlineStr">
        <is>
          <t>M3</t>
        </is>
      </c>
      <c r="D78" s="67" t="inlineStr">
        <is>
          <t>V-10</t>
        </is>
      </c>
      <c r="E78" s="67" t="inlineStr">
        <is>
          <t>RS</t>
        </is>
      </c>
      <c r="F78" s="68" t="inlineStr">
        <is>
          <t>Ilish</t>
        </is>
      </c>
      <c r="G78" s="75" t="n">
        <v>1445</v>
      </c>
      <c r="H78" s="67" t="inlineStr">
        <is>
          <t>Kg</t>
        </is>
      </c>
      <c r="I78" s="76">
        <f>IF(OR($G78="",$H78="",NOT(ISNUMBER($G78))),"",IF($H78="Maund",ROUND($G78/37.32,2),$G78))</f>
        <v/>
      </c>
      <c r="J78" s="68" t="n"/>
    </row>
    <row r="79" ht="19.5" customHeight="1" s="45">
      <c r="B79" s="65" t="n">
        <v>46086</v>
      </c>
      <c r="C79" s="67" t="inlineStr">
        <is>
          <t>M3</t>
        </is>
      </c>
      <c r="D79" s="67" t="inlineStr">
        <is>
          <t>V-10</t>
        </is>
      </c>
      <c r="E79" s="67" t="inlineStr">
        <is>
          <t>RS</t>
        </is>
      </c>
      <c r="F79" s="68" t="inlineStr">
        <is>
          <t>Rupchanda</t>
        </is>
      </c>
      <c r="G79" s="75" t="n">
        <v>1575</v>
      </c>
      <c r="H79" s="67" t="inlineStr">
        <is>
          <t>Kg</t>
        </is>
      </c>
      <c r="I79" s="76">
        <f>IF(OR($G79="",$H79="",NOT(ISNUMBER($G79))),"",IF($H79="Maund",ROUND($G79/37.32,2),$G79))</f>
        <v/>
      </c>
      <c r="J79" s="68" t="n"/>
    </row>
    <row r="80" ht="19.5" customHeight="1" s="45">
      <c r="B80" s="65" t="n">
        <v>46086</v>
      </c>
      <c r="C80" s="67" t="inlineStr">
        <is>
          <t>M3</t>
        </is>
      </c>
      <c r="D80" s="67" t="inlineStr">
        <is>
          <t>V-11</t>
        </is>
      </c>
      <c r="E80" s="67" t="inlineStr">
        <is>
          <t>RS</t>
        </is>
      </c>
      <c r="F80" s="68" t="inlineStr">
        <is>
          <t>Rupchanda</t>
        </is>
      </c>
      <c r="G80" s="75" t="n">
        <v>1595</v>
      </c>
      <c r="H80" s="67" t="inlineStr">
        <is>
          <t>Kg</t>
        </is>
      </c>
      <c r="I80" s="76">
        <f>IF(OR($G80="",$H80="",NOT(ISNUMBER($G80))),"",IF($H80="Maund",ROUND($G80/37.32,2),$G80))</f>
        <v/>
      </c>
      <c r="J80" s="68" t="n"/>
    </row>
    <row r="81" ht="19.5" customHeight="1" s="45">
      <c r="B81" s="65" t="n">
        <v>46086</v>
      </c>
      <c r="C81" s="67" t="inlineStr">
        <is>
          <t>M3</t>
        </is>
      </c>
      <c r="D81" s="67" t="inlineStr">
        <is>
          <t>V-11</t>
        </is>
      </c>
      <c r="E81" s="67" t="inlineStr">
        <is>
          <t>RS</t>
        </is>
      </c>
      <c r="F81" s="68" t="inlineStr">
        <is>
          <t>Lakkha</t>
        </is>
      </c>
      <c r="G81" s="75" t="n">
        <v>1050</v>
      </c>
      <c r="H81" s="67" t="inlineStr">
        <is>
          <t>Kg</t>
        </is>
      </c>
      <c r="I81" s="76">
        <f>IF(OR($G81="",$H81="",NOT(ISNUMBER($G81))),"",IF($H81="Maund",ROUND($G81/37.32,2),$G81))</f>
        <v/>
      </c>
      <c r="J81" s="68" t="n"/>
    </row>
    <row r="82" ht="19.5" customHeight="1" s="45">
      <c r="B82" s="65" t="n">
        <v>46087</v>
      </c>
      <c r="C82" s="67" t="inlineStr">
        <is>
          <t>M4</t>
        </is>
      </c>
      <c r="D82" s="67" t="inlineStr">
        <is>
          <t>V-01</t>
        </is>
      </c>
      <c r="E82" s="67" t="inlineStr">
        <is>
          <t>RS</t>
        </is>
      </c>
      <c r="F82" s="68" t="inlineStr">
        <is>
          <t>Ilish</t>
        </is>
      </c>
      <c r="G82" s="75" t="n">
        <v>1450</v>
      </c>
      <c r="H82" s="67" t="inlineStr">
        <is>
          <t>Kg</t>
        </is>
      </c>
      <c r="I82" s="76">
        <f>IF(OR($G82="",$H82="",NOT(ISNUMBER($G82))),"",IF($H82="Maund",ROUND($G82/37.32,2),$G82))</f>
        <v/>
      </c>
      <c r="J82" s="68" t="n"/>
    </row>
    <row r="83" ht="19.5" customHeight="1" s="45">
      <c r="B83" s="65" t="n">
        <v>46087</v>
      </c>
      <c r="C83" s="67" t="inlineStr">
        <is>
          <t>M4</t>
        </is>
      </c>
      <c r="D83" s="67" t="inlineStr">
        <is>
          <t>V-01</t>
        </is>
      </c>
      <c r="E83" s="67" t="inlineStr">
        <is>
          <t>RS</t>
        </is>
      </c>
      <c r="F83" s="68" t="inlineStr">
        <is>
          <t>Loitta</t>
        </is>
      </c>
      <c r="G83" s="75" t="n">
        <v>260</v>
      </c>
      <c r="H83" s="67" t="inlineStr">
        <is>
          <t>Kg</t>
        </is>
      </c>
      <c r="I83" s="76">
        <f>IF(OR($G83="",$H83="",NOT(ISNUMBER($G83))),"",IF($H83="Maund",ROUND($G83/37.32,2),$G83))</f>
        <v/>
      </c>
      <c r="J83" s="68" t="n"/>
    </row>
    <row r="84" ht="19.5" customHeight="1" s="45">
      <c r="B84" s="65" t="n">
        <v>46087</v>
      </c>
      <c r="C84" s="67" t="inlineStr">
        <is>
          <t>M4</t>
        </is>
      </c>
      <c r="D84" s="67" t="inlineStr">
        <is>
          <t>V-01</t>
        </is>
      </c>
      <c r="E84" s="67" t="inlineStr">
        <is>
          <t>RS</t>
        </is>
      </c>
      <c r="F84" s="68" t="inlineStr">
        <is>
          <t>Kakra (crab)</t>
        </is>
      </c>
      <c r="G84" s="75" t="n">
        <v>560</v>
      </c>
      <c r="H84" s="67" t="inlineStr">
        <is>
          <t>Kg</t>
        </is>
      </c>
      <c r="I84" s="76">
        <f>IF(OR($G84="",$H84="",NOT(ISNUMBER($G84))),"",IF($H84="Maund",ROUND($G84/37.32,2),$G84))</f>
        <v/>
      </c>
      <c r="J84" s="68" t="n"/>
    </row>
    <row r="85" ht="19.5" customHeight="1" s="45">
      <c r="B85" s="65" t="n">
        <v>46087</v>
      </c>
      <c r="C85" s="67" t="inlineStr">
        <is>
          <t>M4</t>
        </is>
      </c>
      <c r="D85" s="67" t="inlineStr">
        <is>
          <t>V-02</t>
        </is>
      </c>
      <c r="E85" s="67" t="inlineStr">
        <is>
          <t>RS</t>
        </is>
      </c>
      <c r="F85" s="68" t="inlineStr">
        <is>
          <t>Ilish</t>
        </is>
      </c>
      <c r="G85" s="75" t="n">
        <v>1430</v>
      </c>
      <c r="H85" s="67" t="inlineStr">
        <is>
          <t>Kg</t>
        </is>
      </c>
      <c r="I85" s="76">
        <f>IF(OR($G85="",$H85="",NOT(ISNUMBER($G85))),"",IF($H85="Maund",ROUND($G85/37.32,2),$G85))</f>
        <v/>
      </c>
      <c r="J85" s="68" t="n"/>
    </row>
    <row r="86" ht="19.5" customHeight="1" s="45">
      <c r="B86" s="65" t="n">
        <v>46087</v>
      </c>
      <c r="C86" s="67" t="inlineStr">
        <is>
          <t>M4</t>
        </is>
      </c>
      <c r="D86" s="67" t="inlineStr">
        <is>
          <t>V-02</t>
        </is>
      </c>
      <c r="E86" s="67" t="inlineStr">
        <is>
          <t>RS</t>
        </is>
      </c>
      <c r="F86" s="68" t="inlineStr">
        <is>
          <t>Surma</t>
        </is>
      </c>
      <c r="G86" s="75" t="n">
        <v>565</v>
      </c>
      <c r="H86" s="67" t="inlineStr">
        <is>
          <t>Kg</t>
        </is>
      </c>
      <c r="I86" s="76">
        <f>IF(OR($G86="",$H86="",NOT(ISNUMBER($G86))),"",IF($H86="Maund",ROUND($G86/37.32,2),$G86))</f>
        <v/>
      </c>
      <c r="J86" s="68" t="n"/>
    </row>
    <row r="87" ht="19.5" customHeight="1" s="45">
      <c r="B87" s="65" t="n">
        <v>46087</v>
      </c>
      <c r="C87" s="67" t="inlineStr">
        <is>
          <t>M4</t>
        </is>
      </c>
      <c r="D87" s="67" t="inlineStr">
        <is>
          <t>V-03</t>
        </is>
      </c>
      <c r="E87" s="67" t="inlineStr">
        <is>
          <t>RS</t>
        </is>
      </c>
      <c r="F87" s="68" t="inlineStr">
        <is>
          <t>Rupchanda</t>
        </is>
      </c>
      <c r="G87" s="75" t="n">
        <v>1575</v>
      </c>
      <c r="H87" s="67" t="inlineStr">
        <is>
          <t>Kg</t>
        </is>
      </c>
      <c r="I87" s="76">
        <f>IF(OR($G87="",$H87="",NOT(ISNUMBER($G87))),"",IF($H87="Maund",ROUND($G87/37.32,2),$G87))</f>
        <v/>
      </c>
      <c r="J87" s="68" t="n"/>
    </row>
    <row r="88" ht="19.5" customHeight="1" s="45">
      <c r="B88" s="65" t="n">
        <v>46087</v>
      </c>
      <c r="C88" s="67" t="inlineStr">
        <is>
          <t>M4</t>
        </is>
      </c>
      <c r="D88" s="67" t="inlineStr">
        <is>
          <t>V-03</t>
        </is>
      </c>
      <c r="E88" s="67" t="inlineStr">
        <is>
          <t>RS</t>
        </is>
      </c>
      <c r="F88" s="68" t="inlineStr">
        <is>
          <t>Koral</t>
        </is>
      </c>
      <c r="G88" s="75" t="n">
        <v>865</v>
      </c>
      <c r="H88" s="67" t="inlineStr">
        <is>
          <t>Kg</t>
        </is>
      </c>
      <c r="I88" s="76">
        <f>IF(OR($G88="",$H88="",NOT(ISNUMBER($G88))),"",IF($H88="Maund",ROUND($G88/37.32,2),$G88))</f>
        <v/>
      </c>
      <c r="J88" s="68" t="n"/>
    </row>
    <row r="89" ht="19.5" customHeight="1" s="45">
      <c r="B89" s="65" t="n">
        <v>46087</v>
      </c>
      <c r="C89" s="67" t="inlineStr">
        <is>
          <t>M4</t>
        </is>
      </c>
      <c r="D89" s="67" t="inlineStr">
        <is>
          <t>V-04</t>
        </is>
      </c>
      <c r="E89" s="67" t="inlineStr">
        <is>
          <t>RS</t>
        </is>
      </c>
      <c r="F89" s="68" t="inlineStr">
        <is>
          <t>Koral</t>
        </is>
      </c>
      <c r="G89" s="75" t="n">
        <v>870</v>
      </c>
      <c r="H89" s="67" t="inlineStr">
        <is>
          <t>Kg</t>
        </is>
      </c>
      <c r="I89" s="76">
        <f>IF(OR($G89="",$H89="",NOT(ISNUMBER($G89))),"",IF($H89="Maund",ROUND($G89/37.32,2),$G89))</f>
        <v/>
      </c>
      <c r="J89" s="68" t="n"/>
    </row>
    <row r="90" ht="19.5" customHeight="1" s="45">
      <c r="B90" s="65" t="n">
        <v>46087</v>
      </c>
      <c r="C90" s="67" t="inlineStr">
        <is>
          <t>M4</t>
        </is>
      </c>
      <c r="D90" s="67" t="inlineStr">
        <is>
          <t>V-04</t>
        </is>
      </c>
      <c r="E90" s="67" t="inlineStr">
        <is>
          <t>RS</t>
        </is>
      </c>
      <c r="F90" s="68" t="inlineStr">
        <is>
          <t>Kankoita</t>
        </is>
      </c>
      <c r="G90" s="75" t="n">
        <v>345</v>
      </c>
      <c r="H90" s="67" t="inlineStr">
        <is>
          <t>Kg</t>
        </is>
      </c>
      <c r="I90" s="76">
        <f>IF(OR($G90="",$H90="",NOT(ISNUMBER($G90))),"",IF($H90="Maund",ROUND($G90/37.32,2),$G90))</f>
        <v/>
      </c>
      <c r="J90" s="68" t="n"/>
    </row>
    <row r="91" ht="19.5" customHeight="1" s="45">
      <c r="B91" s="65" t="n">
        <v>46087</v>
      </c>
      <c r="C91" s="67" t="inlineStr">
        <is>
          <t>M4</t>
        </is>
      </c>
      <c r="D91" s="67" t="inlineStr">
        <is>
          <t>V-04</t>
        </is>
      </c>
      <c r="E91" s="67" t="inlineStr">
        <is>
          <t>RS</t>
        </is>
      </c>
      <c r="F91" s="68" t="inlineStr">
        <is>
          <t>Lobster (local)</t>
        </is>
      </c>
      <c r="G91" s="75" t="n">
        <v>2535</v>
      </c>
      <c r="H91" s="67" t="inlineStr">
        <is>
          <t>Kg</t>
        </is>
      </c>
      <c r="I91" s="76">
        <f>IF(OR($G91="",$H91="",NOT(ISNUMBER($G91))),"",IF($H91="Maund",ROUND($G91/37.32,2),$G91))</f>
        <v/>
      </c>
      <c r="J91" s="68" t="n"/>
    </row>
    <row r="92" ht="19.5" customHeight="1" s="45">
      <c r="B92" s="65" t="n">
        <v>46087</v>
      </c>
      <c r="C92" s="67" t="inlineStr">
        <is>
          <t>M4</t>
        </is>
      </c>
      <c r="D92" s="67" t="inlineStr">
        <is>
          <t>V-05</t>
        </is>
      </c>
      <c r="E92" s="67" t="inlineStr">
        <is>
          <t>RS</t>
        </is>
      </c>
      <c r="F92" s="68" t="inlineStr">
        <is>
          <t>Lakkha</t>
        </is>
      </c>
      <c r="G92" s="75" t="n">
        <v>1045</v>
      </c>
      <c r="H92" s="67" t="inlineStr">
        <is>
          <t>Kg</t>
        </is>
      </c>
      <c r="I92" s="76">
        <f>IF(OR($G92="",$H92="",NOT(ISNUMBER($G92))),"",IF($H92="Maund",ROUND($G92/37.32,2),$G92))</f>
        <v/>
      </c>
      <c r="J92" s="68" t="n"/>
    </row>
    <row r="93" ht="19.5" customHeight="1" s="45">
      <c r="B93" s="65" t="n">
        <v>46087</v>
      </c>
      <c r="C93" s="67" t="inlineStr">
        <is>
          <t>M4</t>
        </is>
      </c>
      <c r="D93" s="67" t="inlineStr">
        <is>
          <t>V-05</t>
        </is>
      </c>
      <c r="E93" s="67" t="inlineStr">
        <is>
          <t>RS</t>
        </is>
      </c>
      <c r="F93" s="68" t="inlineStr">
        <is>
          <t>Koral</t>
        </is>
      </c>
      <c r="G93" s="75" t="n">
        <v>875</v>
      </c>
      <c r="H93" s="67" t="inlineStr">
        <is>
          <t>Kg</t>
        </is>
      </c>
      <c r="I93" s="76">
        <f>IF(OR($G93="",$H93="",NOT(ISNUMBER($G93))),"",IF($H93="Maund",ROUND($G93/37.32,2),$G93))</f>
        <v/>
      </c>
      <c r="J93" s="68" t="n"/>
    </row>
    <row r="94" ht="19.5" customHeight="1" s="45">
      <c r="B94" s="65" t="n">
        <v>46087</v>
      </c>
      <c r="C94" s="67" t="inlineStr">
        <is>
          <t>M4</t>
        </is>
      </c>
      <c r="D94" s="67" t="inlineStr">
        <is>
          <t>V-05</t>
        </is>
      </c>
      <c r="E94" s="67" t="inlineStr">
        <is>
          <t>RS</t>
        </is>
      </c>
      <c r="F94" s="68" t="inlineStr">
        <is>
          <t>Kakra (crab)</t>
        </is>
      </c>
      <c r="G94" s="75" t="n">
        <v>610</v>
      </c>
      <c r="H94" s="67" t="inlineStr">
        <is>
          <t>Kg</t>
        </is>
      </c>
      <c r="I94" s="76">
        <f>IF(OR($G94="",$H94="",NOT(ISNUMBER($G94))),"",IF($H94="Maund",ROUND($G94/37.32,2),$G94))</f>
        <v/>
      </c>
      <c r="J94" s="68" t="n"/>
    </row>
    <row r="95" ht="19.5" customHeight="1" s="45">
      <c r="B95" s="65" t="n">
        <v>46087</v>
      </c>
      <c r="C95" s="67" t="inlineStr">
        <is>
          <t>M4</t>
        </is>
      </c>
      <c r="D95" s="67" t="inlineStr">
        <is>
          <t>V-06</t>
        </is>
      </c>
      <c r="E95" s="67" t="inlineStr">
        <is>
          <t>RS</t>
        </is>
      </c>
      <c r="F95" s="68" t="inlineStr">
        <is>
          <t>Churi</t>
        </is>
      </c>
      <c r="G95" s="75" t="n">
        <v>425</v>
      </c>
      <c r="H95" s="67" t="inlineStr">
        <is>
          <t>Kg</t>
        </is>
      </c>
      <c r="I95" s="76">
        <f>IF(OR($G95="",$H95="",NOT(ISNUMBER($G95))),"",IF($H95="Maund",ROUND($G95/37.32,2),$G95))</f>
        <v/>
      </c>
      <c r="J95" s="68" t="n"/>
    </row>
    <row r="96" ht="19.5" customHeight="1" s="45">
      <c r="B96" s="65" t="n">
        <v>46087</v>
      </c>
      <c r="C96" s="67" t="inlineStr">
        <is>
          <t>M4</t>
        </is>
      </c>
      <c r="D96" s="67" t="inlineStr">
        <is>
          <t>V-06</t>
        </is>
      </c>
      <c r="E96" s="67" t="inlineStr">
        <is>
          <t>RS</t>
        </is>
      </c>
      <c r="F96" s="68" t="inlineStr">
        <is>
          <t>Datina</t>
        </is>
      </c>
      <c r="G96" s="75" t="n">
        <v>375</v>
      </c>
      <c r="H96" s="67" t="inlineStr">
        <is>
          <t>Kg</t>
        </is>
      </c>
      <c r="I96" s="76">
        <f>IF(OR($G96="",$H96="",NOT(ISNUMBER($G96))),"",IF($H96="Maund",ROUND($G96/37.32,2),$G96))</f>
        <v/>
      </c>
      <c r="J96" s="68" t="n"/>
    </row>
    <row r="97" ht="19.5" customHeight="1" s="45">
      <c r="B97" s="65" t="n">
        <v>46087</v>
      </c>
      <c r="C97" s="67" t="inlineStr">
        <is>
          <t>M4</t>
        </is>
      </c>
      <c r="D97" s="67" t="inlineStr">
        <is>
          <t>V-07</t>
        </is>
      </c>
      <c r="E97" s="67" t="inlineStr">
        <is>
          <t>RS</t>
        </is>
      </c>
      <c r="F97" s="68" t="inlineStr">
        <is>
          <t>Ilish</t>
        </is>
      </c>
      <c r="G97" s="75" t="n">
        <v>1400</v>
      </c>
      <c r="H97" s="67" t="inlineStr">
        <is>
          <t>Kg</t>
        </is>
      </c>
      <c r="I97" s="76">
        <f>IF(OR($G97="",$H97="",NOT(ISNUMBER($G97))),"",IF($H97="Maund",ROUND($G97/37.32,2),$G97))</f>
        <v/>
      </c>
      <c r="J97" s="68" t="n"/>
    </row>
    <row r="98" ht="19.5" customHeight="1" s="45">
      <c r="B98" s="65" t="n">
        <v>46087</v>
      </c>
      <c r="C98" s="67" t="inlineStr">
        <is>
          <t>M4</t>
        </is>
      </c>
      <c r="D98" s="67" t="inlineStr">
        <is>
          <t>V-07</t>
        </is>
      </c>
      <c r="E98" s="67" t="inlineStr">
        <is>
          <t>RS</t>
        </is>
      </c>
      <c r="F98" s="68" t="inlineStr">
        <is>
          <t>Bagda chingri</t>
        </is>
      </c>
      <c r="G98" s="75" t="n">
        <v>825</v>
      </c>
      <c r="H98" s="67" t="inlineStr">
        <is>
          <t>Kg</t>
        </is>
      </c>
      <c r="I98" s="76">
        <f>IF(OR($G98="",$H98="",NOT(ISNUMBER($G98))),"",IF($H98="Maund",ROUND($G98/37.32,2),$G98))</f>
        <v/>
      </c>
      <c r="J98" s="68" t="n"/>
    </row>
    <row r="99" ht="19.5" customHeight="1" s="45">
      <c r="B99" s="65" t="n">
        <v>46087</v>
      </c>
      <c r="C99" s="67" t="inlineStr">
        <is>
          <t>M4</t>
        </is>
      </c>
      <c r="D99" s="67" t="inlineStr">
        <is>
          <t>V-08</t>
        </is>
      </c>
      <c r="E99" s="67" t="inlineStr">
        <is>
          <t>RS</t>
        </is>
      </c>
      <c r="F99" s="68" t="inlineStr">
        <is>
          <t>Ilish</t>
        </is>
      </c>
      <c r="G99" s="75" t="n">
        <v>1460</v>
      </c>
      <c r="H99" s="67" t="inlineStr">
        <is>
          <t>Kg</t>
        </is>
      </c>
      <c r="I99" s="76">
        <f>IF(OR($G99="",$H99="",NOT(ISNUMBER($G99))),"",IF($H99="Maund",ROUND($G99/37.32,2),$G99))</f>
        <v/>
      </c>
      <c r="J99" s="68" t="n"/>
    </row>
    <row r="100" ht="19.5" customHeight="1" s="45">
      <c r="B100" s="65" t="n">
        <v>46087</v>
      </c>
      <c r="C100" s="67" t="inlineStr">
        <is>
          <t>M4</t>
        </is>
      </c>
      <c r="D100" s="67" t="inlineStr">
        <is>
          <t>V-08</t>
        </is>
      </c>
      <c r="E100" s="67" t="inlineStr">
        <is>
          <t>RS</t>
        </is>
      </c>
      <c r="F100" s="68" t="inlineStr">
        <is>
          <t>Churi</t>
        </is>
      </c>
      <c r="G100" s="75" t="n">
        <v>440</v>
      </c>
      <c r="H100" s="67" t="inlineStr">
        <is>
          <t>Kg</t>
        </is>
      </c>
      <c r="I100" s="76">
        <f>IF(OR($G100="",$H100="",NOT(ISNUMBER($G100))),"",IF($H100="Maund",ROUND($G100/37.32,2),$G100))</f>
        <v/>
      </c>
      <c r="J100" s="68" t="n"/>
    </row>
    <row r="101" ht="19.5" customHeight="1" s="45">
      <c r="B101" s="65" t="n">
        <v>46087</v>
      </c>
      <c r="C101" s="67" t="inlineStr">
        <is>
          <t>M4</t>
        </is>
      </c>
      <c r="D101" s="67" t="inlineStr">
        <is>
          <t>V-09</t>
        </is>
      </c>
      <c r="E101" s="67" t="inlineStr">
        <is>
          <t>RS</t>
        </is>
      </c>
      <c r="F101" s="68" t="inlineStr">
        <is>
          <t>Loitta</t>
        </is>
      </c>
      <c r="G101" s="75" t="n">
        <v>265</v>
      </c>
      <c r="H101" s="67" t="inlineStr">
        <is>
          <t>Kg</t>
        </is>
      </c>
      <c r="I101" s="76">
        <f>IF(OR($G101="",$H101="",NOT(ISNUMBER($G101))),"",IF($H101="Maund",ROUND($G101/37.32,2),$G101))</f>
        <v/>
      </c>
      <c r="J101" s="68" t="n"/>
    </row>
    <row r="102" ht="19.5" customHeight="1" s="45">
      <c r="B102" s="65" t="n">
        <v>46088</v>
      </c>
      <c r="C102" s="67" t="inlineStr">
        <is>
          <t>M5</t>
        </is>
      </c>
      <c r="D102" s="67" t="inlineStr">
        <is>
          <t>V-01</t>
        </is>
      </c>
      <c r="E102" s="67" t="inlineStr">
        <is>
          <t>RS</t>
        </is>
      </c>
      <c r="F102" s="68" t="inlineStr">
        <is>
          <t>Ilish</t>
        </is>
      </c>
      <c r="G102" s="75" t="n">
        <v>1470</v>
      </c>
      <c r="H102" s="67" t="inlineStr">
        <is>
          <t>Kg</t>
        </is>
      </c>
      <c r="I102" s="76">
        <f>IF(OR($G102="",$H102="",NOT(ISNUMBER($G102))),"",IF($H102="Maund",ROUND($G102/37.32,2),$G102))</f>
        <v/>
      </c>
      <c r="J102" s="68" t="n"/>
    </row>
    <row r="103" ht="19.5" customHeight="1" s="45">
      <c r="B103" s="65" t="n">
        <v>46088</v>
      </c>
      <c r="C103" s="67" t="inlineStr">
        <is>
          <t>M5</t>
        </is>
      </c>
      <c r="D103" s="67" t="inlineStr">
        <is>
          <t>V-01</t>
        </is>
      </c>
      <c r="E103" s="67" t="inlineStr">
        <is>
          <t>RS</t>
        </is>
      </c>
      <c r="F103" s="68" t="inlineStr">
        <is>
          <t>Churi</t>
        </is>
      </c>
      <c r="G103" s="75" t="n">
        <v>450</v>
      </c>
      <c r="H103" s="67" t="inlineStr">
        <is>
          <t>Kg</t>
        </is>
      </c>
      <c r="I103" s="76">
        <f>IF(OR($G103="",$H103="",NOT(ISNUMBER($G103))),"",IF($H103="Maund",ROUND($G103/37.32,2),$G103))</f>
        <v/>
      </c>
      <c r="J103" s="68" t="n"/>
    </row>
    <row r="104" ht="19.5" customHeight="1" s="45">
      <c r="B104" s="65" t="n">
        <v>46088</v>
      </c>
      <c r="C104" s="67" t="inlineStr">
        <is>
          <t>M5</t>
        </is>
      </c>
      <c r="D104" s="67" t="inlineStr">
        <is>
          <t>V-01</t>
        </is>
      </c>
      <c r="E104" s="67" t="inlineStr">
        <is>
          <t>RS</t>
        </is>
      </c>
      <c r="F104" s="68" t="inlineStr">
        <is>
          <t>Chatka chingri</t>
        </is>
      </c>
      <c r="G104" s="75" t="n">
        <v>465</v>
      </c>
      <c r="H104" s="67" t="inlineStr">
        <is>
          <t>Kg</t>
        </is>
      </c>
      <c r="I104" s="76">
        <f>IF(OR($G104="",$H104="",NOT(ISNUMBER($G104))),"",IF($H104="Maund",ROUND($G104/37.32,2),$G104))</f>
        <v/>
      </c>
      <c r="J104" s="68" t="n"/>
    </row>
    <row r="105" ht="19.5" customHeight="1" s="45">
      <c r="B105" s="65" t="n">
        <v>46088</v>
      </c>
      <c r="C105" s="67" t="inlineStr">
        <is>
          <t>M5</t>
        </is>
      </c>
      <c r="D105" s="67" t="inlineStr">
        <is>
          <t>V-02</t>
        </is>
      </c>
      <c r="E105" s="67" t="inlineStr">
        <is>
          <t>RS</t>
        </is>
      </c>
      <c r="F105" s="68" t="inlineStr">
        <is>
          <t>Surma</t>
        </is>
      </c>
      <c r="G105" s="75" t="n">
        <v>585</v>
      </c>
      <c r="H105" s="67" t="inlineStr">
        <is>
          <t>Kg</t>
        </is>
      </c>
      <c r="I105" s="76">
        <f>IF(OR($G105="",$H105="",NOT(ISNUMBER($G105))),"",IF($H105="Maund",ROUND($G105/37.32,2),$G105))</f>
        <v/>
      </c>
      <c r="J105" s="68" t="n"/>
    </row>
    <row r="106" ht="19.5" customHeight="1" s="45">
      <c r="B106" s="65" t="n">
        <v>46088</v>
      </c>
      <c r="C106" s="67" t="inlineStr">
        <is>
          <t>M5</t>
        </is>
      </c>
      <c r="D106" s="67" t="inlineStr">
        <is>
          <t>V-02</t>
        </is>
      </c>
      <c r="E106" s="67" t="inlineStr">
        <is>
          <t>RS</t>
        </is>
      </c>
      <c r="F106" s="68" t="inlineStr">
        <is>
          <t>Poa</t>
        </is>
      </c>
      <c r="G106" s="75" t="n">
        <v>535</v>
      </c>
      <c r="H106" s="67" t="inlineStr">
        <is>
          <t>Kg</t>
        </is>
      </c>
      <c r="I106" s="76">
        <f>IF(OR($G106="",$H106="",NOT(ISNUMBER($G106))),"",IF($H106="Maund",ROUND($G106/37.32,2),$G106))</f>
        <v/>
      </c>
      <c r="J106" s="68" t="n"/>
    </row>
    <row r="107" ht="19.5" customHeight="1" s="45">
      <c r="B107" s="65" t="n">
        <v>46088</v>
      </c>
      <c r="C107" s="67" t="inlineStr">
        <is>
          <t>M5</t>
        </is>
      </c>
      <c r="D107" s="67" t="inlineStr">
        <is>
          <t>V-03</t>
        </is>
      </c>
      <c r="E107" s="67" t="inlineStr">
        <is>
          <t>RS</t>
        </is>
      </c>
      <c r="F107" s="68" t="inlineStr">
        <is>
          <t>Rupchanda</t>
        </is>
      </c>
      <c r="G107" s="75" t="n">
        <v>1610</v>
      </c>
      <c r="H107" s="67" t="inlineStr">
        <is>
          <t>Kg</t>
        </is>
      </c>
      <c r="I107" s="76">
        <f>IF(OR($G107="",$H107="",NOT(ISNUMBER($G107))),"",IF($H107="Maund",ROUND($G107/37.32,2),$G107))</f>
        <v/>
      </c>
      <c r="J107" s="68" t="n"/>
    </row>
    <row r="108" ht="19.5" customHeight="1" s="45">
      <c r="B108" s="65" t="n">
        <v>46088</v>
      </c>
      <c r="C108" s="67" t="inlineStr">
        <is>
          <t>M5</t>
        </is>
      </c>
      <c r="D108" s="67" t="inlineStr">
        <is>
          <t>V-03</t>
        </is>
      </c>
      <c r="E108" s="67" t="inlineStr">
        <is>
          <t>RS</t>
        </is>
      </c>
      <c r="F108" s="68" t="inlineStr">
        <is>
          <t>Kankoita</t>
        </is>
      </c>
      <c r="G108" s="75" t="n">
        <v>355</v>
      </c>
      <c r="H108" s="67" t="inlineStr">
        <is>
          <t>Kg</t>
        </is>
      </c>
      <c r="I108" s="76">
        <f>IF(OR($G108="",$H108="",NOT(ISNUMBER($G108))),"",IF($H108="Maund",ROUND($G108/37.32,2),$G108))</f>
        <v/>
      </c>
      <c r="J108" s="68" t="n"/>
    </row>
    <row r="109" ht="19.5" customHeight="1" s="45">
      <c r="B109" s="65" t="n">
        <v>46088</v>
      </c>
      <c r="C109" s="67" t="inlineStr">
        <is>
          <t>M5</t>
        </is>
      </c>
      <c r="D109" s="67" t="inlineStr">
        <is>
          <t>V-04</t>
        </is>
      </c>
      <c r="E109" s="67" t="inlineStr">
        <is>
          <t>RS</t>
        </is>
      </c>
      <c r="F109" s="68" t="inlineStr">
        <is>
          <t>Lakkha</t>
        </is>
      </c>
      <c r="G109" s="75" t="n">
        <v>1100</v>
      </c>
      <c r="H109" s="67" t="inlineStr">
        <is>
          <t>Kg</t>
        </is>
      </c>
      <c r="I109" s="76">
        <f>IF(OR($G109="",$H109="",NOT(ISNUMBER($G109))),"",IF($H109="Maund",ROUND($G109/37.32,2),$G109))</f>
        <v/>
      </c>
      <c r="J109" s="68" t="n"/>
    </row>
    <row r="110" ht="19.5" customHeight="1" s="45">
      <c r="B110" s="65" t="n">
        <v>46088</v>
      </c>
      <c r="C110" s="67" t="inlineStr">
        <is>
          <t>M5</t>
        </is>
      </c>
      <c r="D110" s="67" t="inlineStr">
        <is>
          <t>V-04</t>
        </is>
      </c>
      <c r="E110" s="67" t="inlineStr">
        <is>
          <t>RS</t>
        </is>
      </c>
      <c r="F110" s="68" t="inlineStr">
        <is>
          <t>Loitta</t>
        </is>
      </c>
      <c r="G110" s="75" t="n">
        <v>280</v>
      </c>
      <c r="H110" s="67" t="inlineStr">
        <is>
          <t>Kg</t>
        </is>
      </c>
      <c r="I110" s="76">
        <f>IF(OR($G110="",$H110="",NOT(ISNUMBER($G110))),"",IF($H110="Maund",ROUND($G110/37.32,2),$G110))</f>
        <v/>
      </c>
      <c r="J110" s="68" t="n"/>
    </row>
    <row r="111" ht="19.5" customHeight="1" s="45">
      <c r="B111" s="65" t="n">
        <v>46088</v>
      </c>
      <c r="C111" s="67" t="inlineStr">
        <is>
          <t>M5</t>
        </is>
      </c>
      <c r="D111" s="67" t="inlineStr">
        <is>
          <t>V-04</t>
        </is>
      </c>
      <c r="E111" s="67" t="inlineStr">
        <is>
          <t>RS</t>
        </is>
      </c>
      <c r="F111" s="68" t="inlineStr">
        <is>
          <t>Bagda chingri</t>
        </is>
      </c>
      <c r="G111" s="75" t="n">
        <v>940</v>
      </c>
      <c r="H111" s="67" t="inlineStr">
        <is>
          <t>Kg</t>
        </is>
      </c>
      <c r="I111" s="76">
        <f>IF(OR($G111="",$H111="",NOT(ISNUMBER($G111))),"",IF($H111="Maund",ROUND($G111/37.32,2),$G111))</f>
        <v/>
      </c>
      <c r="J111" s="68" t="n"/>
    </row>
    <row r="112" ht="19.5" customHeight="1" s="45">
      <c r="B112" s="65" t="n">
        <v>46088</v>
      </c>
      <c r="C112" s="67" t="inlineStr">
        <is>
          <t>M5</t>
        </is>
      </c>
      <c r="D112" s="67" t="inlineStr">
        <is>
          <t>V-05</t>
        </is>
      </c>
      <c r="E112" s="67" t="inlineStr">
        <is>
          <t>RS</t>
        </is>
      </c>
      <c r="F112" s="68" t="inlineStr">
        <is>
          <t>Surma</t>
        </is>
      </c>
      <c r="G112" s="75" t="n">
        <v>575</v>
      </c>
      <c r="H112" s="67" t="inlineStr">
        <is>
          <t>Kg</t>
        </is>
      </c>
      <c r="I112" s="76">
        <f>IF(OR($G112="",$H112="",NOT(ISNUMBER($G112))),"",IF($H112="Maund",ROUND($G112/37.32,2),$G112))</f>
        <v/>
      </c>
      <c r="J112" s="68" t="n"/>
    </row>
    <row r="113" ht="19.5" customHeight="1" s="45">
      <c r="B113" s="65" t="n">
        <v>46088</v>
      </c>
      <c r="C113" s="67" t="inlineStr">
        <is>
          <t>M5</t>
        </is>
      </c>
      <c r="D113" s="67" t="inlineStr">
        <is>
          <t>V-05</t>
        </is>
      </c>
      <c r="E113" s="67" t="inlineStr">
        <is>
          <t>RS</t>
        </is>
      </c>
      <c r="F113" s="68" t="inlineStr">
        <is>
          <t>Churi</t>
        </is>
      </c>
      <c r="G113" s="75" t="n">
        <v>465</v>
      </c>
      <c r="H113" s="67" t="inlineStr">
        <is>
          <t>Kg</t>
        </is>
      </c>
      <c r="I113" s="76">
        <f>IF(OR($G113="",$H113="",NOT(ISNUMBER($G113))),"",IF($H113="Maund",ROUND($G113/37.32,2),$G113))</f>
        <v/>
      </c>
      <c r="J113" s="68" t="n"/>
    </row>
    <row r="114" ht="19.5" customHeight="1" s="45">
      <c r="B114" s="65" t="n">
        <v>46088</v>
      </c>
      <c r="C114" s="67" t="inlineStr">
        <is>
          <t>M5</t>
        </is>
      </c>
      <c r="D114" s="67" t="inlineStr">
        <is>
          <t>V-06</t>
        </is>
      </c>
      <c r="E114" s="67" t="inlineStr">
        <is>
          <t>RS</t>
        </is>
      </c>
      <c r="F114" s="68" t="inlineStr">
        <is>
          <t>Rupchanda</t>
        </is>
      </c>
      <c r="G114" s="75" t="n">
        <v>1585</v>
      </c>
      <c r="H114" s="67" t="inlineStr">
        <is>
          <t>Kg</t>
        </is>
      </c>
      <c r="I114" s="76">
        <f>IF(OR($G114="",$H114="",NOT(ISNUMBER($G114))),"",IF($H114="Maund",ROUND($G114/37.32,2),$G114))</f>
        <v/>
      </c>
      <c r="J114" s="68" t="n"/>
    </row>
    <row r="115" ht="19.5" customHeight="1" s="45">
      <c r="B115" s="65" t="n">
        <v>46088</v>
      </c>
      <c r="C115" s="67" t="inlineStr">
        <is>
          <t>M5</t>
        </is>
      </c>
      <c r="D115" s="67" t="inlineStr">
        <is>
          <t>V-06</t>
        </is>
      </c>
      <c r="E115" s="67" t="inlineStr">
        <is>
          <t>RS</t>
        </is>
      </c>
      <c r="F115" s="68" t="inlineStr">
        <is>
          <t>Lakkha</t>
        </is>
      </c>
      <c r="G115" s="75" t="n">
        <v>1095</v>
      </c>
      <c r="H115" s="67" t="inlineStr">
        <is>
          <t>Kg</t>
        </is>
      </c>
      <c r="I115" s="76">
        <f>IF(OR($G115="",$H115="",NOT(ISNUMBER($G115))),"",IF($H115="Maund",ROUND($G115/37.32,2),$G115))</f>
        <v/>
      </c>
      <c r="J115" s="68" t="n"/>
    </row>
    <row r="116" ht="19.5" customHeight="1" s="45">
      <c r="B116" s="65" t="n">
        <v>46088</v>
      </c>
      <c r="C116" s="67" t="inlineStr">
        <is>
          <t>M5</t>
        </is>
      </c>
      <c r="D116" s="67" t="inlineStr">
        <is>
          <t>V-06</t>
        </is>
      </c>
      <c r="E116" s="67" t="inlineStr">
        <is>
          <t>RS</t>
        </is>
      </c>
      <c r="F116" s="68" t="inlineStr">
        <is>
          <t>Datina</t>
        </is>
      </c>
      <c r="G116" s="75" t="n">
        <v>340</v>
      </c>
      <c r="H116" s="67" t="inlineStr">
        <is>
          <t>Kg</t>
        </is>
      </c>
      <c r="I116" s="76">
        <f>IF(OR($G116="",$H116="",NOT(ISNUMBER($G116))),"",IF($H116="Maund",ROUND($G116/37.32,2),$G116))</f>
        <v/>
      </c>
      <c r="J116" s="68" t="n"/>
    </row>
    <row r="117" ht="19.5" customHeight="1" s="45">
      <c r="B117" s="65" t="n">
        <v>46088</v>
      </c>
      <c r="C117" s="67" t="inlineStr">
        <is>
          <t>M5</t>
        </is>
      </c>
      <c r="D117" s="67" t="inlineStr">
        <is>
          <t>V-07</t>
        </is>
      </c>
      <c r="E117" s="67" t="inlineStr">
        <is>
          <t>RS</t>
        </is>
      </c>
      <c r="F117" s="68" t="inlineStr">
        <is>
          <t>Loitta</t>
        </is>
      </c>
      <c r="G117" s="75" t="n">
        <v>270</v>
      </c>
      <c r="H117" s="67" t="inlineStr">
        <is>
          <t>Kg</t>
        </is>
      </c>
      <c r="I117" s="76">
        <f>IF(OR($G117="",$H117="",NOT(ISNUMBER($G117))),"",IF($H117="Maund",ROUND($G117/37.32,2),$G117))</f>
        <v/>
      </c>
      <c r="J117" s="68" t="n"/>
    </row>
    <row r="118" ht="19.5" customHeight="1" s="45">
      <c r="B118" s="65" t="n">
        <v>46088</v>
      </c>
      <c r="C118" s="67" t="inlineStr">
        <is>
          <t>M5</t>
        </is>
      </c>
      <c r="D118" s="67" t="inlineStr">
        <is>
          <t>V-07</t>
        </is>
      </c>
      <c r="E118" s="67" t="inlineStr">
        <is>
          <t>RS</t>
        </is>
      </c>
      <c r="F118" s="68" t="inlineStr">
        <is>
          <t>Moid</t>
        </is>
      </c>
      <c r="G118" s="75" t="n">
        <v>230</v>
      </c>
      <c r="H118" s="67" t="inlineStr">
        <is>
          <t>Kg</t>
        </is>
      </c>
      <c r="I118" s="76">
        <f>IF(OR($G118="",$H118="",NOT(ISNUMBER($G118))),"",IF($H118="Maund",ROUND($G118/37.32,2),$G118))</f>
        <v/>
      </c>
      <c r="J118" s="68" t="n"/>
    </row>
    <row r="119" ht="19.5" customHeight="1" s="45">
      <c r="B119" s="65" t="n">
        <v>46088</v>
      </c>
      <c r="C119" s="67" t="inlineStr">
        <is>
          <t>M5</t>
        </is>
      </c>
      <c r="D119" s="67" t="inlineStr">
        <is>
          <t>V-08</t>
        </is>
      </c>
      <c r="E119" s="67" t="inlineStr">
        <is>
          <t>RS</t>
        </is>
      </c>
      <c r="F119" s="68" t="inlineStr">
        <is>
          <t>Rupchanda</t>
        </is>
      </c>
      <c r="G119" s="75" t="n">
        <v>1610</v>
      </c>
      <c r="H119" s="67" t="inlineStr">
        <is>
          <t>Kg</t>
        </is>
      </c>
      <c r="I119" s="76">
        <f>IF(OR($G119="",$H119="",NOT(ISNUMBER($G119))),"",IF($H119="Maund",ROUND($G119/37.32,2),$G119))</f>
        <v/>
      </c>
      <c r="J119" s="68" t="n"/>
    </row>
    <row r="120" ht="19.5" customHeight="1" s="45">
      <c r="B120" s="65" t="n">
        <v>46088</v>
      </c>
      <c r="C120" s="67" t="inlineStr">
        <is>
          <t>M5</t>
        </is>
      </c>
      <c r="D120" s="67" t="inlineStr">
        <is>
          <t>V-08</t>
        </is>
      </c>
      <c r="E120" s="67" t="inlineStr">
        <is>
          <t>RS</t>
        </is>
      </c>
      <c r="F120" s="68" t="inlineStr">
        <is>
          <t>Koral</t>
        </is>
      </c>
      <c r="G120" s="75" t="n">
        <v>910</v>
      </c>
      <c r="H120" s="67" t="inlineStr">
        <is>
          <t>Kg</t>
        </is>
      </c>
      <c r="I120" s="76">
        <f>IF(OR($G120="",$H120="",NOT(ISNUMBER($G120))),"",IF($H120="Maund",ROUND($G120/37.32,2),$G120))</f>
        <v/>
      </c>
      <c r="J120" s="68" t="n"/>
    </row>
    <row r="121" ht="19.5" customHeight="1" s="45">
      <c r="B121" s="65" t="n">
        <v>46088</v>
      </c>
      <c r="C121" s="67" t="inlineStr">
        <is>
          <t>M5</t>
        </is>
      </c>
      <c r="D121" s="67" t="inlineStr">
        <is>
          <t>V-09</t>
        </is>
      </c>
      <c r="E121" s="67" t="inlineStr">
        <is>
          <t>RS</t>
        </is>
      </c>
      <c r="F121" s="68" t="inlineStr">
        <is>
          <t>Rupchanda</t>
        </is>
      </c>
      <c r="G121" s="75" t="n">
        <v>1645</v>
      </c>
      <c r="H121" s="67" t="inlineStr">
        <is>
          <t>Kg</t>
        </is>
      </c>
      <c r="I121" s="76">
        <f>IF(OR($G121="",$H121="",NOT(ISNUMBER($G121))),"",IF($H121="Maund",ROUND($G121/37.32,2),$G121))</f>
        <v/>
      </c>
      <c r="J121" s="68" t="n"/>
    </row>
    <row r="122" ht="19.5" customHeight="1" s="45">
      <c r="B122" s="65" t="n">
        <v>46088</v>
      </c>
      <c r="C122" s="67" t="inlineStr">
        <is>
          <t>M5</t>
        </is>
      </c>
      <c r="D122" s="67" t="inlineStr">
        <is>
          <t>V-09</t>
        </is>
      </c>
      <c r="E122" s="67" t="inlineStr">
        <is>
          <t>RS</t>
        </is>
      </c>
      <c r="F122" s="68" t="inlineStr">
        <is>
          <t>Surma</t>
        </is>
      </c>
      <c r="G122" s="75" t="n">
        <v>580</v>
      </c>
      <c r="H122" s="67" t="inlineStr">
        <is>
          <t>Kg</t>
        </is>
      </c>
      <c r="I122" s="76">
        <f>IF(OR($G122="",$H122="",NOT(ISNUMBER($G122))),"",IF($H122="Maund",ROUND($G122/37.32,2),$G122))</f>
        <v/>
      </c>
      <c r="J122" s="68" t="n"/>
    </row>
    <row r="123" ht="19.5" customHeight="1" s="45">
      <c r="B123" s="65" t="n">
        <v>46088</v>
      </c>
      <c r="C123" s="67" t="inlineStr">
        <is>
          <t>M5</t>
        </is>
      </c>
      <c r="D123" s="67" t="inlineStr">
        <is>
          <t>V-09</t>
        </is>
      </c>
      <c r="E123" s="67" t="inlineStr">
        <is>
          <t>RS</t>
        </is>
      </c>
      <c r="F123" s="68" t="inlineStr">
        <is>
          <t>Datina</t>
        </is>
      </c>
      <c r="G123" s="75" t="n">
        <v>355</v>
      </c>
      <c r="H123" s="67" t="inlineStr">
        <is>
          <t>Kg</t>
        </is>
      </c>
      <c r="I123" s="76">
        <f>IF(OR($G123="",$H123="",NOT(ISNUMBER($G123))),"",IF($H123="Maund",ROUND($G123/37.32,2),$G123))</f>
        <v/>
      </c>
      <c r="J123" s="68" t="n"/>
    </row>
    <row r="124" ht="19.5" customHeight="1" s="45">
      <c r="B124" s="65" t="n">
        <v>46084</v>
      </c>
      <c r="C124" s="67" t="inlineStr">
        <is>
          <t>M6</t>
        </is>
      </c>
      <c r="D124" s="67" t="inlineStr">
        <is>
          <t>V-01</t>
        </is>
      </c>
      <c r="E124" s="67" t="inlineStr">
        <is>
          <t>RS</t>
        </is>
      </c>
      <c r="F124" s="68" t="inlineStr">
        <is>
          <t>Ilish</t>
        </is>
      </c>
      <c r="G124" s="75" t="n">
        <v>1355</v>
      </c>
      <c r="H124" s="67" t="inlineStr">
        <is>
          <t>Kg</t>
        </is>
      </c>
      <c r="I124" s="76">
        <f>IF(OR($G124="",$H124="",NOT(ISNUMBER($G124))),"",IF($H124="Maund",ROUND($G124/37.32,2),$G124))</f>
        <v/>
      </c>
      <c r="J124" s="68" t="n"/>
    </row>
    <row r="125" ht="19.5" customHeight="1" s="45">
      <c r="B125" s="65" t="n">
        <v>46084</v>
      </c>
      <c r="C125" s="67" t="inlineStr">
        <is>
          <t>M6</t>
        </is>
      </c>
      <c r="D125" s="67" t="inlineStr">
        <is>
          <t>V-01</t>
        </is>
      </c>
      <c r="E125" s="67" t="inlineStr">
        <is>
          <t>RS</t>
        </is>
      </c>
      <c r="F125" s="68" t="inlineStr">
        <is>
          <t>Churi</t>
        </is>
      </c>
      <c r="G125" s="75" t="n">
        <v>420</v>
      </c>
      <c r="H125" s="67" t="inlineStr">
        <is>
          <t>Kg</t>
        </is>
      </c>
      <c r="I125" s="76">
        <f>IF(OR($G125="",$H125="",NOT(ISNUMBER($G125))),"",IF($H125="Maund",ROUND($G125/37.32,2),$G125))</f>
        <v/>
      </c>
      <c r="J125" s="68" t="n"/>
    </row>
    <row r="126" ht="19.5" customHeight="1" s="45">
      <c r="B126" s="65" t="n">
        <v>46084</v>
      </c>
      <c r="C126" s="67" t="inlineStr">
        <is>
          <t>M6</t>
        </is>
      </c>
      <c r="D126" s="67" t="inlineStr">
        <is>
          <t>V-01</t>
        </is>
      </c>
      <c r="E126" s="67" t="inlineStr">
        <is>
          <t>RS</t>
        </is>
      </c>
      <c r="F126" s="68" t="inlineStr">
        <is>
          <t>Chatka chingri</t>
        </is>
      </c>
      <c r="G126" s="75" t="n">
        <v>485</v>
      </c>
      <c r="H126" s="67" t="inlineStr">
        <is>
          <t>Kg</t>
        </is>
      </c>
      <c r="I126" s="76">
        <f>IF(OR($G126="",$H126="",NOT(ISNUMBER($G126))),"",IF($H126="Maund",ROUND($G126/37.32,2),$G126))</f>
        <v/>
      </c>
      <c r="J126" s="68" t="n"/>
    </row>
    <row r="127" ht="19.5" customHeight="1" s="45">
      <c r="B127" s="65" t="n">
        <v>46084</v>
      </c>
      <c r="C127" s="67" t="inlineStr">
        <is>
          <t>M6</t>
        </is>
      </c>
      <c r="D127" s="67" t="inlineStr">
        <is>
          <t>V-02</t>
        </is>
      </c>
      <c r="E127" s="67" t="inlineStr">
        <is>
          <t>RS</t>
        </is>
      </c>
      <c r="F127" s="68" t="inlineStr">
        <is>
          <t>Churi</t>
        </is>
      </c>
      <c r="G127" s="75" t="n">
        <v>420</v>
      </c>
      <c r="H127" s="67" t="inlineStr">
        <is>
          <t>Kg</t>
        </is>
      </c>
      <c r="I127" s="76">
        <f>IF(OR($G127="",$H127="",NOT(ISNUMBER($G127))),"",IF($H127="Maund",ROUND($G127/37.32,2),$G127))</f>
        <v/>
      </c>
      <c r="J127" s="68" t="n"/>
    </row>
    <row r="128" ht="19.5" customHeight="1" s="45">
      <c r="B128" s="65" t="n">
        <v>46084</v>
      </c>
      <c r="C128" s="67" t="inlineStr">
        <is>
          <t>M6</t>
        </is>
      </c>
      <c r="D128" s="67" t="inlineStr">
        <is>
          <t>V-02</t>
        </is>
      </c>
      <c r="E128" s="67" t="inlineStr">
        <is>
          <t>RS</t>
        </is>
      </c>
      <c r="F128" s="68" t="inlineStr">
        <is>
          <t>Poa</t>
        </is>
      </c>
      <c r="G128" s="75" t="n">
        <v>515</v>
      </c>
      <c r="H128" s="67" t="inlineStr">
        <is>
          <t>Kg</t>
        </is>
      </c>
      <c r="I128" s="76">
        <f>IF(OR($G128="",$H128="",NOT(ISNUMBER($G128))),"",IF($H128="Maund",ROUND($G128/37.32,2),$G128))</f>
        <v/>
      </c>
      <c r="J128" s="68" t="n"/>
    </row>
    <row r="129" ht="19.5" customHeight="1" s="45">
      <c r="B129" s="65" t="n">
        <v>46084</v>
      </c>
      <c r="C129" s="67" t="inlineStr">
        <is>
          <t>M6</t>
        </is>
      </c>
      <c r="D129" s="67" t="inlineStr">
        <is>
          <t>V-03</t>
        </is>
      </c>
      <c r="E129" s="67" t="inlineStr">
        <is>
          <t>RS</t>
        </is>
      </c>
      <c r="F129" s="68" t="inlineStr">
        <is>
          <t>Poa</t>
        </is>
      </c>
      <c r="G129" s="75" t="n">
        <v>495</v>
      </c>
      <c r="H129" s="67" t="inlineStr">
        <is>
          <t>Kg</t>
        </is>
      </c>
      <c r="I129" s="76">
        <f>IF(OR($G129="",$H129="",NOT(ISNUMBER($G129))),"",IF($H129="Maund",ROUND($G129/37.32,2),$G129))</f>
        <v/>
      </c>
      <c r="J129" s="68" t="n"/>
    </row>
    <row r="130" ht="19.5" customHeight="1" s="45">
      <c r="B130" s="65" t="n">
        <v>46084</v>
      </c>
      <c r="C130" s="67" t="inlineStr">
        <is>
          <t>M6</t>
        </is>
      </c>
      <c r="D130" s="67" t="inlineStr">
        <is>
          <t>V-03</t>
        </is>
      </c>
      <c r="E130" s="67" t="inlineStr">
        <is>
          <t>RS</t>
        </is>
      </c>
      <c r="F130" s="68" t="inlineStr">
        <is>
          <t>Kankoita</t>
        </is>
      </c>
      <c r="G130" s="75" t="n">
        <v>330</v>
      </c>
      <c r="H130" s="67" t="inlineStr">
        <is>
          <t>Kg</t>
        </is>
      </c>
      <c r="I130" s="76">
        <f>IF(OR($G130="",$H130="",NOT(ISNUMBER($G130))),"",IF($H130="Maund",ROUND($G130/37.32,2),$G130))</f>
        <v/>
      </c>
      <c r="J130" s="68" t="n"/>
    </row>
    <row r="131" ht="19.5" customHeight="1" s="45">
      <c r="B131" s="65" t="n">
        <v>46084</v>
      </c>
      <c r="C131" s="67" t="inlineStr">
        <is>
          <t>M6</t>
        </is>
      </c>
      <c r="D131" s="67" t="inlineStr">
        <is>
          <t>V-04</t>
        </is>
      </c>
      <c r="E131" s="67" t="inlineStr">
        <is>
          <t>RS</t>
        </is>
      </c>
      <c r="F131" s="68" t="inlineStr">
        <is>
          <t>Ilish</t>
        </is>
      </c>
      <c r="G131" s="75" t="n">
        <v>1365</v>
      </c>
      <c r="H131" s="67" t="inlineStr">
        <is>
          <t>Kg</t>
        </is>
      </c>
      <c r="I131" s="76">
        <f>IF(OR($G131="",$H131="",NOT(ISNUMBER($G131))),"",IF($H131="Maund",ROUND($G131/37.32,2),$G131))</f>
        <v/>
      </c>
      <c r="J131" s="68" t="n"/>
    </row>
    <row r="132" ht="19.5" customHeight="1" s="45">
      <c r="B132" s="65" t="n">
        <v>46084</v>
      </c>
      <c r="C132" s="67" t="inlineStr">
        <is>
          <t>M6</t>
        </is>
      </c>
      <c r="D132" s="67" t="inlineStr">
        <is>
          <t>V-04</t>
        </is>
      </c>
      <c r="E132" s="67" t="inlineStr">
        <is>
          <t>RS</t>
        </is>
      </c>
      <c r="F132" s="68" t="inlineStr">
        <is>
          <t>Surma</t>
        </is>
      </c>
      <c r="G132" s="75" t="n">
        <v>555</v>
      </c>
      <c r="H132" s="67" t="inlineStr">
        <is>
          <t>Kg</t>
        </is>
      </c>
      <c r="I132" s="76">
        <f>IF(OR($G132="",$H132="",NOT(ISNUMBER($G132))),"",IF($H132="Maund",ROUND($G132/37.32,2),$G132))</f>
        <v/>
      </c>
      <c r="J132" s="68" t="n"/>
    </row>
    <row r="133" ht="19.5" customHeight="1" s="45">
      <c r="B133" s="65" t="n">
        <v>46084</v>
      </c>
      <c r="C133" s="67" t="inlineStr">
        <is>
          <t>M6</t>
        </is>
      </c>
      <c r="D133" s="67" t="inlineStr">
        <is>
          <t>V-05</t>
        </is>
      </c>
      <c r="E133" s="67" t="inlineStr">
        <is>
          <t>RS</t>
        </is>
      </c>
      <c r="F133" s="68" t="inlineStr">
        <is>
          <t>Ilish</t>
        </is>
      </c>
      <c r="G133" s="75" t="n">
        <v>1355</v>
      </c>
      <c r="H133" s="67" t="inlineStr">
        <is>
          <t>Kg</t>
        </is>
      </c>
      <c r="I133" s="76">
        <f>IF(OR($G133="",$H133="",NOT(ISNUMBER($G133))),"",IF($H133="Maund",ROUND($G133/37.32,2),$G133))</f>
        <v/>
      </c>
      <c r="J133" s="68" t="n"/>
    </row>
    <row r="134" ht="19.5" customHeight="1" s="45">
      <c r="B134" s="65" t="n">
        <v>46084</v>
      </c>
      <c r="C134" s="67" t="inlineStr">
        <is>
          <t>M6</t>
        </is>
      </c>
      <c r="D134" s="67" t="inlineStr">
        <is>
          <t>V-05</t>
        </is>
      </c>
      <c r="E134" s="67" t="inlineStr">
        <is>
          <t>RS</t>
        </is>
      </c>
      <c r="F134" s="68" t="inlineStr">
        <is>
          <t>Rupchanda</t>
        </is>
      </c>
      <c r="G134" s="75" t="n">
        <v>1500</v>
      </c>
      <c r="H134" s="67" t="inlineStr">
        <is>
          <t>Kg</t>
        </is>
      </c>
      <c r="I134" s="76">
        <f>IF(OR($G134="",$H134="",NOT(ISNUMBER($G134))),"",IF($H134="Maund",ROUND($G134/37.32,2),$G134))</f>
        <v/>
      </c>
      <c r="J134" s="68" t="n"/>
    </row>
    <row r="135" ht="19.5" customHeight="1" s="45">
      <c r="B135" s="65" t="n">
        <v>46084</v>
      </c>
      <c r="C135" s="67" t="inlineStr">
        <is>
          <t>M6</t>
        </is>
      </c>
      <c r="D135" s="67" t="inlineStr">
        <is>
          <t>V-06</t>
        </is>
      </c>
      <c r="E135" s="67" t="inlineStr">
        <is>
          <t>RS</t>
        </is>
      </c>
      <c r="F135" s="68" t="inlineStr">
        <is>
          <t>Ilish</t>
        </is>
      </c>
      <c r="G135" s="75" t="n">
        <v>1355</v>
      </c>
      <c r="H135" s="67" t="inlineStr">
        <is>
          <t>Kg</t>
        </is>
      </c>
      <c r="I135" s="76">
        <f>IF(OR($G135="",$H135="",NOT(ISNUMBER($G135))),"",IF($H135="Maund",ROUND($G135/37.32,2),$G135))</f>
        <v/>
      </c>
      <c r="J135" s="68" t="n"/>
    </row>
    <row r="136" ht="19.5" customHeight="1" s="45">
      <c r="B136" s="65" t="n">
        <v>46084</v>
      </c>
      <c r="C136" s="67" t="inlineStr">
        <is>
          <t>M6</t>
        </is>
      </c>
      <c r="D136" s="67" t="inlineStr">
        <is>
          <t>V-06</t>
        </is>
      </c>
      <c r="E136" s="67" t="inlineStr">
        <is>
          <t>RS</t>
        </is>
      </c>
      <c r="F136" s="68" t="inlineStr">
        <is>
          <t>Lakkha</t>
        </is>
      </c>
      <c r="G136" s="75" t="n">
        <v>970</v>
      </c>
      <c r="H136" s="67" t="inlineStr">
        <is>
          <t>Kg</t>
        </is>
      </c>
      <c r="I136" s="76">
        <f>IF(OR($G136="",$H136="",NOT(ISNUMBER($G136))),"",IF($H136="Maund",ROUND($G136/37.32,2),$G136))</f>
        <v/>
      </c>
      <c r="J136" s="68" t="n"/>
    </row>
    <row r="137" ht="19.5" customHeight="1" s="45">
      <c r="B137" s="65" t="n">
        <v>46084</v>
      </c>
      <c r="C137" s="67" t="inlineStr">
        <is>
          <t>M6</t>
        </is>
      </c>
      <c r="D137" s="67" t="inlineStr">
        <is>
          <t>V-07</t>
        </is>
      </c>
      <c r="E137" s="67" t="inlineStr">
        <is>
          <t>RS</t>
        </is>
      </c>
      <c r="F137" s="68" t="inlineStr">
        <is>
          <t>Koral</t>
        </is>
      </c>
      <c r="G137" s="75" t="n">
        <v>855</v>
      </c>
      <c r="H137" s="67" t="inlineStr">
        <is>
          <t>Kg</t>
        </is>
      </c>
      <c r="I137" s="76">
        <f>IF(OR($G137="",$H137="",NOT(ISNUMBER($G137))),"",IF($H137="Maund",ROUND($G137/37.32,2),$G137))</f>
        <v/>
      </c>
      <c r="J137" s="68" t="n"/>
    </row>
    <row r="138" ht="19.5" customHeight="1" s="45">
      <c r="B138" s="65" t="n">
        <v>46084</v>
      </c>
      <c r="C138" s="67" t="inlineStr">
        <is>
          <t>M6</t>
        </is>
      </c>
      <c r="D138" s="67" t="inlineStr">
        <is>
          <t>V-07</t>
        </is>
      </c>
      <c r="E138" s="67" t="inlineStr">
        <is>
          <t>RS</t>
        </is>
      </c>
      <c r="F138" s="68" t="inlineStr">
        <is>
          <t>Surma</t>
        </is>
      </c>
      <c r="G138" s="75" t="n">
        <v>535</v>
      </c>
      <c r="H138" s="67" t="inlineStr">
        <is>
          <t>Kg</t>
        </is>
      </c>
      <c r="I138" s="76">
        <f>IF(OR($G138="",$H138="",NOT(ISNUMBER($G138))),"",IF($H138="Maund",ROUND($G138/37.32,2),$G138))</f>
        <v/>
      </c>
      <c r="J138" s="68" t="n"/>
    </row>
    <row r="139" ht="19.5" customHeight="1" s="45">
      <c r="B139" s="65" t="n">
        <v>46084</v>
      </c>
      <c r="C139" s="67" t="inlineStr">
        <is>
          <t>M6</t>
        </is>
      </c>
      <c r="D139" s="67" t="inlineStr">
        <is>
          <t>V-08</t>
        </is>
      </c>
      <c r="E139" s="67" t="inlineStr">
        <is>
          <t>RS</t>
        </is>
      </c>
      <c r="F139" s="68" t="inlineStr">
        <is>
          <t>Ilish</t>
        </is>
      </c>
      <c r="G139" s="75" t="n">
        <v>1365</v>
      </c>
      <c r="H139" s="67" t="inlineStr">
        <is>
          <t>Kg</t>
        </is>
      </c>
      <c r="I139" s="76">
        <f>IF(OR($G139="",$H139="",NOT(ISNUMBER($G139))),"",IF($H139="Maund",ROUND($G139/37.32,2),$G139))</f>
        <v/>
      </c>
      <c r="J139" s="68" t="n"/>
    </row>
    <row r="140" ht="19.5" customHeight="1" s="45">
      <c r="B140" s="65" t="n">
        <v>46084</v>
      </c>
      <c r="C140" s="67" t="inlineStr">
        <is>
          <t>M6</t>
        </is>
      </c>
      <c r="D140" s="67" t="inlineStr">
        <is>
          <t>V-08</t>
        </is>
      </c>
      <c r="E140" s="67" t="inlineStr">
        <is>
          <t>RS</t>
        </is>
      </c>
      <c r="F140" s="68" t="inlineStr">
        <is>
          <t>Poa</t>
        </is>
      </c>
      <c r="G140" s="75" t="n">
        <v>510</v>
      </c>
      <c r="H140" s="67" t="inlineStr">
        <is>
          <t>Kg</t>
        </is>
      </c>
      <c r="I140" s="76">
        <f>IF(OR($G140="",$H140="",NOT(ISNUMBER($G140))),"",IF($H140="Maund",ROUND($G140/37.32,2),$G140))</f>
        <v/>
      </c>
      <c r="J140" s="68" t="n"/>
    </row>
    <row r="141" ht="19.5" customHeight="1" s="45">
      <c r="B141" s="65" t="n"/>
      <c r="C141" s="67" t="n"/>
      <c r="D141" s="67" t="n"/>
      <c r="E141" s="67" t="n"/>
      <c r="F141" s="68" t="n"/>
      <c r="G141" s="75" t="n"/>
      <c r="H141" s="67" t="n"/>
      <c r="I141" s="76">
        <f>IF(OR($G141="",$H141="",NOT(ISNUMBER($G141))),"",IF($H141="Maund",ROUND($G141/37.32,2),$G141))</f>
        <v/>
      </c>
      <c r="J141" s="68" t="n"/>
    </row>
    <row r="142" ht="19.5" customHeight="1" s="45">
      <c r="B142" s="65" t="n"/>
      <c r="C142" s="67" t="n"/>
      <c r="D142" s="67" t="n"/>
      <c r="E142" s="67" t="n"/>
      <c r="F142" s="68" t="n"/>
      <c r="G142" s="75" t="n"/>
      <c r="H142" s="67" t="n"/>
      <c r="I142" s="76">
        <f>IF(OR($G142="",$H142="",NOT(ISNUMBER($G142))),"",IF($H142="Maund",ROUND($G142/37.32,2),$G142))</f>
        <v/>
      </c>
      <c r="J142" s="68" t="n"/>
    </row>
    <row r="143" ht="19.5" customHeight="1" s="45">
      <c r="B143" s="65" t="n"/>
      <c r="C143" s="67" t="n"/>
      <c r="D143" s="67" t="n"/>
      <c r="E143" s="67" t="n"/>
      <c r="F143" s="68" t="n"/>
      <c r="G143" s="75" t="n"/>
      <c r="H143" s="67" t="n"/>
      <c r="I143" s="76">
        <f>IF(OR($G143="",$H143="",NOT(ISNUMBER($G143))),"",IF($H143="Maund",ROUND($G143/37.32,2),$G143))</f>
        <v/>
      </c>
      <c r="J143" s="68" t="n"/>
    </row>
    <row r="144" ht="19.5" customHeight="1" s="45">
      <c r="B144" s="65" t="n"/>
      <c r="C144" s="67" t="n"/>
      <c r="D144" s="67" t="n"/>
      <c r="E144" s="67" t="n"/>
      <c r="F144" s="68" t="n"/>
      <c r="G144" s="75" t="n"/>
      <c r="H144" s="67" t="n"/>
      <c r="I144" s="76">
        <f>IF(OR($G144="",$H144="",NOT(ISNUMBER($G144))),"",IF($H144="Maund",ROUND($G144/37.32,2),$G144))</f>
        <v/>
      </c>
      <c r="J144" s="68" t="n"/>
    </row>
    <row r="145" ht="19.5" customHeight="1" s="45">
      <c r="B145" s="65" t="n"/>
      <c r="C145" s="67" t="n"/>
      <c r="D145" s="67" t="n"/>
      <c r="E145" s="67" t="n"/>
      <c r="F145" s="68" t="n"/>
      <c r="G145" s="75" t="n"/>
      <c r="H145" s="67" t="n"/>
      <c r="I145" s="76">
        <f>IF(OR($G145="",$H145="",NOT(ISNUMBER($G145))),"",IF($H145="Maund",ROUND($G145/37.32,2),$G145))</f>
        <v/>
      </c>
      <c r="J145" s="68" t="n"/>
    </row>
    <row r="146" ht="19.5" customHeight="1" s="45">
      <c r="B146" s="65" t="n"/>
      <c r="C146" s="67" t="n"/>
      <c r="D146" s="67" t="n"/>
      <c r="E146" s="67" t="n"/>
      <c r="F146" s="68" t="n"/>
      <c r="G146" s="75" t="n"/>
      <c r="H146" s="67" t="n"/>
      <c r="I146" s="76">
        <f>IF(OR($G146="",$H146="",NOT(ISNUMBER($G146))),"",IF($H146="Maund",ROUND($G146/37.32,2),$G146))</f>
        <v/>
      </c>
      <c r="J146" s="68" t="n"/>
    </row>
    <row r="147" ht="19.5" customHeight="1" s="45">
      <c r="B147" s="65" t="n"/>
      <c r="C147" s="67" t="n"/>
      <c r="D147" s="67" t="n"/>
      <c r="E147" s="67" t="n"/>
      <c r="F147" s="68" t="n"/>
      <c r="G147" s="75" t="n"/>
      <c r="H147" s="67" t="n"/>
      <c r="I147" s="76">
        <f>IF(OR($G147="",$H147="",NOT(ISNUMBER($G147))),"",IF($H147="Maund",ROUND($G147/37.32,2),$G147))</f>
        <v/>
      </c>
      <c r="J147" s="68" t="n"/>
    </row>
    <row r="148" ht="19.5" customHeight="1" s="45">
      <c r="B148" s="65" t="n"/>
      <c r="C148" s="67" t="n"/>
      <c r="D148" s="67" t="n"/>
      <c r="E148" s="67" t="n"/>
      <c r="F148" s="68" t="n"/>
      <c r="G148" s="75" t="n"/>
      <c r="H148" s="67" t="n"/>
      <c r="I148" s="76">
        <f>IF(OR($G148="",$H148="",NOT(ISNUMBER($G148))),"",IF($H148="Maund",ROUND($G148/37.32,2),$G148))</f>
        <v/>
      </c>
      <c r="J148" s="68" t="n"/>
    </row>
    <row r="149" ht="19.5" customHeight="1" s="45">
      <c r="B149" s="65" t="n"/>
      <c r="C149" s="67" t="n"/>
      <c r="D149" s="67" t="n"/>
      <c r="E149" s="67" t="n"/>
      <c r="F149" s="68" t="n"/>
      <c r="G149" s="75" t="n"/>
      <c r="H149" s="67" t="n"/>
      <c r="I149" s="76">
        <f>IF(OR($G149="",$H149="",NOT(ISNUMBER($G149))),"",IF($H149="Maund",ROUND($G149/37.32,2),$G149))</f>
        <v/>
      </c>
      <c r="J149" s="68" t="n"/>
    </row>
    <row r="150" ht="19.5" customHeight="1" s="45">
      <c r="B150" s="65" t="n"/>
      <c r="C150" s="67" t="n"/>
      <c r="D150" s="67" t="n"/>
      <c r="E150" s="67" t="n"/>
      <c r="F150" s="68" t="n"/>
      <c r="G150" s="75" t="n"/>
      <c r="H150" s="67" t="n"/>
      <c r="I150" s="76">
        <f>IF(OR($G150="",$H150="",NOT(ISNUMBER($G150))),"",IF($H150="Maund",ROUND($G150/37.32,2),$G150))</f>
        <v/>
      </c>
      <c r="J150" s="68" t="n"/>
    </row>
    <row r="151" ht="19.5" customHeight="1" s="45">
      <c r="B151" s="65" t="n"/>
      <c r="C151" s="67" t="n"/>
      <c r="D151" s="67" t="n"/>
      <c r="E151" s="67" t="n"/>
      <c r="F151" s="68" t="n"/>
      <c r="G151" s="75" t="n"/>
      <c r="H151" s="67" t="n"/>
      <c r="I151" s="76">
        <f>IF(OR($G151="",$H151="",NOT(ISNUMBER($G151))),"",IF($H151="Maund",ROUND($G151/37.32,2),$G151))</f>
        <v/>
      </c>
      <c r="J151" s="68" t="n"/>
    </row>
    <row r="152" ht="19.5" customHeight="1" s="45">
      <c r="B152" s="65" t="n"/>
      <c r="C152" s="67" t="n"/>
      <c r="D152" s="67" t="n"/>
      <c r="E152" s="67" t="n"/>
      <c r="F152" s="68" t="n"/>
      <c r="G152" s="75" t="n"/>
      <c r="H152" s="67" t="n"/>
      <c r="I152" s="76">
        <f>IF(OR($G152="",$H152="",NOT(ISNUMBER($G152))),"",IF($H152="Maund",ROUND($G152/37.32,2),$G152))</f>
        <v/>
      </c>
      <c r="J152" s="68" t="n"/>
    </row>
    <row r="153" ht="19.5" customHeight="1" s="45">
      <c r="B153" s="65" t="n"/>
      <c r="C153" s="67" t="n"/>
      <c r="D153" s="67" t="n"/>
      <c r="E153" s="67" t="n"/>
      <c r="F153" s="68" t="n"/>
      <c r="G153" s="75" t="n"/>
      <c r="H153" s="67" t="n"/>
      <c r="I153" s="76">
        <f>IF(OR($G153="",$H153="",NOT(ISNUMBER($G153))),"",IF($H153="Maund",ROUND($G153/37.32,2),$G153))</f>
        <v/>
      </c>
      <c r="J153" s="68" t="n"/>
    </row>
    <row r="154" ht="19.5" customHeight="1" s="45">
      <c r="B154" s="65" t="n"/>
      <c r="C154" s="67" t="n"/>
      <c r="D154" s="67" t="n"/>
      <c r="E154" s="67" t="n"/>
      <c r="F154" s="68" t="n"/>
      <c r="G154" s="75" t="n"/>
      <c r="H154" s="67" t="n"/>
      <c r="I154" s="76">
        <f>IF(OR($G154="",$H154="",NOT(ISNUMBER($G154))),"",IF($H154="Maund",ROUND($G154/37.32,2),$G154))</f>
        <v/>
      </c>
      <c r="J154" s="68" t="n"/>
    </row>
    <row r="155" ht="19.5" customHeight="1" s="45">
      <c r="B155" s="65" t="n"/>
      <c r="C155" s="67" t="n"/>
      <c r="D155" s="67" t="n"/>
      <c r="E155" s="67" t="n"/>
      <c r="F155" s="68" t="n"/>
      <c r="G155" s="75" t="n"/>
      <c r="H155" s="67" t="n"/>
      <c r="I155" s="76">
        <f>IF(OR($G155="",$H155="",NOT(ISNUMBER($G155))),"",IF($H155="Maund",ROUND($G155/37.32,2),$G155))</f>
        <v/>
      </c>
      <c r="J155" s="68" t="n"/>
    </row>
    <row r="156" ht="19.5" customHeight="1" s="45">
      <c r="B156" s="65" t="n"/>
      <c r="C156" s="67" t="n"/>
      <c r="D156" s="67" t="n"/>
      <c r="E156" s="67" t="n"/>
      <c r="F156" s="68" t="n"/>
      <c r="G156" s="75" t="n"/>
      <c r="H156" s="67" t="n"/>
      <c r="I156" s="76">
        <f>IF(OR($G156="",$H156="",NOT(ISNUMBER($G156))),"",IF($H156="Maund",ROUND($G156/37.32,2),$G156))</f>
        <v/>
      </c>
      <c r="J156" s="68" t="n"/>
    </row>
    <row r="157" ht="19.5" customHeight="1" s="45">
      <c r="B157" s="65" t="n"/>
      <c r="C157" s="67" t="n"/>
      <c r="D157" s="67" t="n"/>
      <c r="E157" s="67" t="n"/>
      <c r="F157" s="68" t="n"/>
      <c r="G157" s="75" t="n"/>
      <c r="H157" s="67" t="n"/>
      <c r="I157" s="76">
        <f>IF(OR($G157="",$H157="",NOT(ISNUMBER($G157))),"",IF($H157="Maund",ROUND($G157/37.32,2),$G157))</f>
        <v/>
      </c>
      <c r="J157" s="68" t="n"/>
    </row>
    <row r="158" ht="19.5" customHeight="1" s="45">
      <c r="B158" s="65" t="n"/>
      <c r="C158" s="67" t="n"/>
      <c r="D158" s="67" t="n"/>
      <c r="E158" s="67" t="n"/>
      <c r="F158" s="68" t="n"/>
      <c r="G158" s="75" t="n"/>
      <c r="H158" s="67" t="n"/>
      <c r="I158" s="76">
        <f>IF(OR($G158="",$H158="",NOT(ISNUMBER($G158))),"",IF($H158="Maund",ROUND($G158/37.32,2),$G158))</f>
        <v/>
      </c>
      <c r="J158" s="68" t="n"/>
    </row>
    <row r="159" ht="19.5" customHeight="1" s="45">
      <c r="B159" s="65" t="n"/>
      <c r="C159" s="67" t="n"/>
      <c r="D159" s="67" t="n"/>
      <c r="E159" s="67" t="n"/>
      <c r="F159" s="68" t="n"/>
      <c r="G159" s="75" t="n"/>
      <c r="H159" s="67" t="n"/>
      <c r="I159" s="76">
        <f>IF(OR($G159="",$H159="",NOT(ISNUMBER($G159))),"",IF($H159="Maund",ROUND($G159/37.32,2),$G159))</f>
        <v/>
      </c>
      <c r="J159" s="68" t="n"/>
    </row>
    <row r="160" ht="19.5" customHeight="1" s="45">
      <c r="B160" s="65" t="n"/>
      <c r="C160" s="67" t="n"/>
      <c r="D160" s="67" t="n"/>
      <c r="E160" s="67" t="n"/>
      <c r="F160" s="68" t="n"/>
      <c r="G160" s="75" t="n"/>
      <c r="H160" s="67" t="n"/>
      <c r="I160" s="76">
        <f>IF(OR($G160="",$H160="",NOT(ISNUMBER($G160))),"",IF($H160="Maund",ROUND($G160/37.32,2),$G160))</f>
        <v/>
      </c>
      <c r="J160" s="68" t="n"/>
    </row>
    <row r="161" ht="19.5" customHeight="1" s="45">
      <c r="B161" s="65" t="n"/>
      <c r="C161" s="67" t="n"/>
      <c r="D161" s="67" t="n"/>
      <c r="E161" s="67" t="n"/>
      <c r="F161" s="68" t="n"/>
      <c r="G161" s="75" t="n"/>
      <c r="H161" s="67" t="n"/>
      <c r="I161" s="76">
        <f>IF(OR($G161="",$H161="",NOT(ISNUMBER($G161))),"",IF($H161="Maund",ROUND($G161/37.32,2),$G161))</f>
        <v/>
      </c>
      <c r="J161" s="68" t="n"/>
    </row>
    <row r="162" ht="19.5" customHeight="1" s="45">
      <c r="B162" s="65" t="n"/>
      <c r="C162" s="67" t="n"/>
      <c r="D162" s="67" t="n"/>
      <c r="E162" s="67" t="n"/>
      <c r="F162" s="68" t="n"/>
      <c r="G162" s="75" t="n"/>
      <c r="H162" s="67" t="n"/>
      <c r="I162" s="76">
        <f>IF(OR($G162="",$H162="",NOT(ISNUMBER($G162))),"",IF($H162="Maund",ROUND($G162/37.32,2),$G162))</f>
        <v/>
      </c>
      <c r="J162" s="68" t="n"/>
    </row>
    <row r="163" ht="19.5" customHeight="1" s="45">
      <c r="B163" s="65" t="n"/>
      <c r="C163" s="67" t="n"/>
      <c r="D163" s="67" t="n"/>
      <c r="E163" s="67" t="n"/>
      <c r="F163" s="68" t="n"/>
      <c r="G163" s="75" t="n"/>
      <c r="H163" s="67" t="n"/>
      <c r="I163" s="76">
        <f>IF(OR($G163="",$H163="",NOT(ISNUMBER($G163))),"",IF($H163="Maund",ROUND($G163/37.32,2),$G163))</f>
        <v/>
      </c>
      <c r="J163" s="68" t="n"/>
    </row>
    <row r="164" ht="19.5" customHeight="1" s="45">
      <c r="B164" s="65" t="n"/>
      <c r="C164" s="67" t="n"/>
      <c r="D164" s="67" t="n"/>
      <c r="E164" s="67" t="n"/>
      <c r="F164" s="68" t="n"/>
      <c r="G164" s="75" t="n"/>
      <c r="H164" s="67" t="n"/>
      <c r="I164" s="76">
        <f>IF(OR($G164="",$H164="",NOT(ISNUMBER($G164))),"",IF($H164="Maund",ROUND($G164/37.32,2),$G164))</f>
        <v/>
      </c>
      <c r="J164" s="68" t="n"/>
    </row>
    <row r="165" ht="19.5" customHeight="1" s="45">
      <c r="B165" s="65" t="n"/>
      <c r="C165" s="67" t="n"/>
      <c r="D165" s="67" t="n"/>
      <c r="E165" s="67" t="n"/>
      <c r="F165" s="68" t="n"/>
      <c r="G165" s="75" t="n"/>
      <c r="H165" s="67" t="n"/>
      <c r="I165" s="76">
        <f>IF(OR($G165="",$H165="",NOT(ISNUMBER($G165))),"",IF($H165="Maund",ROUND($G165/37.32,2),$G165))</f>
        <v/>
      </c>
      <c r="J165" s="68" t="n"/>
    </row>
    <row r="166" ht="19.5" customHeight="1" s="45">
      <c r="B166" s="65" t="n"/>
      <c r="C166" s="67" t="n"/>
      <c r="D166" s="67" t="n"/>
      <c r="E166" s="67" t="n"/>
      <c r="F166" s="68" t="n"/>
      <c r="G166" s="75" t="n"/>
      <c r="H166" s="67" t="n"/>
      <c r="I166" s="76">
        <f>IF(OR($G166="",$H166="",NOT(ISNUMBER($G166))),"",IF($H166="Maund",ROUND($G166/37.32,2),$G166))</f>
        <v/>
      </c>
      <c r="J166" s="68" t="n"/>
    </row>
    <row r="167" ht="19.5" customHeight="1" s="45">
      <c r="B167" s="65" t="n"/>
      <c r="C167" s="67" t="n"/>
      <c r="D167" s="67" t="n"/>
      <c r="E167" s="67" t="n"/>
      <c r="F167" s="68" t="n"/>
      <c r="G167" s="75" t="n"/>
      <c r="H167" s="67" t="n"/>
      <c r="I167" s="76">
        <f>IF(OR($G167="",$H167="",NOT(ISNUMBER($G167))),"",IF($H167="Maund",ROUND($G167/37.32,2),$G167))</f>
        <v/>
      </c>
      <c r="J167" s="68" t="n"/>
    </row>
    <row r="168" ht="19.5" customHeight="1" s="45">
      <c r="B168" s="65" t="n"/>
      <c r="C168" s="67" t="n"/>
      <c r="D168" s="67" t="n"/>
      <c r="E168" s="67" t="n"/>
      <c r="F168" s="68" t="n"/>
      <c r="G168" s="75" t="n"/>
      <c r="H168" s="67" t="n"/>
      <c r="I168" s="76">
        <f>IF(OR($G168="",$H168="",NOT(ISNUMBER($G168))),"",IF($H168="Maund",ROUND($G168/37.32,2),$G168))</f>
        <v/>
      </c>
      <c r="J168" s="68" t="n"/>
    </row>
    <row r="169" ht="19.5" customHeight="1" s="45">
      <c r="B169" s="65" t="n"/>
      <c r="C169" s="67" t="n"/>
      <c r="D169" s="67" t="n"/>
      <c r="E169" s="67" t="n"/>
      <c r="F169" s="68" t="n"/>
      <c r="G169" s="75" t="n"/>
      <c r="H169" s="67" t="n"/>
      <c r="I169" s="76">
        <f>IF(OR($G169="",$H169="",NOT(ISNUMBER($G169))),"",IF($H169="Maund",ROUND($G169/37.32,2),$G169))</f>
        <v/>
      </c>
      <c r="J169" s="68" t="n"/>
    </row>
    <row r="170" ht="19.5" customHeight="1" s="45">
      <c r="B170" s="65" t="n"/>
      <c r="C170" s="67" t="n"/>
      <c r="D170" s="67" t="n"/>
      <c r="E170" s="67" t="n"/>
      <c r="F170" s="68" t="n"/>
      <c r="G170" s="75" t="n"/>
      <c r="H170" s="67" t="n"/>
      <c r="I170" s="76">
        <f>IF(OR($G170="",$H170="",NOT(ISNUMBER($G170))),"",IF($H170="Maund",ROUND($G170/37.32,2),$G170))</f>
        <v/>
      </c>
      <c r="J170" s="68" t="n"/>
    </row>
    <row r="171" ht="19.5" customHeight="1" s="45">
      <c r="B171" s="65" t="n"/>
      <c r="C171" s="67" t="n"/>
      <c r="D171" s="67" t="n"/>
      <c r="E171" s="67" t="n"/>
      <c r="F171" s="68" t="n"/>
      <c r="G171" s="75" t="n"/>
      <c r="H171" s="67" t="n"/>
      <c r="I171" s="76">
        <f>IF(OR($G171="",$H171="",NOT(ISNUMBER($G171))),"",IF($H171="Maund",ROUND($G171/37.32,2),$G171))</f>
        <v/>
      </c>
      <c r="J171" s="68" t="n"/>
    </row>
    <row r="172" ht="19.5" customHeight="1" s="45">
      <c r="B172" s="65" t="n"/>
      <c r="C172" s="67" t="n"/>
      <c r="D172" s="67" t="n"/>
      <c r="E172" s="67" t="n"/>
      <c r="F172" s="68" t="n"/>
      <c r="G172" s="75" t="n"/>
      <c r="H172" s="67" t="n"/>
      <c r="I172" s="76">
        <f>IF(OR($G172="",$H172="",NOT(ISNUMBER($G172))),"",IF($H172="Maund",ROUND($G172/37.32,2),$G172))</f>
        <v/>
      </c>
      <c r="J172" s="68" t="n"/>
    </row>
    <row r="173" ht="19.5" customHeight="1" s="45">
      <c r="B173" s="65" t="n"/>
      <c r="C173" s="67" t="n"/>
      <c r="D173" s="67" t="n"/>
      <c r="E173" s="67" t="n"/>
      <c r="F173" s="68" t="n"/>
      <c r="G173" s="75" t="n"/>
      <c r="H173" s="67" t="n"/>
      <c r="I173" s="76">
        <f>IF(OR($G173="",$H173="",NOT(ISNUMBER($G173))),"",IF($H173="Maund",ROUND($G173/37.32,2),$G173))</f>
        <v/>
      </c>
      <c r="J173" s="68" t="n"/>
    </row>
    <row r="174" ht="19.5" customHeight="1" s="45">
      <c r="B174" s="65" t="n"/>
      <c r="C174" s="67" t="n"/>
      <c r="D174" s="67" t="n"/>
      <c r="E174" s="67" t="n"/>
      <c r="F174" s="68" t="n"/>
      <c r="G174" s="75" t="n"/>
      <c r="H174" s="67" t="n"/>
      <c r="I174" s="76">
        <f>IF(OR($G174="",$H174="",NOT(ISNUMBER($G174))),"",IF($H174="Maund",ROUND($G174/37.32,2),$G174))</f>
        <v/>
      </c>
      <c r="J174" s="68" t="n"/>
    </row>
    <row r="175" ht="19.5" customHeight="1" s="45">
      <c r="B175" s="65" t="n"/>
      <c r="C175" s="67" t="n"/>
      <c r="D175" s="67" t="n"/>
      <c r="E175" s="67" t="n"/>
      <c r="F175" s="68" t="n"/>
      <c r="G175" s="75" t="n"/>
      <c r="H175" s="67" t="n"/>
      <c r="I175" s="76">
        <f>IF(OR($G175="",$H175="",NOT(ISNUMBER($G175))),"",IF($H175="Maund",ROUND($G175/37.32,2),$G175))</f>
        <v/>
      </c>
      <c r="J175" s="68" t="n"/>
    </row>
    <row r="176" ht="19.5" customHeight="1" s="45">
      <c r="B176" s="65" t="n"/>
      <c r="C176" s="67" t="n"/>
      <c r="D176" s="67" t="n"/>
      <c r="E176" s="67" t="n"/>
      <c r="F176" s="68" t="n"/>
      <c r="G176" s="75" t="n"/>
      <c r="H176" s="67" t="n"/>
      <c r="I176" s="76">
        <f>IF(OR($G176="",$H176="",NOT(ISNUMBER($G176))),"",IF($H176="Maund",ROUND($G176/37.32,2),$G176))</f>
        <v/>
      </c>
      <c r="J176" s="68" t="n"/>
    </row>
    <row r="177" ht="19.5" customHeight="1" s="45">
      <c r="B177" s="65" t="n"/>
      <c r="C177" s="67" t="n"/>
      <c r="D177" s="67" t="n"/>
      <c r="E177" s="67" t="n"/>
      <c r="F177" s="68" t="n"/>
      <c r="G177" s="75" t="n"/>
      <c r="H177" s="67" t="n"/>
      <c r="I177" s="76">
        <f>IF(OR($G177="",$H177="",NOT(ISNUMBER($G177))),"",IF($H177="Maund",ROUND($G177/37.32,2),$G177))</f>
        <v/>
      </c>
      <c r="J177" s="68" t="n"/>
    </row>
    <row r="178" ht="19.5" customHeight="1" s="45">
      <c r="B178" s="65" t="n"/>
      <c r="C178" s="67" t="n"/>
      <c r="D178" s="67" t="n"/>
      <c r="E178" s="67" t="n"/>
      <c r="F178" s="68" t="n"/>
      <c r="G178" s="75" t="n"/>
      <c r="H178" s="67" t="n"/>
      <c r="I178" s="76">
        <f>IF(OR($G178="",$H178="",NOT(ISNUMBER($G178))),"",IF($H178="Maund",ROUND($G178/37.32,2),$G178))</f>
        <v/>
      </c>
      <c r="J178" s="68" t="n"/>
    </row>
    <row r="179" ht="19.5" customHeight="1" s="45">
      <c r="B179" s="65" t="n"/>
      <c r="C179" s="67" t="n"/>
      <c r="D179" s="67" t="n"/>
      <c r="E179" s="67" t="n"/>
      <c r="F179" s="68" t="n"/>
      <c r="G179" s="75" t="n"/>
      <c r="H179" s="67" t="n"/>
      <c r="I179" s="76">
        <f>IF(OR($G179="",$H179="",NOT(ISNUMBER($G179))),"",IF($H179="Maund",ROUND($G179/37.32,2),$G179))</f>
        <v/>
      </c>
      <c r="J179" s="68" t="n"/>
    </row>
    <row r="180" ht="19.5" customHeight="1" s="45">
      <c r="B180" s="65" t="n"/>
      <c r="C180" s="67" t="n"/>
      <c r="D180" s="67" t="n"/>
      <c r="E180" s="67" t="n"/>
      <c r="F180" s="68" t="n"/>
      <c r="G180" s="75" t="n"/>
      <c r="H180" s="67" t="n"/>
      <c r="I180" s="76">
        <f>IF(OR($G180="",$H180="",NOT(ISNUMBER($G180))),"",IF($H180="Maund",ROUND($G180/37.32,2),$G180))</f>
        <v/>
      </c>
      <c r="J180" s="68" t="n"/>
    </row>
    <row r="181" ht="19.5" customHeight="1" s="45">
      <c r="B181" s="65" t="n"/>
      <c r="C181" s="67" t="n"/>
      <c r="D181" s="67" t="n"/>
      <c r="E181" s="67" t="n"/>
      <c r="F181" s="68" t="n"/>
      <c r="G181" s="75" t="n"/>
      <c r="H181" s="67" t="n"/>
      <c r="I181" s="76">
        <f>IF(OR($G181="",$H181="",NOT(ISNUMBER($G181))),"",IF($H181="Maund",ROUND($G181/37.32,2),$G181))</f>
        <v/>
      </c>
      <c r="J181" s="68" t="n"/>
    </row>
    <row r="182" ht="19.5" customHeight="1" s="45">
      <c r="B182" s="65" t="n"/>
      <c r="C182" s="67" t="n"/>
      <c r="D182" s="67" t="n"/>
      <c r="E182" s="67" t="n"/>
      <c r="F182" s="68" t="n"/>
      <c r="G182" s="75" t="n"/>
      <c r="H182" s="67" t="n"/>
      <c r="I182" s="76">
        <f>IF(OR($G182="",$H182="",NOT(ISNUMBER($G182))),"",IF($H182="Maund",ROUND($G182/37.32,2),$G182))</f>
        <v/>
      </c>
      <c r="J182" s="68" t="n"/>
    </row>
    <row r="183" ht="19.5" customHeight="1" s="45">
      <c r="B183" s="65" t="n"/>
      <c r="C183" s="67" t="n"/>
      <c r="D183" s="67" t="n"/>
      <c r="E183" s="67" t="n"/>
      <c r="F183" s="68" t="n"/>
      <c r="G183" s="75" t="n"/>
      <c r="H183" s="67" t="n"/>
      <c r="I183" s="76">
        <f>IF(OR($G183="",$H183="",NOT(ISNUMBER($G183))),"",IF($H183="Maund",ROUND($G183/37.32,2),$G183))</f>
        <v/>
      </c>
      <c r="J183" s="68" t="n"/>
    </row>
    <row r="184" ht="19.5" customHeight="1" s="45">
      <c r="B184" s="65" t="n"/>
      <c r="C184" s="67" t="n"/>
      <c r="D184" s="67" t="n"/>
      <c r="E184" s="67" t="n"/>
      <c r="F184" s="68" t="n"/>
      <c r="G184" s="75" t="n"/>
      <c r="H184" s="67" t="n"/>
      <c r="I184" s="76">
        <f>IF(OR($G184="",$H184="",NOT(ISNUMBER($G184))),"",IF($H184="Maund",ROUND($G184/37.32,2),$G184))</f>
        <v/>
      </c>
      <c r="J184" s="68" t="n"/>
    </row>
    <row r="185" ht="19.5" customHeight="1" s="45">
      <c r="B185" s="65" t="n"/>
      <c r="C185" s="67" t="n"/>
      <c r="D185" s="67" t="n"/>
      <c r="E185" s="67" t="n"/>
      <c r="F185" s="68" t="n"/>
      <c r="G185" s="75" t="n"/>
      <c r="H185" s="67" t="n"/>
      <c r="I185" s="76">
        <f>IF(OR($G185="",$H185="",NOT(ISNUMBER($G185))),"",IF($H185="Maund",ROUND($G185/37.32,2),$G185))</f>
        <v/>
      </c>
      <c r="J185" s="68" t="n"/>
    </row>
    <row r="186" ht="19.5" customHeight="1" s="45">
      <c r="B186" s="65" t="n"/>
      <c r="C186" s="67" t="n"/>
      <c r="D186" s="67" t="n"/>
      <c r="E186" s="67" t="n"/>
      <c r="F186" s="68" t="n"/>
      <c r="G186" s="75" t="n"/>
      <c r="H186" s="67" t="n"/>
      <c r="I186" s="76">
        <f>IF(OR($G186="",$H186="",NOT(ISNUMBER($G186))),"",IF($H186="Maund",ROUND($G186/37.32,2),$G186))</f>
        <v/>
      </c>
      <c r="J186" s="68" t="n"/>
    </row>
    <row r="187" ht="19.5" customHeight="1" s="45">
      <c r="B187" s="65" t="n"/>
      <c r="C187" s="67" t="n"/>
      <c r="D187" s="67" t="n"/>
      <c r="E187" s="67" t="n"/>
      <c r="F187" s="68" t="n"/>
      <c r="G187" s="75" t="n"/>
      <c r="H187" s="67" t="n"/>
      <c r="I187" s="76">
        <f>IF(OR($G187="",$H187="",NOT(ISNUMBER($G187))),"",IF($H187="Maund",ROUND($G187/37.32,2),$G187))</f>
        <v/>
      </c>
      <c r="J187" s="68" t="n"/>
    </row>
    <row r="188" ht="19.5" customHeight="1" s="45">
      <c r="B188" s="65" t="n"/>
      <c r="C188" s="67" t="n"/>
      <c r="D188" s="67" t="n"/>
      <c r="E188" s="67" t="n"/>
      <c r="F188" s="68" t="n"/>
      <c r="G188" s="75" t="n"/>
      <c r="H188" s="67" t="n"/>
      <c r="I188" s="76">
        <f>IF(OR($G188="",$H188="",NOT(ISNUMBER($G188))),"",IF($H188="Maund",ROUND($G188/37.32,2),$G188))</f>
        <v/>
      </c>
      <c r="J188" s="68" t="n"/>
    </row>
    <row r="189" ht="19.5" customHeight="1" s="45">
      <c r="B189" s="65" t="n"/>
      <c r="C189" s="67" t="n"/>
      <c r="D189" s="67" t="n"/>
      <c r="E189" s="67" t="n"/>
      <c r="F189" s="68" t="n"/>
      <c r="G189" s="75" t="n"/>
      <c r="H189" s="67" t="n"/>
      <c r="I189" s="76">
        <f>IF(OR($G189="",$H189="",NOT(ISNUMBER($G189))),"",IF($H189="Maund",ROUND($G189/37.32,2),$G189))</f>
        <v/>
      </c>
      <c r="J189" s="68" t="n"/>
    </row>
    <row r="190" ht="19.5" customHeight="1" s="45">
      <c r="B190" s="65" t="n"/>
      <c r="C190" s="67" t="n"/>
      <c r="D190" s="67" t="n"/>
      <c r="E190" s="67" t="n"/>
      <c r="F190" s="68" t="n"/>
      <c r="G190" s="75" t="n"/>
      <c r="H190" s="67" t="n"/>
      <c r="I190" s="76">
        <f>IF(OR($G190="",$H190="",NOT(ISNUMBER($G190))),"",IF($H190="Maund",ROUND($G190/37.32,2),$G190))</f>
        <v/>
      </c>
      <c r="J190" s="68" t="n"/>
    </row>
    <row r="191" ht="19.5" customHeight="1" s="45">
      <c r="B191" s="65" t="n"/>
      <c r="C191" s="67" t="n"/>
      <c r="D191" s="67" t="n"/>
      <c r="E191" s="67" t="n"/>
      <c r="F191" s="68" t="n"/>
      <c r="G191" s="75" t="n"/>
      <c r="H191" s="67" t="n"/>
      <c r="I191" s="76">
        <f>IF(OR($G191="",$H191="",NOT(ISNUMBER($G191))),"",IF($H191="Maund",ROUND($G191/37.32,2),$G191))</f>
        <v/>
      </c>
      <c r="J191" s="68" t="n"/>
    </row>
    <row r="192" ht="19.5" customHeight="1" s="45">
      <c r="B192" s="65" t="n"/>
      <c r="C192" s="67" t="n"/>
      <c r="D192" s="67" t="n"/>
      <c r="E192" s="67" t="n"/>
      <c r="F192" s="68" t="n"/>
      <c r="G192" s="75" t="n"/>
      <c r="H192" s="67" t="n"/>
      <c r="I192" s="76">
        <f>IF(OR($G192="",$H192="",NOT(ISNUMBER($G192))),"",IF($H192="Maund",ROUND($G192/37.32,2),$G192))</f>
        <v/>
      </c>
      <c r="J192" s="68" t="n"/>
    </row>
    <row r="193" ht="19.5" customHeight="1" s="45">
      <c r="B193" s="65" t="n"/>
      <c r="C193" s="67" t="n"/>
      <c r="D193" s="67" t="n"/>
      <c r="E193" s="67" t="n"/>
      <c r="F193" s="68" t="n"/>
      <c r="G193" s="75" t="n"/>
      <c r="H193" s="67" t="n"/>
      <c r="I193" s="76">
        <f>IF(OR($G193="",$H193="",NOT(ISNUMBER($G193))),"",IF($H193="Maund",ROUND($G193/37.32,2),$G193))</f>
        <v/>
      </c>
      <c r="J193" s="68" t="n"/>
    </row>
    <row r="194" ht="19.5" customHeight="1" s="45">
      <c r="B194" s="65" t="n"/>
      <c r="C194" s="67" t="n"/>
      <c r="D194" s="67" t="n"/>
      <c r="E194" s="67" t="n"/>
      <c r="F194" s="68" t="n"/>
      <c r="G194" s="75" t="n"/>
      <c r="H194" s="67" t="n"/>
      <c r="I194" s="76">
        <f>IF(OR($G194="",$H194="",NOT(ISNUMBER($G194))),"",IF($H194="Maund",ROUND($G194/37.32,2),$G194))</f>
        <v/>
      </c>
      <c r="J194" s="68" t="n"/>
    </row>
    <row r="195" ht="19.5" customHeight="1" s="45">
      <c r="B195" s="65" t="n"/>
      <c r="C195" s="67" t="n"/>
      <c r="D195" s="67" t="n"/>
      <c r="E195" s="67" t="n"/>
      <c r="F195" s="68" t="n"/>
      <c r="G195" s="75" t="n"/>
      <c r="H195" s="67" t="n"/>
      <c r="I195" s="76">
        <f>IF(OR($G195="",$H195="",NOT(ISNUMBER($G195))),"",IF($H195="Maund",ROUND($G195/37.32,2),$G195))</f>
        <v/>
      </c>
      <c r="J195" s="68" t="n"/>
    </row>
    <row r="196" ht="19.5" customHeight="1" s="45">
      <c r="B196" s="65" t="n"/>
      <c r="C196" s="67" t="n"/>
      <c r="D196" s="67" t="n"/>
      <c r="E196" s="67" t="n"/>
      <c r="F196" s="68" t="n"/>
      <c r="G196" s="75" t="n"/>
      <c r="H196" s="67" t="n"/>
      <c r="I196" s="76">
        <f>IF(OR($G196="",$H196="",NOT(ISNUMBER($G196))),"",IF($H196="Maund",ROUND($G196/37.32,2),$G196))</f>
        <v/>
      </c>
      <c r="J196" s="68" t="n"/>
    </row>
    <row r="197" ht="19.5" customHeight="1" s="45">
      <c r="B197" s="65" t="n"/>
      <c r="C197" s="67" t="n"/>
      <c r="D197" s="67" t="n"/>
      <c r="E197" s="67" t="n"/>
      <c r="F197" s="68" t="n"/>
      <c r="G197" s="75" t="n"/>
      <c r="H197" s="67" t="n"/>
      <c r="I197" s="76">
        <f>IF(OR($G197="",$H197="",NOT(ISNUMBER($G197))),"",IF($H197="Maund",ROUND($G197/37.32,2),$G197))</f>
        <v/>
      </c>
      <c r="J197" s="68" t="n"/>
    </row>
    <row r="198" ht="19.5" customHeight="1" s="45">
      <c r="B198" s="65" t="n"/>
      <c r="C198" s="67" t="n"/>
      <c r="D198" s="67" t="n"/>
      <c r="E198" s="67" t="n"/>
      <c r="F198" s="68" t="n"/>
      <c r="G198" s="75" t="n"/>
      <c r="H198" s="67" t="n"/>
      <c r="I198" s="76">
        <f>IF(OR($G198="",$H198="",NOT(ISNUMBER($G198))),"",IF($H198="Maund",ROUND($G198/37.32,2),$G198))</f>
        <v/>
      </c>
      <c r="J198" s="68" t="n"/>
    </row>
    <row r="199" ht="19.5" customHeight="1" s="45">
      <c r="B199" s="65" t="n"/>
      <c r="C199" s="67" t="n"/>
      <c r="D199" s="67" t="n"/>
      <c r="E199" s="67" t="n"/>
      <c r="F199" s="68" t="n"/>
      <c r="G199" s="75" t="n"/>
      <c r="H199" s="67" t="n"/>
      <c r="I199" s="76">
        <f>IF(OR($G199="",$H199="",NOT(ISNUMBER($G199))),"",IF($H199="Maund",ROUND($G199/37.32,2),$G199))</f>
        <v/>
      </c>
      <c r="J199" s="68" t="n"/>
    </row>
    <row r="200" ht="19.5" customHeight="1" s="45">
      <c r="B200" s="65" t="n"/>
      <c r="C200" s="67" t="n"/>
      <c r="D200" s="67" t="n"/>
      <c r="E200" s="67" t="n"/>
      <c r="F200" s="68" t="n"/>
      <c r="G200" s="75" t="n"/>
      <c r="H200" s="67" t="n"/>
      <c r="I200" s="76">
        <f>IF(OR($G200="",$H200="",NOT(ISNUMBER($G200))),"",IF($H200="Maund",ROUND($G200/37.32,2),$G200))</f>
        <v/>
      </c>
      <c r="J200" s="68" t="n"/>
    </row>
    <row r="201" ht="19.5" customHeight="1" s="45">
      <c r="B201" s="65" t="n"/>
      <c r="C201" s="67" t="n"/>
      <c r="D201" s="67" t="n"/>
      <c r="E201" s="67" t="n"/>
      <c r="F201" s="68" t="n"/>
      <c r="G201" s="75" t="n"/>
      <c r="H201" s="67" t="n"/>
      <c r="I201" s="76">
        <f>IF(OR($G201="",$H201="",NOT(ISNUMBER($G201))),"",IF($H201="Maund",ROUND($G201/37.32,2),$G201))</f>
        <v/>
      </c>
      <c r="J201" s="68" t="n"/>
    </row>
    <row r="202" ht="19.5" customHeight="1" s="45">
      <c r="B202" s="65" t="n"/>
      <c r="C202" s="67" t="n"/>
      <c r="D202" s="67" t="n"/>
      <c r="E202" s="67" t="n"/>
      <c r="F202" s="68" t="n"/>
      <c r="G202" s="75" t="n"/>
      <c r="H202" s="67" t="n"/>
      <c r="I202" s="76">
        <f>IF(OR($G202="",$H202="",NOT(ISNUMBER($G202))),"",IF($H202="Maund",ROUND($G202/37.32,2),$G202))</f>
        <v/>
      </c>
      <c r="J202" s="68" t="n"/>
    </row>
    <row r="203" ht="19.5" customHeight="1" s="45">
      <c r="B203" s="65" t="n"/>
      <c r="C203" s="67" t="n"/>
      <c r="D203" s="67" t="n"/>
      <c r="E203" s="67" t="n"/>
      <c r="F203" s="68" t="n"/>
      <c r="G203" s="75" t="n"/>
      <c r="H203" s="67" t="n"/>
      <c r="I203" s="76">
        <f>IF(OR($G203="",$H203="",NOT(ISNUMBER($G203))),"",IF($H203="Maund",ROUND($G203/37.32,2),$G203))</f>
        <v/>
      </c>
      <c r="J203" s="68" t="n"/>
    </row>
    <row r="204" ht="19.5" customHeight="1" s="45">
      <c r="B204" s="65" t="n"/>
      <c r="C204" s="67" t="n"/>
      <c r="D204" s="67" t="n"/>
      <c r="E204" s="67" t="n"/>
      <c r="F204" s="68" t="n"/>
      <c r="G204" s="75" t="n"/>
      <c r="H204" s="67" t="n"/>
      <c r="I204" s="76">
        <f>IF(OR($G204="",$H204="",NOT(ISNUMBER($G204))),"",IF($H204="Maund",ROUND($G204/37.32,2),$G204))</f>
        <v/>
      </c>
      <c r="J204" s="68" t="n"/>
    </row>
    <row r="205" ht="19.5" customHeight="1" s="45">
      <c r="B205" s="65" t="n"/>
      <c r="C205" s="67" t="n"/>
      <c r="D205" s="67" t="n"/>
      <c r="E205" s="67" t="n"/>
      <c r="F205" s="68" t="n"/>
      <c r="G205" s="75" t="n"/>
      <c r="H205" s="67" t="n"/>
      <c r="I205" s="76">
        <f>IF(OR($G205="",$H205="",NOT(ISNUMBER($G205))),"",IF($H205="Maund",ROUND($G205/37.32,2),$G205))</f>
        <v/>
      </c>
      <c r="J205" s="68" t="n"/>
    </row>
    <row r="206" ht="19.5" customHeight="1" s="45">
      <c r="B206" s="65" t="n"/>
      <c r="C206" s="67" t="n"/>
      <c r="D206" s="67" t="n"/>
      <c r="E206" s="67" t="n"/>
      <c r="F206" s="68" t="n"/>
      <c r="G206" s="75" t="n"/>
      <c r="H206" s="67" t="n"/>
      <c r="I206" s="76">
        <f>IF(OR($G206="",$H206="",NOT(ISNUMBER($G206))),"",IF($H206="Maund",ROUND($G206/37.32,2),$G206))</f>
        <v/>
      </c>
      <c r="J206" s="68" t="n"/>
    </row>
    <row r="207" ht="19.5" customHeight="1" s="45">
      <c r="B207" s="65" t="n"/>
      <c r="C207" s="67" t="n"/>
      <c r="D207" s="67" t="n"/>
      <c r="E207" s="67" t="n"/>
      <c r="F207" s="68" t="n"/>
      <c r="G207" s="75" t="n"/>
      <c r="H207" s="67" t="n"/>
      <c r="I207" s="76">
        <f>IF(OR($G207="",$H207="",NOT(ISNUMBER($G207))),"",IF($H207="Maund",ROUND($G207/37.32,2),$G207))</f>
        <v/>
      </c>
      <c r="J207" s="68" t="n"/>
    </row>
    <row r="208" ht="19.5" customHeight="1" s="45">
      <c r="B208" s="65" t="n"/>
      <c r="C208" s="67" t="n"/>
      <c r="D208" s="67" t="n"/>
      <c r="E208" s="67" t="n"/>
      <c r="F208" s="68" t="n"/>
      <c r="G208" s="75" t="n"/>
      <c r="H208" s="67" t="n"/>
      <c r="I208" s="76">
        <f>IF(OR($G208="",$H208="",NOT(ISNUMBER($G208))),"",IF($H208="Maund",ROUND($G208/37.32,2),$G208))</f>
        <v/>
      </c>
      <c r="J208" s="68" t="n"/>
    </row>
    <row r="209" ht="19.5" customHeight="1" s="45">
      <c r="B209" s="65" t="n"/>
      <c r="C209" s="67" t="n"/>
      <c r="D209" s="67" t="n"/>
      <c r="E209" s="67" t="n"/>
      <c r="F209" s="68" t="n"/>
      <c r="G209" s="75" t="n"/>
      <c r="H209" s="67" t="n"/>
      <c r="I209" s="76">
        <f>IF(OR($G209="",$H209="",NOT(ISNUMBER($G209))),"",IF($H209="Maund",ROUND($G209/37.32,2),$G209))</f>
        <v/>
      </c>
      <c r="J209" s="68" t="n"/>
    </row>
    <row r="210" ht="19.5" customHeight="1" s="45">
      <c r="B210" s="65" t="n"/>
      <c r="C210" s="67" t="n"/>
      <c r="D210" s="67" t="n"/>
      <c r="E210" s="67" t="n"/>
      <c r="F210" s="68" t="n"/>
      <c r="G210" s="75" t="n"/>
      <c r="H210" s="67" t="n"/>
      <c r="I210" s="76">
        <f>IF(OR($G210="",$H210="",NOT(ISNUMBER($G210))),"",IF($H210="Maund",ROUND($G210/37.32,2),$G210))</f>
        <v/>
      </c>
      <c r="J210" s="68" t="n"/>
    </row>
    <row r="211" ht="19.5" customHeight="1" s="45">
      <c r="B211" s="65" t="n"/>
      <c r="C211" s="67" t="n"/>
      <c r="D211" s="67" t="n"/>
      <c r="E211" s="67" t="n"/>
      <c r="F211" s="68" t="n"/>
      <c r="G211" s="75" t="n"/>
      <c r="H211" s="67" t="n"/>
      <c r="I211" s="76">
        <f>IF(OR($G211="",$H211="",NOT(ISNUMBER($G211))),"",IF($H211="Maund",ROUND($G211/37.32,2),$G211))</f>
        <v/>
      </c>
      <c r="J211" s="68" t="n"/>
    </row>
    <row r="212" ht="19.5" customHeight="1" s="45">
      <c r="B212" s="65" t="n"/>
      <c r="C212" s="67" t="n"/>
      <c r="D212" s="67" t="n"/>
      <c r="E212" s="67" t="n"/>
      <c r="F212" s="68" t="n"/>
      <c r="G212" s="75" t="n"/>
      <c r="H212" s="67" t="n"/>
      <c r="I212" s="76">
        <f>IF(OR($G212="",$H212="",NOT(ISNUMBER($G212))),"",IF($H212="Maund",ROUND($G212/37.32,2),$G212))</f>
        <v/>
      </c>
      <c r="J212" s="68" t="n"/>
    </row>
    <row r="213" ht="19.5" customHeight="1" s="45">
      <c r="B213" s="65" t="n"/>
      <c r="C213" s="67" t="n"/>
      <c r="D213" s="67" t="n"/>
      <c r="E213" s="67" t="n"/>
      <c r="F213" s="68" t="n"/>
      <c r="G213" s="75" t="n"/>
      <c r="H213" s="67" t="n"/>
      <c r="I213" s="76">
        <f>IF(OR($G213="",$H213="",NOT(ISNUMBER($G213))),"",IF($H213="Maund",ROUND($G213/37.32,2),$G213))</f>
        <v/>
      </c>
      <c r="J213" s="68" t="n"/>
    </row>
    <row r="214" ht="19.5" customHeight="1" s="45">
      <c r="B214" s="65" t="n"/>
      <c r="C214" s="67" t="n"/>
      <c r="D214" s="67" t="n"/>
      <c r="E214" s="67" t="n"/>
      <c r="F214" s="68" t="n"/>
      <c r="G214" s="75" t="n"/>
      <c r="H214" s="67" t="n"/>
      <c r="I214" s="76">
        <f>IF(OR($G214="",$H214="",NOT(ISNUMBER($G214))),"",IF($H214="Maund",ROUND($G214/37.32,2),$G214))</f>
        <v/>
      </c>
      <c r="J214" s="68" t="n"/>
    </row>
    <row r="215" ht="19.5" customHeight="1" s="45">
      <c r="B215" s="65" t="n"/>
      <c r="C215" s="67" t="n"/>
      <c r="D215" s="67" t="n"/>
      <c r="E215" s="67" t="n"/>
      <c r="F215" s="68" t="n"/>
      <c r="G215" s="75" t="n"/>
      <c r="H215" s="67" t="n"/>
      <c r="I215" s="76">
        <f>IF(OR($G215="",$H215="",NOT(ISNUMBER($G215))),"",IF($H215="Maund",ROUND($G215/37.32,2),$G215))</f>
        <v/>
      </c>
      <c r="J215" s="68" t="n"/>
    </row>
    <row r="216" ht="19.5" customHeight="1" s="45">
      <c r="B216" s="65" t="n"/>
      <c r="C216" s="67" t="n"/>
      <c r="D216" s="67" t="n"/>
      <c r="E216" s="67" t="n"/>
      <c r="F216" s="68" t="n"/>
      <c r="G216" s="75" t="n"/>
      <c r="H216" s="67" t="n"/>
      <c r="I216" s="76">
        <f>IF(OR($G216="",$H216="",NOT(ISNUMBER($G216))),"",IF($H216="Maund",ROUND($G216/37.32,2),$G216))</f>
        <v/>
      </c>
      <c r="J216" s="68" t="n"/>
    </row>
    <row r="217" ht="19.5" customHeight="1" s="45">
      <c r="B217" s="65" t="n"/>
      <c r="C217" s="67" t="n"/>
      <c r="D217" s="67" t="n"/>
      <c r="E217" s="67" t="n"/>
      <c r="F217" s="68" t="n"/>
      <c r="G217" s="75" t="n"/>
      <c r="H217" s="67" t="n"/>
      <c r="I217" s="76">
        <f>IF(OR($G217="",$H217="",NOT(ISNUMBER($G217))),"",IF($H217="Maund",ROUND($G217/37.32,2),$G217))</f>
        <v/>
      </c>
      <c r="J217" s="68" t="n"/>
    </row>
    <row r="218" ht="19.5" customHeight="1" s="45">
      <c r="B218" s="65" t="n"/>
      <c r="C218" s="67" t="n"/>
      <c r="D218" s="67" t="n"/>
      <c r="E218" s="67" t="n"/>
      <c r="F218" s="68" t="n"/>
      <c r="G218" s="75" t="n"/>
      <c r="H218" s="67" t="n"/>
      <c r="I218" s="76">
        <f>IF(OR($G218="",$H218="",NOT(ISNUMBER($G218))),"",IF($H218="Maund",ROUND($G218/37.32,2),$G218))</f>
        <v/>
      </c>
      <c r="J218" s="68" t="n"/>
    </row>
    <row r="219" ht="19.5" customHeight="1" s="45">
      <c r="B219" s="65" t="n"/>
      <c r="C219" s="67" t="n"/>
      <c r="D219" s="67" t="n"/>
      <c r="E219" s="67" t="n"/>
      <c r="F219" s="68" t="n"/>
      <c r="G219" s="75" t="n"/>
      <c r="H219" s="67" t="n"/>
      <c r="I219" s="76">
        <f>IF(OR($G219="",$H219="",NOT(ISNUMBER($G219))),"",IF($H219="Maund",ROUND($G219/37.32,2),$G219))</f>
        <v/>
      </c>
      <c r="J219" s="68" t="n"/>
    </row>
    <row r="220" ht="19.5" customHeight="1" s="45">
      <c r="B220" s="65" t="n"/>
      <c r="C220" s="67" t="n"/>
      <c r="D220" s="67" t="n"/>
      <c r="E220" s="67" t="n"/>
      <c r="F220" s="68" t="n"/>
      <c r="G220" s="75" t="n"/>
      <c r="H220" s="67" t="n"/>
      <c r="I220" s="76">
        <f>IF(OR($G220="",$H220="",NOT(ISNUMBER($G220))),"",IF($H220="Maund",ROUND($G220/37.32,2),$G220))</f>
        <v/>
      </c>
      <c r="J220" s="68" t="n"/>
    </row>
    <row r="221" ht="19.5" customHeight="1" s="45">
      <c r="B221" s="65" t="n"/>
      <c r="C221" s="67" t="n"/>
      <c r="D221" s="67" t="n"/>
      <c r="E221" s="67" t="n"/>
      <c r="F221" s="68" t="n"/>
      <c r="G221" s="75" t="n"/>
      <c r="H221" s="67" t="n"/>
      <c r="I221" s="76">
        <f>IF(OR($G221="",$H221="",NOT(ISNUMBER($G221))),"",IF($H221="Maund",ROUND($G221/37.32,2),$G221))</f>
        <v/>
      </c>
      <c r="J221" s="68" t="n"/>
    </row>
    <row r="222" ht="19.5" customHeight="1" s="45">
      <c r="B222" s="65" t="n"/>
      <c r="C222" s="67" t="n"/>
      <c r="D222" s="67" t="n"/>
      <c r="E222" s="67" t="n"/>
      <c r="F222" s="68" t="n"/>
      <c r="G222" s="75" t="n"/>
      <c r="H222" s="67" t="n"/>
      <c r="I222" s="76">
        <f>IF(OR($G222="",$H222="",NOT(ISNUMBER($G222))),"",IF($H222="Maund",ROUND($G222/37.32,2),$G222))</f>
        <v/>
      </c>
      <c r="J222" s="68" t="n"/>
    </row>
    <row r="223" ht="19.5" customHeight="1" s="45">
      <c r="B223" s="65" t="n"/>
      <c r="C223" s="67" t="n"/>
      <c r="D223" s="67" t="n"/>
      <c r="E223" s="67" t="n"/>
      <c r="F223" s="68" t="n"/>
      <c r="G223" s="75" t="n"/>
      <c r="H223" s="67" t="n"/>
      <c r="I223" s="76">
        <f>IF(OR($G223="",$H223="",NOT(ISNUMBER($G223))),"",IF($H223="Maund",ROUND($G223/37.32,2),$G223))</f>
        <v/>
      </c>
      <c r="J223" s="68" t="n"/>
    </row>
    <row r="224" ht="19.5" customHeight="1" s="45">
      <c r="B224" s="65" t="n"/>
      <c r="C224" s="67" t="n"/>
      <c r="D224" s="67" t="n"/>
      <c r="E224" s="67" t="n"/>
      <c r="F224" s="68" t="n"/>
      <c r="G224" s="75" t="n"/>
      <c r="H224" s="67" t="n"/>
      <c r="I224" s="76">
        <f>IF(OR($G224="",$H224="",NOT(ISNUMBER($G224))),"",IF($H224="Maund",ROUND($G224/37.32,2),$G224))</f>
        <v/>
      </c>
      <c r="J224" s="68" t="n"/>
    </row>
    <row r="225" ht="19.5" customHeight="1" s="45">
      <c r="B225" s="65" t="n"/>
      <c r="C225" s="67" t="n"/>
      <c r="D225" s="67" t="n"/>
      <c r="E225" s="67" t="n"/>
      <c r="F225" s="68" t="n"/>
      <c r="G225" s="75" t="n"/>
      <c r="H225" s="67" t="n"/>
      <c r="I225" s="76">
        <f>IF(OR($G225="",$H225="",NOT(ISNUMBER($G225))),"",IF($H225="Maund",ROUND($G225/37.32,2),$G225))</f>
        <v/>
      </c>
      <c r="J225" s="68" t="n"/>
    </row>
    <row r="226" ht="19.5" customHeight="1" s="45">
      <c r="B226" s="65" t="n"/>
      <c r="C226" s="67" t="n"/>
      <c r="D226" s="67" t="n"/>
      <c r="E226" s="67" t="n"/>
      <c r="F226" s="68" t="n"/>
      <c r="G226" s="75" t="n"/>
      <c r="H226" s="67" t="n"/>
      <c r="I226" s="76">
        <f>IF(OR($G226="",$H226="",NOT(ISNUMBER($G226))),"",IF($H226="Maund",ROUND($G226/37.32,2),$G226))</f>
        <v/>
      </c>
      <c r="J226" s="68" t="n"/>
    </row>
    <row r="227" ht="19.5" customHeight="1" s="45">
      <c r="B227" s="65" t="n"/>
      <c r="C227" s="67" t="n"/>
      <c r="D227" s="67" t="n"/>
      <c r="E227" s="67" t="n"/>
      <c r="F227" s="68" t="n"/>
      <c r="G227" s="75" t="n"/>
      <c r="H227" s="67" t="n"/>
      <c r="I227" s="76">
        <f>IF(OR($G227="",$H227="",NOT(ISNUMBER($G227))),"",IF($H227="Maund",ROUND($G227/37.32,2),$G227))</f>
        <v/>
      </c>
      <c r="J227" s="68" t="n"/>
    </row>
    <row r="228" ht="19.5" customHeight="1" s="45">
      <c r="B228" s="65" t="n"/>
      <c r="C228" s="67" t="n"/>
      <c r="D228" s="67" t="n"/>
      <c r="E228" s="67" t="n"/>
      <c r="F228" s="68" t="n"/>
      <c r="G228" s="75" t="n"/>
      <c r="H228" s="67" t="n"/>
      <c r="I228" s="76">
        <f>IF(OR($G228="",$H228="",NOT(ISNUMBER($G228))),"",IF($H228="Maund",ROUND($G228/37.32,2),$G228))</f>
        <v/>
      </c>
      <c r="J228" s="68" t="n"/>
    </row>
    <row r="229" ht="19.5" customHeight="1" s="45">
      <c r="B229" s="65" t="n"/>
      <c r="C229" s="67" t="n"/>
      <c r="D229" s="67" t="n"/>
      <c r="E229" s="67" t="n"/>
      <c r="F229" s="68" t="n"/>
      <c r="G229" s="75" t="n"/>
      <c r="H229" s="67" t="n"/>
      <c r="I229" s="76">
        <f>IF(OR($G229="",$H229="",NOT(ISNUMBER($G229))),"",IF($H229="Maund",ROUND($G229/37.32,2),$G229))</f>
        <v/>
      </c>
      <c r="J229" s="68" t="n"/>
    </row>
    <row r="230" ht="19.5" customHeight="1" s="45">
      <c r="B230" s="65" t="n"/>
      <c r="C230" s="67" t="n"/>
      <c r="D230" s="67" t="n"/>
      <c r="E230" s="67" t="n"/>
      <c r="F230" s="68" t="n"/>
      <c r="G230" s="75" t="n"/>
      <c r="H230" s="67" t="n"/>
      <c r="I230" s="76">
        <f>IF(OR($G230="",$H230="",NOT(ISNUMBER($G230))),"",IF($H230="Maund",ROUND($G230/37.32,2),$G230))</f>
        <v/>
      </c>
      <c r="J230" s="68" t="n"/>
    </row>
    <row r="231" ht="19.5" customHeight="1" s="45">
      <c r="B231" s="65" t="n"/>
      <c r="C231" s="67" t="n"/>
      <c r="D231" s="67" t="n"/>
      <c r="E231" s="67" t="n"/>
      <c r="F231" s="68" t="n"/>
      <c r="G231" s="75" t="n"/>
      <c r="H231" s="67" t="n"/>
      <c r="I231" s="76">
        <f>IF(OR($G231="",$H231="",NOT(ISNUMBER($G231))),"",IF($H231="Maund",ROUND($G231/37.32,2),$G231))</f>
        <v/>
      </c>
      <c r="J231" s="68" t="n"/>
    </row>
    <row r="232" ht="19.5" customHeight="1" s="45">
      <c r="B232" s="65" t="n"/>
      <c r="C232" s="67" t="n"/>
      <c r="D232" s="67" t="n"/>
      <c r="E232" s="67" t="n"/>
      <c r="F232" s="68" t="n"/>
      <c r="G232" s="75" t="n"/>
      <c r="H232" s="67" t="n"/>
      <c r="I232" s="76">
        <f>IF(OR($G232="",$H232="",NOT(ISNUMBER($G232))),"",IF($H232="Maund",ROUND($G232/37.32,2),$G232))</f>
        <v/>
      </c>
      <c r="J232" s="68" t="n"/>
    </row>
    <row r="233" ht="19.5" customHeight="1" s="45">
      <c r="B233" s="65" t="n"/>
      <c r="C233" s="67" t="n"/>
      <c r="D233" s="67" t="n"/>
      <c r="E233" s="67" t="n"/>
      <c r="F233" s="68" t="n"/>
      <c r="G233" s="75" t="n"/>
      <c r="H233" s="67" t="n"/>
      <c r="I233" s="76">
        <f>IF(OR($G233="",$H233="",NOT(ISNUMBER($G233))),"",IF($H233="Maund",ROUND($G233/37.32,2),$G233))</f>
        <v/>
      </c>
      <c r="J233" s="68" t="n"/>
    </row>
    <row r="234" ht="19.5" customHeight="1" s="45">
      <c r="B234" s="65" t="n"/>
      <c r="C234" s="67" t="n"/>
      <c r="D234" s="67" t="n"/>
      <c r="E234" s="67" t="n"/>
      <c r="F234" s="68" t="n"/>
      <c r="G234" s="75" t="n"/>
      <c r="H234" s="67" t="n"/>
      <c r="I234" s="76">
        <f>IF(OR($G234="",$H234="",NOT(ISNUMBER($G234))),"",IF($H234="Maund",ROUND($G234/37.32,2),$G234))</f>
        <v/>
      </c>
      <c r="J234" s="68" t="n"/>
    </row>
    <row r="235" ht="19.5" customHeight="1" s="45">
      <c r="B235" s="65" t="n"/>
      <c r="C235" s="67" t="n"/>
      <c r="D235" s="67" t="n"/>
      <c r="E235" s="67" t="n"/>
      <c r="F235" s="68" t="n"/>
      <c r="G235" s="75" t="n"/>
      <c r="H235" s="67" t="n"/>
      <c r="I235" s="76">
        <f>IF(OR($G235="",$H235="",NOT(ISNUMBER($G235))),"",IF($H235="Maund",ROUND($G235/37.32,2),$G235))</f>
        <v/>
      </c>
      <c r="J235" s="68" t="n"/>
    </row>
    <row r="236" ht="19.5" customHeight="1" s="45">
      <c r="B236" s="65" t="n"/>
      <c r="C236" s="67" t="n"/>
      <c r="D236" s="67" t="n"/>
      <c r="E236" s="67" t="n"/>
      <c r="F236" s="68" t="n"/>
      <c r="G236" s="75" t="n"/>
      <c r="H236" s="67" t="n"/>
      <c r="I236" s="76">
        <f>IF(OR($G236="",$H236="",NOT(ISNUMBER($G236))),"",IF($H236="Maund",ROUND($G236/37.32,2),$G236))</f>
        <v/>
      </c>
      <c r="J236" s="68" t="n"/>
    </row>
    <row r="237" ht="19.5" customHeight="1" s="45">
      <c r="B237" s="65" t="n"/>
      <c r="C237" s="67" t="n"/>
      <c r="D237" s="67" t="n"/>
      <c r="E237" s="67" t="n"/>
      <c r="F237" s="68" t="n"/>
      <c r="G237" s="75" t="n"/>
      <c r="H237" s="67" t="n"/>
      <c r="I237" s="76">
        <f>IF(OR($G237="",$H237="",NOT(ISNUMBER($G237))),"",IF($H237="Maund",ROUND($G237/37.32,2),$G237))</f>
        <v/>
      </c>
      <c r="J237" s="68" t="n"/>
    </row>
    <row r="238" ht="19.5" customHeight="1" s="45">
      <c r="B238" s="65" t="n"/>
      <c r="C238" s="67" t="n"/>
      <c r="D238" s="67" t="n"/>
      <c r="E238" s="67" t="n"/>
      <c r="F238" s="68" t="n"/>
      <c r="G238" s="75" t="n"/>
      <c r="H238" s="67" t="n"/>
      <c r="I238" s="76">
        <f>IF(OR($G238="",$H238="",NOT(ISNUMBER($G238))),"",IF($H238="Maund",ROUND($G238/37.32,2),$G238))</f>
        <v/>
      </c>
      <c r="J238" s="68" t="n"/>
    </row>
    <row r="239" ht="19.5" customHeight="1" s="45">
      <c r="B239" s="65" t="n"/>
      <c r="C239" s="67" t="n"/>
      <c r="D239" s="67" t="n"/>
      <c r="E239" s="67" t="n"/>
      <c r="F239" s="68" t="n"/>
      <c r="G239" s="75" t="n"/>
      <c r="H239" s="67" t="n"/>
      <c r="I239" s="76">
        <f>IF(OR($G239="",$H239="",NOT(ISNUMBER($G239))),"",IF($H239="Maund",ROUND($G239/37.32,2),$G239))</f>
        <v/>
      </c>
      <c r="J239" s="68" t="n"/>
    </row>
    <row r="240" ht="19.5" customHeight="1" s="45">
      <c r="B240" s="65" t="n"/>
      <c r="C240" s="67" t="n"/>
      <c r="D240" s="67" t="n"/>
      <c r="E240" s="67" t="n"/>
      <c r="F240" s="68" t="n"/>
      <c r="G240" s="75" t="n"/>
      <c r="H240" s="67" t="n"/>
      <c r="I240" s="76">
        <f>IF(OR($G240="",$H240="",NOT(ISNUMBER($G240))),"",IF($H240="Maund",ROUND($G240/37.32,2),$G240))</f>
        <v/>
      </c>
      <c r="J240" s="68" t="n"/>
    </row>
    <row r="241" ht="19.5" customHeight="1" s="45">
      <c r="B241" s="65" t="n"/>
      <c r="C241" s="67" t="n"/>
      <c r="D241" s="67" t="n"/>
      <c r="E241" s="67" t="n"/>
      <c r="F241" s="68" t="n"/>
      <c r="G241" s="75" t="n"/>
      <c r="H241" s="67" t="n"/>
      <c r="I241" s="76">
        <f>IF(OR($G241="",$H241="",NOT(ISNUMBER($G241))),"",IF($H241="Maund",ROUND($G241/37.32,2),$G241))</f>
        <v/>
      </c>
      <c r="J241" s="68" t="n"/>
    </row>
    <row r="242" ht="19.5" customHeight="1" s="45">
      <c r="B242" s="65" t="n"/>
      <c r="C242" s="67" t="n"/>
      <c r="D242" s="67" t="n"/>
      <c r="E242" s="67" t="n"/>
      <c r="F242" s="68" t="n"/>
      <c r="G242" s="75" t="n"/>
      <c r="H242" s="67" t="n"/>
      <c r="I242" s="76">
        <f>IF(OR($G242="",$H242="",NOT(ISNUMBER($G242))),"",IF($H242="Maund",ROUND($G242/37.32,2),$G242))</f>
        <v/>
      </c>
      <c r="J242" s="68" t="n"/>
    </row>
    <row r="243" ht="19.5" customHeight="1" s="45">
      <c r="B243" s="65" t="n"/>
      <c r="C243" s="67" t="n"/>
      <c r="D243" s="67" t="n"/>
      <c r="E243" s="67" t="n"/>
      <c r="F243" s="68" t="n"/>
      <c r="G243" s="75" t="n"/>
      <c r="H243" s="67" t="n"/>
      <c r="I243" s="76">
        <f>IF(OR($G243="",$H243="",NOT(ISNUMBER($G243))),"",IF($H243="Maund",ROUND($G243/37.32,2),$G243))</f>
        <v/>
      </c>
      <c r="J243" s="68" t="n"/>
    </row>
    <row r="244" ht="19.5" customHeight="1" s="45">
      <c r="B244" s="65" t="n"/>
      <c r="C244" s="67" t="n"/>
      <c r="D244" s="67" t="n"/>
      <c r="E244" s="67" t="n"/>
      <c r="F244" s="68" t="n"/>
      <c r="G244" s="75" t="n"/>
      <c r="H244" s="67" t="n"/>
      <c r="I244" s="76">
        <f>IF(OR($G244="",$H244="",NOT(ISNUMBER($G244))),"",IF($H244="Maund",ROUND($G244/37.32,2),$G244))</f>
        <v/>
      </c>
      <c r="J244" s="68" t="n"/>
    </row>
    <row r="245" ht="19.5" customHeight="1" s="45">
      <c r="B245" s="65" t="n"/>
      <c r="C245" s="67" t="n"/>
      <c r="D245" s="67" t="n"/>
      <c r="E245" s="67" t="n"/>
      <c r="F245" s="68" t="n"/>
      <c r="G245" s="75" t="n"/>
      <c r="H245" s="67" t="n"/>
      <c r="I245" s="76">
        <f>IF(OR($G245="",$H245="",NOT(ISNUMBER($G245))),"",IF($H245="Maund",ROUND($G245/37.32,2),$G245))</f>
        <v/>
      </c>
      <c r="J245" s="68" t="n"/>
    </row>
    <row r="246" ht="19.5" customHeight="1" s="45">
      <c r="B246" s="65" t="n"/>
      <c r="C246" s="67" t="n"/>
      <c r="D246" s="67" t="n"/>
      <c r="E246" s="67" t="n"/>
      <c r="F246" s="68" t="n"/>
      <c r="G246" s="75" t="n"/>
      <c r="H246" s="67" t="n"/>
      <c r="I246" s="76">
        <f>IF(OR($G246="",$H246="",NOT(ISNUMBER($G246))),"",IF($H246="Maund",ROUND($G246/37.32,2),$G246))</f>
        <v/>
      </c>
      <c r="J246" s="68" t="n"/>
    </row>
    <row r="247" ht="19.5" customHeight="1" s="45">
      <c r="B247" s="65" t="n"/>
      <c r="C247" s="67" t="n"/>
      <c r="D247" s="67" t="n"/>
      <c r="E247" s="67" t="n"/>
      <c r="F247" s="68" t="n"/>
      <c r="G247" s="75" t="n"/>
      <c r="H247" s="67" t="n"/>
      <c r="I247" s="76">
        <f>IF(OR($G247="",$H247="",NOT(ISNUMBER($G247))),"",IF($H247="Maund",ROUND($G247/37.32,2),$G247))</f>
        <v/>
      </c>
      <c r="J247" s="68" t="n"/>
    </row>
    <row r="248" ht="19.5" customHeight="1" s="45">
      <c r="B248" s="65" t="n"/>
      <c r="C248" s="67" t="n"/>
      <c r="D248" s="67" t="n"/>
      <c r="E248" s="67" t="n"/>
      <c r="F248" s="68" t="n"/>
      <c r="G248" s="75" t="n"/>
      <c r="H248" s="67" t="n"/>
      <c r="I248" s="76">
        <f>IF(OR($G248="",$H248="",NOT(ISNUMBER($G248))),"",IF($H248="Maund",ROUND($G248/37.32,2),$G248))</f>
        <v/>
      </c>
      <c r="J248" s="68" t="n"/>
    </row>
    <row r="249" ht="19.5" customHeight="1" s="45">
      <c r="B249" s="65" t="n"/>
      <c r="C249" s="67" t="n"/>
      <c r="D249" s="67" t="n"/>
      <c r="E249" s="67" t="n"/>
      <c r="F249" s="68" t="n"/>
      <c r="G249" s="75" t="n"/>
      <c r="H249" s="67" t="n"/>
      <c r="I249" s="76">
        <f>IF(OR($G249="",$H249="",NOT(ISNUMBER($G249))),"",IF($H249="Maund",ROUND($G249/37.32,2),$G249))</f>
        <v/>
      </c>
      <c r="J249" s="68" t="n"/>
    </row>
    <row r="250" ht="19.5" customHeight="1" s="45">
      <c r="B250" s="65" t="n"/>
      <c r="C250" s="67" t="n"/>
      <c r="D250" s="67" t="n"/>
      <c r="E250" s="67" t="n"/>
      <c r="F250" s="68" t="n"/>
      <c r="G250" s="75" t="n"/>
      <c r="H250" s="67" t="n"/>
      <c r="I250" s="76">
        <f>IF(OR($G250="",$H250="",NOT(ISNUMBER($G250))),"",IF($H250="Maund",ROUND($G250/37.32,2),$G250))</f>
        <v/>
      </c>
      <c r="J250" s="68" t="n"/>
    </row>
    <row r="251" ht="19.5" customHeight="1" s="45">
      <c r="B251" s="65" t="n"/>
      <c r="C251" s="67" t="n"/>
      <c r="D251" s="67" t="n"/>
      <c r="E251" s="67" t="n"/>
      <c r="F251" s="68" t="n"/>
      <c r="G251" s="75" t="n"/>
      <c r="H251" s="67" t="n"/>
      <c r="I251" s="76">
        <f>IF(OR($G251="",$H251="",NOT(ISNUMBER($G251))),"",IF($H251="Maund",ROUND($G251/37.32,2),$G251))</f>
        <v/>
      </c>
      <c r="J251" s="68" t="n"/>
    </row>
    <row r="252" ht="19.5" customHeight="1" s="45">
      <c r="B252" s="65" t="n"/>
      <c r="C252" s="67" t="n"/>
      <c r="D252" s="67" t="n"/>
      <c r="E252" s="67" t="n"/>
      <c r="F252" s="68" t="n"/>
      <c r="G252" s="75" t="n"/>
      <c r="H252" s="67" t="n"/>
      <c r="I252" s="76">
        <f>IF(OR($G252="",$H252="",NOT(ISNUMBER($G252))),"",IF($H252="Maund",ROUND($G252/37.32,2),$G252))</f>
        <v/>
      </c>
      <c r="J252" s="68" t="n"/>
    </row>
    <row r="253" ht="19.5" customHeight="1" s="45">
      <c r="B253" s="65" t="n"/>
      <c r="C253" s="67" t="n"/>
      <c r="D253" s="67" t="n"/>
      <c r="E253" s="67" t="n"/>
      <c r="F253" s="68" t="n"/>
      <c r="G253" s="75" t="n"/>
      <c r="H253" s="67" t="n"/>
      <c r="I253" s="76">
        <f>IF(OR($G253="",$H253="",NOT(ISNUMBER($G253))),"",IF($H253="Maund",ROUND($G253/37.32,2),$G253))</f>
        <v/>
      </c>
      <c r="J253" s="68" t="n"/>
    </row>
    <row r="254" ht="19.5" customHeight="1" s="45">
      <c r="B254" s="65" t="n"/>
      <c r="C254" s="67" t="n"/>
      <c r="D254" s="67" t="n"/>
      <c r="E254" s="67" t="n"/>
      <c r="F254" s="68" t="n"/>
      <c r="G254" s="75" t="n"/>
      <c r="H254" s="67" t="n"/>
      <c r="I254" s="76">
        <f>IF(OR($G254="",$H254="",NOT(ISNUMBER($G254))),"",IF($H254="Maund",ROUND($G254/37.32,2),$G254))</f>
        <v/>
      </c>
      <c r="J254" s="68" t="n"/>
    </row>
    <row r="255" ht="19.5" customHeight="1" s="45">
      <c r="B255" s="65" t="n"/>
      <c r="C255" s="67" t="n"/>
      <c r="D255" s="67" t="n"/>
      <c r="E255" s="67" t="n"/>
      <c r="F255" s="68" t="n"/>
      <c r="G255" s="75" t="n"/>
      <c r="H255" s="67" t="n"/>
      <c r="I255" s="76">
        <f>IF(OR($G255="",$H255="",NOT(ISNUMBER($G255))),"",IF($H255="Maund",ROUND($G255/37.32,2),$G255))</f>
        <v/>
      </c>
      <c r="J255" s="68" t="n"/>
    </row>
    <row r="256" ht="19.5" customHeight="1" s="45">
      <c r="B256" s="65" t="n"/>
      <c r="C256" s="67" t="n"/>
      <c r="D256" s="67" t="n"/>
      <c r="E256" s="67" t="n"/>
      <c r="F256" s="68" t="n"/>
      <c r="G256" s="75" t="n"/>
      <c r="H256" s="67" t="n"/>
      <c r="I256" s="76">
        <f>IF(OR($G256="",$H256="",NOT(ISNUMBER($G256))),"",IF($H256="Maund",ROUND($G256/37.32,2),$G256))</f>
        <v/>
      </c>
      <c r="J256" s="68" t="n"/>
    </row>
    <row r="257" ht="19.5" customHeight="1" s="45">
      <c r="B257" s="65" t="n"/>
      <c r="C257" s="67" t="n"/>
      <c r="D257" s="67" t="n"/>
      <c r="E257" s="67" t="n"/>
      <c r="F257" s="68" t="n"/>
      <c r="G257" s="75" t="n"/>
      <c r="H257" s="67" t="n"/>
      <c r="I257" s="76">
        <f>IF(OR($G257="",$H257="",NOT(ISNUMBER($G257))),"",IF($H257="Maund",ROUND($G257/37.32,2),$G257))</f>
        <v/>
      </c>
      <c r="J257" s="68" t="n"/>
    </row>
    <row r="258" ht="19.5" customHeight="1" s="45">
      <c r="B258" s="65" t="n"/>
      <c r="C258" s="67" t="n"/>
      <c r="D258" s="67" t="n"/>
      <c r="E258" s="67" t="n"/>
      <c r="F258" s="68" t="n"/>
      <c r="G258" s="75" t="n"/>
      <c r="H258" s="67" t="n"/>
      <c r="I258" s="76">
        <f>IF(OR($G258="",$H258="",NOT(ISNUMBER($G258))),"",IF($H258="Maund",ROUND($G258/37.32,2),$G258))</f>
        <v/>
      </c>
      <c r="J258" s="68" t="n"/>
    </row>
    <row r="259" ht="19.5" customHeight="1" s="45">
      <c r="B259" s="65" t="n"/>
      <c r="C259" s="67" t="n"/>
      <c r="D259" s="67" t="n"/>
      <c r="E259" s="67" t="n"/>
      <c r="F259" s="68" t="n"/>
      <c r="G259" s="75" t="n"/>
      <c r="H259" s="67" t="n"/>
      <c r="I259" s="76">
        <f>IF(OR($G259="",$H259="",NOT(ISNUMBER($G259))),"",IF($H259="Maund",ROUND($G259/37.32,2),$G259))</f>
        <v/>
      </c>
      <c r="J259" s="68" t="n"/>
    </row>
    <row r="260" ht="19.5" customHeight="1" s="45">
      <c r="B260" s="65" t="n"/>
      <c r="C260" s="67" t="n"/>
      <c r="D260" s="67" t="n"/>
      <c r="E260" s="67" t="n"/>
      <c r="F260" s="68" t="n"/>
      <c r="G260" s="75" t="n"/>
      <c r="H260" s="67" t="n"/>
      <c r="I260" s="76">
        <f>IF(OR($G260="",$H260="",NOT(ISNUMBER($G260))),"",IF($H260="Maund",ROUND($G260/37.32,2),$G260))</f>
        <v/>
      </c>
      <c r="J260" s="68" t="n"/>
    </row>
    <row r="261" ht="19.5" customHeight="1" s="45">
      <c r="B261" s="65" t="n"/>
      <c r="C261" s="67" t="n"/>
      <c r="D261" s="67" t="n"/>
      <c r="E261" s="67" t="n"/>
      <c r="F261" s="68" t="n"/>
      <c r="G261" s="75" t="n"/>
      <c r="H261" s="67" t="n"/>
      <c r="I261" s="76">
        <f>IF(OR($G261="",$H261="",NOT(ISNUMBER($G261))),"",IF($H261="Maund",ROUND($G261/37.32,2),$G261))</f>
        <v/>
      </c>
      <c r="J261" s="68" t="n"/>
    </row>
    <row r="262" ht="19.5" customHeight="1" s="45">
      <c r="B262" s="65" t="n"/>
      <c r="C262" s="67" t="n"/>
      <c r="D262" s="67" t="n"/>
      <c r="E262" s="67" t="n"/>
      <c r="F262" s="68" t="n"/>
      <c r="G262" s="75" t="n"/>
      <c r="H262" s="67" t="n"/>
      <c r="I262" s="76">
        <f>IF(OR($G262="",$H262="",NOT(ISNUMBER($G262))),"",IF($H262="Maund",ROUND($G262/37.32,2),$G262))</f>
        <v/>
      </c>
      <c r="J262" s="68" t="n"/>
    </row>
    <row r="263" ht="19.5" customHeight="1" s="45">
      <c r="B263" s="65" t="n"/>
      <c r="C263" s="67" t="n"/>
      <c r="D263" s="67" t="n"/>
      <c r="E263" s="67" t="n"/>
      <c r="F263" s="68" t="n"/>
      <c r="G263" s="75" t="n"/>
      <c r="H263" s="67" t="n"/>
      <c r="I263" s="76">
        <f>IF(OR($G263="",$H263="",NOT(ISNUMBER($G263))),"",IF($H263="Maund",ROUND($G263/37.32,2),$G263))</f>
        <v/>
      </c>
      <c r="J263" s="68" t="n"/>
    </row>
    <row r="264" ht="19.5" customHeight="1" s="45">
      <c r="B264" s="65" t="n"/>
      <c r="C264" s="67" t="n"/>
      <c r="D264" s="67" t="n"/>
      <c r="E264" s="67" t="n"/>
      <c r="F264" s="68" t="n"/>
      <c r="G264" s="75" t="n"/>
      <c r="H264" s="67" t="n"/>
      <c r="I264" s="76">
        <f>IF(OR($G264="",$H264="",NOT(ISNUMBER($G264))),"",IF($H264="Maund",ROUND($G264/37.32,2),$G264))</f>
        <v/>
      </c>
      <c r="J264" s="68" t="n"/>
    </row>
    <row r="265" ht="19.5" customHeight="1" s="45">
      <c r="B265" s="65" t="n"/>
      <c r="C265" s="67" t="n"/>
      <c r="D265" s="67" t="n"/>
      <c r="E265" s="67" t="n"/>
      <c r="F265" s="68" t="n"/>
      <c r="G265" s="75" t="n"/>
      <c r="H265" s="67" t="n"/>
      <c r="I265" s="76">
        <f>IF(OR($G265="",$H265="",NOT(ISNUMBER($G265))),"",IF($H265="Maund",ROUND($G265/37.32,2),$G265))</f>
        <v/>
      </c>
      <c r="J265" s="68" t="n"/>
    </row>
    <row r="266" ht="19.5" customHeight="1" s="45">
      <c r="B266" s="65" t="n"/>
      <c r="C266" s="67" t="n"/>
      <c r="D266" s="67" t="n"/>
      <c r="E266" s="67" t="n"/>
      <c r="F266" s="68" t="n"/>
      <c r="G266" s="75" t="n"/>
      <c r="H266" s="67" t="n"/>
      <c r="I266" s="76">
        <f>IF(OR($G266="",$H266="",NOT(ISNUMBER($G266))),"",IF($H266="Maund",ROUND($G266/37.32,2),$G266))</f>
        <v/>
      </c>
      <c r="J266" s="68" t="n"/>
    </row>
    <row r="267" ht="19.5" customHeight="1" s="45">
      <c r="B267" s="65" t="n"/>
      <c r="C267" s="67" t="n"/>
      <c r="D267" s="67" t="n"/>
      <c r="E267" s="67" t="n"/>
      <c r="F267" s="68" t="n"/>
      <c r="G267" s="75" t="n"/>
      <c r="H267" s="67" t="n"/>
      <c r="I267" s="76">
        <f>IF(OR($G267="",$H267="",NOT(ISNUMBER($G267))),"",IF($H267="Maund",ROUND($G267/37.32,2),$G267))</f>
        <v/>
      </c>
      <c r="J267" s="68" t="n"/>
    </row>
    <row r="268" ht="19.5" customHeight="1" s="45">
      <c r="B268" s="65" t="n"/>
      <c r="C268" s="67" t="n"/>
      <c r="D268" s="67" t="n"/>
      <c r="E268" s="67" t="n"/>
      <c r="F268" s="68" t="n"/>
      <c r="G268" s="75" t="n"/>
      <c r="H268" s="67" t="n"/>
      <c r="I268" s="76">
        <f>IF(OR($G268="",$H268="",NOT(ISNUMBER($G268))),"",IF($H268="Maund",ROUND($G268/37.32,2),$G268))</f>
        <v/>
      </c>
      <c r="J268" s="68" t="n"/>
    </row>
    <row r="269" ht="19.5" customHeight="1" s="45">
      <c r="B269" s="65" t="n"/>
      <c r="C269" s="67" t="n"/>
      <c r="D269" s="67" t="n"/>
      <c r="E269" s="67" t="n"/>
      <c r="F269" s="68" t="n"/>
      <c r="G269" s="75" t="n"/>
      <c r="H269" s="67" t="n"/>
      <c r="I269" s="76">
        <f>IF(OR($G269="",$H269="",NOT(ISNUMBER($G269))),"",IF($H269="Maund",ROUND($G269/37.32,2),$G269))</f>
        <v/>
      </c>
      <c r="J269" s="68" t="n"/>
    </row>
    <row r="270" ht="19.5" customHeight="1" s="45">
      <c r="B270" s="65" t="n"/>
      <c r="C270" s="67" t="n"/>
      <c r="D270" s="67" t="n"/>
      <c r="E270" s="67" t="n"/>
      <c r="F270" s="68" t="n"/>
      <c r="G270" s="75" t="n"/>
      <c r="H270" s="67" t="n"/>
      <c r="I270" s="76">
        <f>IF(OR($G270="",$H270="",NOT(ISNUMBER($G270))),"",IF($H270="Maund",ROUND($G270/37.32,2),$G270))</f>
        <v/>
      </c>
      <c r="J270" s="68" t="n"/>
    </row>
    <row r="271" ht="19.5" customHeight="1" s="45">
      <c r="B271" s="65" t="n"/>
      <c r="C271" s="67" t="n"/>
      <c r="D271" s="67" t="n"/>
      <c r="E271" s="67" t="n"/>
      <c r="F271" s="68" t="n"/>
      <c r="G271" s="75" t="n"/>
      <c r="H271" s="67" t="n"/>
      <c r="I271" s="76">
        <f>IF(OR($G271="",$H271="",NOT(ISNUMBER($G271))),"",IF($H271="Maund",ROUND($G271/37.32,2),$G271))</f>
        <v/>
      </c>
      <c r="J271" s="68" t="n"/>
    </row>
    <row r="272" ht="19.5" customHeight="1" s="45">
      <c r="B272" s="65" t="n"/>
      <c r="C272" s="67" t="n"/>
      <c r="D272" s="67" t="n"/>
      <c r="E272" s="67" t="n"/>
      <c r="F272" s="68" t="n"/>
      <c r="G272" s="75" t="n"/>
      <c r="H272" s="67" t="n"/>
      <c r="I272" s="76">
        <f>IF(OR($G272="",$H272="",NOT(ISNUMBER($G272))),"",IF($H272="Maund",ROUND($G272/37.32,2),$G272))</f>
        <v/>
      </c>
      <c r="J272" s="68" t="n"/>
    </row>
    <row r="273" ht="19.5" customHeight="1" s="45">
      <c r="B273" s="65" t="n"/>
      <c r="C273" s="67" t="n"/>
      <c r="D273" s="67" t="n"/>
      <c r="E273" s="67" t="n"/>
      <c r="F273" s="68" t="n"/>
      <c r="G273" s="75" t="n"/>
      <c r="H273" s="67" t="n"/>
      <c r="I273" s="76">
        <f>IF(OR($G273="",$H273="",NOT(ISNUMBER($G273))),"",IF($H273="Maund",ROUND($G273/37.32,2),$G273))</f>
        <v/>
      </c>
      <c r="J273" s="68" t="n"/>
    </row>
    <row r="274" ht="19.5" customHeight="1" s="45">
      <c r="B274" s="65" t="n"/>
      <c r="C274" s="67" t="n"/>
      <c r="D274" s="67" t="n"/>
      <c r="E274" s="67" t="n"/>
      <c r="F274" s="68" t="n"/>
      <c r="G274" s="75" t="n"/>
      <c r="H274" s="67" t="n"/>
      <c r="I274" s="76">
        <f>IF(OR($G274="",$H274="",NOT(ISNUMBER($G274))),"",IF($H274="Maund",ROUND($G274/37.32,2),$G274))</f>
        <v/>
      </c>
      <c r="J274" s="68" t="n"/>
    </row>
    <row r="275" ht="19.5" customHeight="1" s="45">
      <c r="B275" s="65" t="n"/>
      <c r="C275" s="67" t="n"/>
      <c r="D275" s="67" t="n"/>
      <c r="E275" s="67" t="n"/>
      <c r="F275" s="68" t="n"/>
      <c r="G275" s="75" t="n"/>
      <c r="H275" s="67" t="n"/>
      <c r="I275" s="76">
        <f>IF(OR($G275="",$H275="",NOT(ISNUMBER($G275))),"",IF($H275="Maund",ROUND($G275/37.32,2),$G275))</f>
        <v/>
      </c>
      <c r="J275" s="68" t="n"/>
    </row>
    <row r="276" ht="19.5" customHeight="1" s="45">
      <c r="B276" s="65" t="n"/>
      <c r="C276" s="67" t="n"/>
      <c r="D276" s="67" t="n"/>
      <c r="E276" s="67" t="n"/>
      <c r="F276" s="68" t="n"/>
      <c r="G276" s="75" t="n"/>
      <c r="H276" s="67" t="n"/>
      <c r="I276" s="76">
        <f>IF(OR($G276="",$H276="",NOT(ISNUMBER($G276))),"",IF($H276="Maund",ROUND($G276/37.32,2),$G276))</f>
        <v/>
      </c>
      <c r="J276" s="68" t="n"/>
    </row>
    <row r="277" ht="19.5" customHeight="1" s="45">
      <c r="B277" s="65" t="n"/>
      <c r="C277" s="67" t="n"/>
      <c r="D277" s="67" t="n"/>
      <c r="E277" s="67" t="n"/>
      <c r="F277" s="68" t="n"/>
      <c r="G277" s="75" t="n"/>
      <c r="H277" s="67" t="n"/>
      <c r="I277" s="76">
        <f>IF(OR($G277="",$H277="",NOT(ISNUMBER($G277))),"",IF($H277="Maund",ROUND($G277/37.32,2),$G277))</f>
        <v/>
      </c>
      <c r="J277" s="68" t="n"/>
    </row>
    <row r="278" ht="19.5" customHeight="1" s="45">
      <c r="B278" s="65" t="n"/>
      <c r="C278" s="67" t="n"/>
      <c r="D278" s="67" t="n"/>
      <c r="E278" s="67" t="n"/>
      <c r="F278" s="68" t="n"/>
      <c r="G278" s="75" t="n"/>
      <c r="H278" s="67" t="n"/>
      <c r="I278" s="76">
        <f>IF(OR($G278="",$H278="",NOT(ISNUMBER($G278))),"",IF($H278="Maund",ROUND($G278/37.32,2),$G278))</f>
        <v/>
      </c>
      <c r="J278" s="68" t="n"/>
    </row>
    <row r="279" ht="19.5" customHeight="1" s="45">
      <c r="B279" s="65" t="n"/>
      <c r="C279" s="67" t="n"/>
      <c r="D279" s="67" t="n"/>
      <c r="E279" s="67" t="n"/>
      <c r="F279" s="68" t="n"/>
      <c r="G279" s="75" t="n"/>
      <c r="H279" s="67" t="n"/>
      <c r="I279" s="76">
        <f>IF(OR($G279="",$H279="",NOT(ISNUMBER($G279))),"",IF($H279="Maund",ROUND($G279/37.32,2),$G279))</f>
        <v/>
      </c>
      <c r="J279" s="68" t="n"/>
    </row>
    <row r="280" ht="19.5" customHeight="1" s="45">
      <c r="B280" s="65" t="n"/>
      <c r="C280" s="67" t="n"/>
      <c r="D280" s="67" t="n"/>
      <c r="E280" s="67" t="n"/>
      <c r="F280" s="68" t="n"/>
      <c r="G280" s="75" t="n"/>
      <c r="H280" s="67" t="n"/>
      <c r="I280" s="76">
        <f>IF(OR($G280="",$H280="",NOT(ISNUMBER($G280))),"",IF($H280="Maund",ROUND($G280/37.32,2),$G280))</f>
        <v/>
      </c>
      <c r="J280" s="68" t="n"/>
    </row>
    <row r="281" ht="19.5" customHeight="1" s="45">
      <c r="B281" s="65" t="n"/>
      <c r="C281" s="67" t="n"/>
      <c r="D281" s="67" t="n"/>
      <c r="E281" s="67" t="n"/>
      <c r="F281" s="68" t="n"/>
      <c r="G281" s="75" t="n"/>
      <c r="H281" s="67" t="n"/>
      <c r="I281" s="76">
        <f>IF(OR($G281="",$H281="",NOT(ISNUMBER($G281))),"",IF($H281="Maund",ROUND($G281/37.32,2),$G281))</f>
        <v/>
      </c>
      <c r="J281" s="68" t="n"/>
    </row>
    <row r="282" ht="19.5" customHeight="1" s="45">
      <c r="B282" s="65" t="n"/>
      <c r="C282" s="67" t="n"/>
      <c r="D282" s="67" t="n"/>
      <c r="E282" s="67" t="n"/>
      <c r="F282" s="68" t="n"/>
      <c r="G282" s="75" t="n"/>
      <c r="H282" s="67" t="n"/>
      <c r="I282" s="76">
        <f>IF(OR($G282="",$H282="",NOT(ISNUMBER($G282))),"",IF($H282="Maund",ROUND($G282/37.32,2),$G282))</f>
        <v/>
      </c>
      <c r="J282" s="68" t="n"/>
    </row>
    <row r="283" ht="19.5" customHeight="1" s="45">
      <c r="B283" s="65" t="n"/>
      <c r="C283" s="67" t="n"/>
      <c r="D283" s="67" t="n"/>
      <c r="E283" s="67" t="n"/>
      <c r="F283" s="68" t="n"/>
      <c r="G283" s="75" t="n"/>
      <c r="H283" s="67" t="n"/>
      <c r="I283" s="76">
        <f>IF(OR($G283="",$H283="",NOT(ISNUMBER($G283))),"",IF($H283="Maund",ROUND($G283/37.32,2),$G283))</f>
        <v/>
      </c>
      <c r="J283" s="68" t="n"/>
    </row>
    <row r="284" ht="19.5" customHeight="1" s="45">
      <c r="B284" s="65" t="n"/>
      <c r="C284" s="67" t="n"/>
      <c r="D284" s="67" t="n"/>
      <c r="E284" s="67" t="n"/>
      <c r="F284" s="68" t="n"/>
      <c r="G284" s="75" t="n"/>
      <c r="H284" s="67" t="n"/>
      <c r="I284" s="76">
        <f>IF(OR($G284="",$H284="",NOT(ISNUMBER($G284))),"",IF($H284="Maund",ROUND($G284/37.32,2),$G284))</f>
        <v/>
      </c>
      <c r="J284" s="68" t="n"/>
    </row>
    <row r="285" ht="19.5" customHeight="1" s="45">
      <c r="B285" s="65" t="n"/>
      <c r="C285" s="67" t="n"/>
      <c r="D285" s="67" t="n"/>
      <c r="E285" s="67" t="n"/>
      <c r="F285" s="68" t="n"/>
      <c r="G285" s="75" t="n"/>
      <c r="H285" s="67" t="n"/>
      <c r="I285" s="76">
        <f>IF(OR($G285="",$H285="",NOT(ISNUMBER($G285))),"",IF($H285="Maund",ROUND($G285/37.32,2),$G285))</f>
        <v/>
      </c>
      <c r="J285" s="68" t="n"/>
    </row>
    <row r="286" ht="19.5" customHeight="1" s="45">
      <c r="B286" s="65" t="n"/>
      <c r="C286" s="67" t="n"/>
      <c r="D286" s="67" t="n"/>
      <c r="E286" s="67" t="n"/>
      <c r="F286" s="68" t="n"/>
      <c r="G286" s="75" t="n"/>
      <c r="H286" s="67" t="n"/>
      <c r="I286" s="76">
        <f>IF(OR($G286="",$H286="",NOT(ISNUMBER($G286))),"",IF($H286="Maund",ROUND($G286/37.32,2),$G286))</f>
        <v/>
      </c>
      <c r="J286" s="68" t="n"/>
    </row>
    <row r="287" ht="19.5" customHeight="1" s="45">
      <c r="B287" s="65" t="n"/>
      <c r="C287" s="67" t="n"/>
      <c r="D287" s="67" t="n"/>
      <c r="E287" s="67" t="n"/>
      <c r="F287" s="68" t="n"/>
      <c r="G287" s="75" t="n"/>
      <c r="H287" s="67" t="n"/>
      <c r="I287" s="76">
        <f>IF(OR($G287="",$H287="",NOT(ISNUMBER($G287))),"",IF($H287="Maund",ROUND($G287/37.32,2),$G287))</f>
        <v/>
      </c>
      <c r="J287" s="68" t="n"/>
    </row>
    <row r="288" ht="19.5" customHeight="1" s="45">
      <c r="B288" s="65" t="n"/>
      <c r="C288" s="67" t="n"/>
      <c r="D288" s="67" t="n"/>
      <c r="E288" s="67" t="n"/>
      <c r="F288" s="68" t="n"/>
      <c r="G288" s="75" t="n"/>
      <c r="H288" s="67" t="n"/>
      <c r="I288" s="76">
        <f>IF(OR($G288="",$H288="",NOT(ISNUMBER($G288))),"",IF($H288="Maund",ROUND($G288/37.32,2),$G288))</f>
        <v/>
      </c>
      <c r="J288" s="68" t="n"/>
    </row>
    <row r="289" ht="19.5" customHeight="1" s="45">
      <c r="B289" s="65" t="n"/>
      <c r="C289" s="67" t="n"/>
      <c r="D289" s="67" t="n"/>
      <c r="E289" s="67" t="n"/>
      <c r="F289" s="68" t="n"/>
      <c r="G289" s="75" t="n"/>
      <c r="H289" s="67" t="n"/>
      <c r="I289" s="76">
        <f>IF(OR($G289="",$H289="",NOT(ISNUMBER($G289))),"",IF($H289="Maund",ROUND($G289/37.32,2),$G289))</f>
        <v/>
      </c>
      <c r="J289" s="68" t="n"/>
    </row>
    <row r="290" ht="19.5" customHeight="1" s="45">
      <c r="B290" s="65" t="n"/>
      <c r="C290" s="67" t="n"/>
      <c r="D290" s="67" t="n"/>
      <c r="E290" s="67" t="n"/>
      <c r="F290" s="68" t="n"/>
      <c r="G290" s="75" t="n"/>
      <c r="H290" s="67" t="n"/>
      <c r="I290" s="76">
        <f>IF(OR($G290="",$H290="",NOT(ISNUMBER($G290))),"",IF($H290="Maund",ROUND($G290/37.32,2),$G290))</f>
        <v/>
      </c>
      <c r="J290" s="68" t="n"/>
    </row>
    <row r="291" ht="19.5" customHeight="1" s="45">
      <c r="B291" s="65" t="n"/>
      <c r="C291" s="67" t="n"/>
      <c r="D291" s="67" t="n"/>
      <c r="E291" s="67" t="n"/>
      <c r="F291" s="68" t="n"/>
      <c r="G291" s="75" t="n"/>
      <c r="H291" s="67" t="n"/>
      <c r="I291" s="76">
        <f>IF(OR($G291="",$H291="",NOT(ISNUMBER($G291))),"",IF($H291="Maund",ROUND($G291/37.32,2),$G291))</f>
        <v/>
      </c>
      <c r="J291" s="68" t="n"/>
    </row>
    <row r="292" ht="19.5" customHeight="1" s="45">
      <c r="B292" s="65" t="n"/>
      <c r="C292" s="67" t="n"/>
      <c r="D292" s="67" t="n"/>
      <c r="E292" s="67" t="n"/>
      <c r="F292" s="68" t="n"/>
      <c r="G292" s="75" t="n"/>
      <c r="H292" s="67" t="n"/>
      <c r="I292" s="76">
        <f>IF(OR($G292="",$H292="",NOT(ISNUMBER($G292))),"",IF($H292="Maund",ROUND($G292/37.32,2),$G292))</f>
        <v/>
      </c>
      <c r="J292" s="68" t="n"/>
    </row>
    <row r="293" ht="19.5" customHeight="1" s="45">
      <c r="B293" s="65" t="n"/>
      <c r="C293" s="67" t="n"/>
      <c r="D293" s="67" t="n"/>
      <c r="E293" s="67" t="n"/>
      <c r="F293" s="68" t="n"/>
      <c r="G293" s="75" t="n"/>
      <c r="H293" s="67" t="n"/>
      <c r="I293" s="76">
        <f>IF(OR($G293="",$H293="",NOT(ISNUMBER($G293))),"",IF($H293="Maund",ROUND($G293/37.32,2),$G293))</f>
        <v/>
      </c>
      <c r="J293" s="68" t="n"/>
    </row>
    <row r="294" ht="19.5" customHeight="1" s="45">
      <c r="B294" s="65" t="n"/>
      <c r="C294" s="67" t="n"/>
      <c r="D294" s="67" t="n"/>
      <c r="E294" s="67" t="n"/>
      <c r="F294" s="68" t="n"/>
      <c r="G294" s="75" t="n"/>
      <c r="H294" s="67" t="n"/>
      <c r="I294" s="76">
        <f>IF(OR($G294="",$H294="",NOT(ISNUMBER($G294))),"",IF($H294="Maund",ROUND($G294/37.32,2),$G294))</f>
        <v/>
      </c>
      <c r="J294" s="68" t="n"/>
    </row>
    <row r="295" ht="19.5" customHeight="1" s="45">
      <c r="B295" s="65" t="n"/>
      <c r="C295" s="67" t="n"/>
      <c r="D295" s="67" t="n"/>
      <c r="E295" s="67" t="n"/>
      <c r="F295" s="68" t="n"/>
      <c r="G295" s="75" t="n"/>
      <c r="H295" s="67" t="n"/>
      <c r="I295" s="76">
        <f>IF(OR($G295="",$H295="",NOT(ISNUMBER($G295))),"",IF($H295="Maund",ROUND($G295/37.32,2),$G295))</f>
        <v/>
      </c>
      <c r="J295" s="68" t="n"/>
    </row>
    <row r="296" ht="19.5" customHeight="1" s="45">
      <c r="B296" s="65" t="n"/>
      <c r="C296" s="67" t="n"/>
      <c r="D296" s="67" t="n"/>
      <c r="E296" s="67" t="n"/>
      <c r="F296" s="68" t="n"/>
      <c r="G296" s="75" t="n"/>
      <c r="H296" s="67" t="n"/>
      <c r="I296" s="76">
        <f>IF(OR($G296="",$H296="",NOT(ISNUMBER($G296))),"",IF($H296="Maund",ROUND($G296/37.32,2),$G296))</f>
        <v/>
      </c>
      <c r="J296" s="68" t="n"/>
    </row>
    <row r="297" ht="19.5" customHeight="1" s="45">
      <c r="B297" s="65" t="n"/>
      <c r="C297" s="67" t="n"/>
      <c r="D297" s="67" t="n"/>
      <c r="E297" s="67" t="n"/>
      <c r="F297" s="68" t="n"/>
      <c r="G297" s="75" t="n"/>
      <c r="H297" s="67" t="n"/>
      <c r="I297" s="76">
        <f>IF(OR($G297="",$H297="",NOT(ISNUMBER($G297))),"",IF($H297="Maund",ROUND($G297/37.32,2),$G297))</f>
        <v/>
      </c>
      <c r="J297" s="68" t="n"/>
    </row>
    <row r="298" ht="19.5" customHeight="1" s="45">
      <c r="B298" s="65" t="n"/>
      <c r="C298" s="67" t="n"/>
      <c r="D298" s="67" t="n"/>
      <c r="E298" s="67" t="n"/>
      <c r="F298" s="68" t="n"/>
      <c r="G298" s="75" t="n"/>
      <c r="H298" s="67" t="n"/>
      <c r="I298" s="76">
        <f>IF(OR($G298="",$H298="",NOT(ISNUMBER($G298))),"",IF($H298="Maund",ROUND($G298/37.32,2),$G298))</f>
        <v/>
      </c>
      <c r="J298" s="68" t="n"/>
    </row>
    <row r="299" ht="19.5" customHeight="1" s="45">
      <c r="B299" s="65" t="n"/>
      <c r="C299" s="67" t="n"/>
      <c r="D299" s="67" t="n"/>
      <c r="E299" s="67" t="n"/>
      <c r="F299" s="68" t="n"/>
      <c r="G299" s="75" t="n"/>
      <c r="H299" s="67" t="n"/>
      <c r="I299" s="76">
        <f>IF(OR($G299="",$H299="",NOT(ISNUMBER($G299))),"",IF($H299="Maund",ROUND($G299/37.32,2),$G299))</f>
        <v/>
      </c>
      <c r="J299" s="68" t="n"/>
    </row>
    <row r="300" ht="19.5" customHeight="1" s="45">
      <c r="B300" s="65" t="n"/>
      <c r="C300" s="67" t="n"/>
      <c r="D300" s="67" t="n"/>
      <c r="E300" s="67" t="n"/>
      <c r="F300" s="68" t="n"/>
      <c r="G300" s="75" t="n"/>
      <c r="H300" s="67" t="n"/>
      <c r="I300" s="76">
        <f>IF(OR($G300="",$H300="",NOT(ISNUMBER($G300))),"",IF($H300="Maund",ROUND($G300/37.32,2),$G300))</f>
        <v/>
      </c>
      <c r="J300" s="68" t="n"/>
    </row>
    <row r="301" ht="19.5" customHeight="1" s="45">
      <c r="B301" s="65" t="n"/>
      <c r="C301" s="67" t="n"/>
      <c r="D301" s="67" t="n"/>
      <c r="E301" s="67" t="n"/>
      <c r="F301" s="68" t="n"/>
      <c r="G301" s="75" t="n"/>
      <c r="H301" s="67" t="n"/>
      <c r="I301" s="76">
        <f>IF(OR($G301="",$H301="",NOT(ISNUMBER($G301))),"",IF($H301="Maund",ROUND($G301/37.32,2),$G301))</f>
        <v/>
      </c>
      <c r="J301" s="68" t="n"/>
    </row>
    <row r="302" ht="19.5" customHeight="1" s="45">
      <c r="B302" s="65" t="n"/>
      <c r="C302" s="67" t="n"/>
      <c r="D302" s="67" t="n"/>
      <c r="E302" s="67" t="n"/>
      <c r="F302" s="68" t="n"/>
      <c r="G302" s="75" t="n"/>
      <c r="H302" s="67" t="n"/>
      <c r="I302" s="76">
        <f>IF(OR($G302="",$H302="",NOT(ISNUMBER($G302))),"",IF($H302="Maund",ROUND($G302/37.32,2),$G302))</f>
        <v/>
      </c>
      <c r="J302" s="68" t="n"/>
    </row>
    <row r="303" ht="19.5" customHeight="1" s="45">
      <c r="B303" s="65" t="n"/>
      <c r="C303" s="67" t="n"/>
      <c r="D303" s="67" t="n"/>
      <c r="E303" s="67" t="n"/>
      <c r="F303" s="68" t="n"/>
      <c r="G303" s="75" t="n"/>
      <c r="H303" s="67" t="n"/>
      <c r="I303" s="76">
        <f>IF(OR($G303="",$H303="",NOT(ISNUMBER($G303))),"",IF($H303="Maund",ROUND($G303/37.32,2),$G303))</f>
        <v/>
      </c>
      <c r="J303" s="68" t="n"/>
    </row>
    <row r="304" ht="19.5" customHeight="1" s="45">
      <c r="B304" s="65" t="n"/>
      <c r="C304" s="67" t="n"/>
      <c r="D304" s="67" t="n"/>
      <c r="E304" s="67" t="n"/>
      <c r="F304" s="68" t="n"/>
      <c r="G304" s="75" t="n"/>
      <c r="H304" s="67" t="n"/>
      <c r="I304" s="76">
        <f>IF(OR($G304="",$H304="",NOT(ISNUMBER($G304))),"",IF($H304="Maund",ROUND($G304/37.32,2),$G304))</f>
        <v/>
      </c>
      <c r="J304" s="68" t="n"/>
    </row>
    <row r="305" ht="19.5" customHeight="1" s="45">
      <c r="B305" s="65" t="n"/>
      <c r="C305" s="67" t="n"/>
      <c r="D305" s="67" t="n"/>
      <c r="E305" s="67" t="n"/>
      <c r="F305" s="68" t="n"/>
      <c r="G305" s="75" t="n"/>
      <c r="H305" s="67" t="n"/>
      <c r="I305" s="76">
        <f>IF(OR($G305="",$H305="",NOT(ISNUMBER($G305))),"",IF($H305="Maund",ROUND($G305/37.32,2),$G305))</f>
        <v/>
      </c>
      <c r="J305" s="68" t="n"/>
    </row>
    <row r="306" ht="19.5" customHeight="1" s="45">
      <c r="B306" s="65" t="n"/>
      <c r="C306" s="67" t="n"/>
      <c r="D306" s="67" t="n"/>
      <c r="E306" s="67" t="n"/>
      <c r="F306" s="68" t="n"/>
      <c r="G306" s="75" t="n"/>
      <c r="H306" s="67" t="n"/>
      <c r="I306" s="76">
        <f>IF(OR($G306="",$H306="",NOT(ISNUMBER($G306))),"",IF($H306="Maund",ROUND($G306/37.32,2),$G306))</f>
        <v/>
      </c>
      <c r="J306" s="68" t="n"/>
    </row>
    <row r="307" ht="19.5" customHeight="1" s="45">
      <c r="B307" s="65" t="n"/>
      <c r="C307" s="67" t="n"/>
      <c r="D307" s="67" t="n"/>
      <c r="E307" s="67" t="n"/>
      <c r="F307" s="68" t="n"/>
      <c r="G307" s="75" t="n"/>
      <c r="H307" s="67" t="n"/>
      <c r="I307" s="76">
        <f>IF(OR($G307="",$H307="",NOT(ISNUMBER($G307))),"",IF($H307="Maund",ROUND($G307/37.32,2),$G307))</f>
        <v/>
      </c>
      <c r="J307" s="68" t="n"/>
    </row>
    <row r="308" ht="19.5" customHeight="1" s="45">
      <c r="B308" s="65" t="n"/>
      <c r="C308" s="67" t="n"/>
      <c r="D308" s="67" t="n"/>
      <c r="E308" s="67" t="n"/>
      <c r="F308" s="68" t="n"/>
      <c r="G308" s="75" t="n"/>
      <c r="H308" s="67" t="n"/>
      <c r="I308" s="76">
        <f>IF(OR($G308="",$H308="",NOT(ISNUMBER($G308))),"",IF($H308="Maund",ROUND($G308/37.32,2),$G308))</f>
        <v/>
      </c>
      <c r="J308" s="68" t="n"/>
    </row>
    <row r="309" ht="19.5" customHeight="1" s="45">
      <c r="B309" s="65" t="n"/>
      <c r="C309" s="67" t="n"/>
      <c r="D309" s="67" t="n"/>
      <c r="E309" s="67" t="n"/>
      <c r="F309" s="68" t="n"/>
      <c r="G309" s="75" t="n"/>
      <c r="H309" s="67" t="n"/>
      <c r="I309" s="76">
        <f>IF(OR($G309="",$H309="",NOT(ISNUMBER($G309))),"",IF($H309="Maund",ROUND($G309/37.32,2),$G309))</f>
        <v/>
      </c>
      <c r="J309" s="68" t="n"/>
    </row>
    <row r="310" ht="19.5" customHeight="1" s="45">
      <c r="B310" s="65" t="n"/>
      <c r="C310" s="67" t="n"/>
      <c r="D310" s="67" t="n"/>
      <c r="E310" s="67" t="n"/>
      <c r="F310" s="68" t="n"/>
      <c r="G310" s="75" t="n"/>
      <c r="H310" s="67" t="n"/>
      <c r="I310" s="76">
        <f>IF(OR($G310="",$H310="",NOT(ISNUMBER($G310))),"",IF($H310="Maund",ROUND($G310/37.32,2),$G310))</f>
        <v/>
      </c>
      <c r="J310" s="68" t="n"/>
    </row>
    <row r="311" ht="19.5" customHeight="1" s="45">
      <c r="B311" s="65" t="n"/>
      <c r="C311" s="67" t="n"/>
      <c r="D311" s="67" t="n"/>
      <c r="E311" s="67" t="n"/>
      <c r="F311" s="68" t="n"/>
      <c r="G311" s="75" t="n"/>
      <c r="H311" s="67" t="n"/>
      <c r="I311" s="76">
        <f>IF(OR($G311="",$H311="",NOT(ISNUMBER($G311))),"",IF($H311="Maund",ROUND($G311/37.32,2),$G311))</f>
        <v/>
      </c>
      <c r="J311" s="68" t="n"/>
    </row>
    <row r="312" ht="19.5" customHeight="1" s="45">
      <c r="B312" s="65" t="n"/>
      <c r="C312" s="67" t="n"/>
      <c r="D312" s="67" t="n"/>
      <c r="E312" s="67" t="n"/>
      <c r="F312" s="68" t="n"/>
      <c r="G312" s="75" t="n"/>
      <c r="H312" s="67" t="n"/>
      <c r="I312" s="76">
        <f>IF(OR($G312="",$H312="",NOT(ISNUMBER($G312))),"",IF($H312="Maund",ROUND($G312/37.32,2),$G312))</f>
        <v/>
      </c>
      <c r="J312" s="68" t="n"/>
    </row>
    <row r="313" ht="19.5" customHeight="1" s="45">
      <c r="B313" s="65" t="n"/>
      <c r="C313" s="67" t="n"/>
      <c r="D313" s="67" t="n"/>
      <c r="E313" s="67" t="n"/>
      <c r="F313" s="68" t="n"/>
      <c r="G313" s="75" t="n"/>
      <c r="H313" s="67" t="n"/>
      <c r="I313" s="76">
        <f>IF(OR($G313="",$H313="",NOT(ISNUMBER($G313))),"",IF($H313="Maund",ROUND($G313/37.32,2),$G313))</f>
        <v/>
      </c>
      <c r="J313" s="68" t="n"/>
    </row>
    <row r="314" ht="19.5" customHeight="1" s="45">
      <c r="B314" s="65" t="n"/>
      <c r="C314" s="67" t="n"/>
      <c r="D314" s="67" t="n"/>
      <c r="E314" s="67" t="n"/>
      <c r="F314" s="68" t="n"/>
      <c r="G314" s="75" t="n"/>
      <c r="H314" s="67" t="n"/>
      <c r="I314" s="76">
        <f>IF(OR($G314="",$H314="",NOT(ISNUMBER($G314))),"",IF($H314="Maund",ROUND($G314/37.32,2),$G314))</f>
        <v/>
      </c>
      <c r="J314" s="68" t="n"/>
    </row>
    <row r="315" ht="19.5" customHeight="1" s="45">
      <c r="B315" s="65" t="n"/>
      <c r="C315" s="67" t="n"/>
      <c r="D315" s="67" t="n"/>
      <c r="E315" s="67" t="n"/>
      <c r="F315" s="68" t="n"/>
      <c r="G315" s="75" t="n"/>
      <c r="H315" s="67" t="n"/>
      <c r="I315" s="76">
        <f>IF(OR($G315="",$H315="",NOT(ISNUMBER($G315))),"",IF($H315="Maund",ROUND($G315/37.32,2),$G315))</f>
        <v/>
      </c>
      <c r="J315" s="68" t="n"/>
    </row>
    <row r="316" ht="19.5" customHeight="1" s="45">
      <c r="B316" s="65" t="n"/>
      <c r="C316" s="67" t="n"/>
      <c r="D316" s="67" t="n"/>
      <c r="E316" s="67" t="n"/>
      <c r="F316" s="68" t="n"/>
      <c r="G316" s="75" t="n"/>
      <c r="H316" s="67" t="n"/>
      <c r="I316" s="76">
        <f>IF(OR($G316="",$H316="",NOT(ISNUMBER($G316))),"",IF($H316="Maund",ROUND($G316/37.32,2),$G316))</f>
        <v/>
      </c>
      <c r="J316" s="68" t="n"/>
    </row>
    <row r="317" ht="19.5" customHeight="1" s="45">
      <c r="B317" s="65" t="n"/>
      <c r="C317" s="67" t="n"/>
      <c r="D317" s="67" t="n"/>
      <c r="E317" s="67" t="n"/>
      <c r="F317" s="68" t="n"/>
      <c r="G317" s="75" t="n"/>
      <c r="H317" s="67" t="n"/>
      <c r="I317" s="76">
        <f>IF(OR($G317="",$H317="",NOT(ISNUMBER($G317))),"",IF($H317="Maund",ROUND($G317/37.32,2),$G317))</f>
        <v/>
      </c>
      <c r="J317" s="68" t="n"/>
    </row>
    <row r="318" ht="19.5" customHeight="1" s="45">
      <c r="B318" s="65" t="n"/>
      <c r="C318" s="67" t="n"/>
      <c r="D318" s="67" t="n"/>
      <c r="E318" s="67" t="n"/>
      <c r="F318" s="68" t="n"/>
      <c r="G318" s="75" t="n"/>
      <c r="H318" s="67" t="n"/>
      <c r="I318" s="76">
        <f>IF(OR($G318="",$H318="",NOT(ISNUMBER($G318))),"",IF($H318="Maund",ROUND($G318/37.32,2),$G318))</f>
        <v/>
      </c>
      <c r="J318" s="68" t="n"/>
    </row>
    <row r="319" ht="19.5" customHeight="1" s="45">
      <c r="B319" s="65" t="n"/>
      <c r="C319" s="67" t="n"/>
      <c r="D319" s="67" t="n"/>
      <c r="E319" s="67" t="n"/>
      <c r="F319" s="68" t="n"/>
      <c r="G319" s="75" t="n"/>
      <c r="H319" s="67" t="n"/>
      <c r="I319" s="76">
        <f>IF(OR($G319="",$H319="",NOT(ISNUMBER($G319))),"",IF($H319="Maund",ROUND($G319/37.32,2),$G319))</f>
        <v/>
      </c>
      <c r="J319" s="68" t="n"/>
    </row>
    <row r="320" ht="19.5" customHeight="1" s="45">
      <c r="B320" s="65" t="n"/>
      <c r="C320" s="67" t="n"/>
      <c r="D320" s="67" t="n"/>
      <c r="E320" s="67" t="n"/>
      <c r="F320" s="68" t="n"/>
      <c r="G320" s="75" t="n"/>
      <c r="H320" s="67" t="n"/>
      <c r="I320" s="76">
        <f>IF(OR($G320="",$H320="",NOT(ISNUMBER($G320))),"",IF($H320="Maund",ROUND($G320/37.32,2),$G320))</f>
        <v/>
      </c>
      <c r="J320" s="68" t="n"/>
    </row>
    <row r="321" ht="19.5" customHeight="1" s="45">
      <c r="B321" s="65" t="n"/>
      <c r="C321" s="67" t="n"/>
      <c r="D321" s="67" t="n"/>
      <c r="E321" s="67" t="n"/>
      <c r="F321" s="68" t="n"/>
      <c r="G321" s="75" t="n"/>
      <c r="H321" s="67" t="n"/>
      <c r="I321" s="76">
        <f>IF(OR($G321="",$H321="",NOT(ISNUMBER($G321))),"",IF($H321="Maund",ROUND($G321/37.32,2),$G321))</f>
        <v/>
      </c>
      <c r="J321" s="68" t="n"/>
    </row>
    <row r="322" ht="19.5" customHeight="1" s="45">
      <c r="B322" s="65" t="n"/>
      <c r="C322" s="67" t="n"/>
      <c r="D322" s="67" t="n"/>
      <c r="E322" s="67" t="n"/>
      <c r="F322" s="68" t="n"/>
      <c r="G322" s="75" t="n"/>
      <c r="H322" s="67" t="n"/>
      <c r="I322" s="76">
        <f>IF(OR($G322="",$H322="",NOT(ISNUMBER($G322))),"",IF($H322="Maund",ROUND($G322/37.32,2),$G322))</f>
        <v/>
      </c>
      <c r="J322" s="68" t="n"/>
    </row>
    <row r="323" ht="19.5" customHeight="1" s="45">
      <c r="B323" s="65" t="n"/>
      <c r="C323" s="67" t="n"/>
      <c r="D323" s="67" t="n"/>
      <c r="E323" s="67" t="n"/>
      <c r="F323" s="68" t="n"/>
      <c r="G323" s="75" t="n"/>
      <c r="H323" s="67" t="n"/>
      <c r="I323" s="76">
        <f>IF(OR($G323="",$H323="",NOT(ISNUMBER($G323))),"",IF($H323="Maund",ROUND($G323/37.32,2),$G323))</f>
        <v/>
      </c>
      <c r="J323" s="68" t="n"/>
    </row>
    <row r="324" ht="19.5" customHeight="1" s="45">
      <c r="B324" s="65" t="n"/>
      <c r="C324" s="67" t="n"/>
      <c r="D324" s="67" t="n"/>
      <c r="E324" s="67" t="n"/>
      <c r="F324" s="68" t="n"/>
      <c r="G324" s="75" t="n"/>
      <c r="H324" s="67" t="n"/>
      <c r="I324" s="76">
        <f>IF(OR($G324="",$H324="",NOT(ISNUMBER($G324))),"",IF($H324="Maund",ROUND($G324/37.32,2),$G324))</f>
        <v/>
      </c>
      <c r="J324" s="68" t="n"/>
    </row>
    <row r="325" ht="15" customHeight="1" s="45">
      <c r="B325" s="50" t="n"/>
      <c r="C325" s="50" t="n"/>
      <c r="D325" s="50" t="n"/>
      <c r="E325" s="50" t="n"/>
      <c r="F325" s="50" t="n"/>
      <c r="G325" s="50" t="n"/>
      <c r="H325" s="50" t="n"/>
      <c r="I325" s="50" t="n"/>
      <c r="J325" s="50" t="n"/>
    </row>
    <row r="326" ht="14.25" customHeight="1" s="45">
      <c r="B326" s="54" t="inlineStr">
        <is>
          <t>Spend ~10 minutes per arat listing every displayed price; never enters hypothesis tests, appendix descriptive table only.</t>
        </is>
      </c>
      <c r="C326" s="50" t="n"/>
      <c r="D326" s="50" t="n"/>
      <c r="E326" s="50" t="n"/>
      <c r="F326" s="50" t="n"/>
      <c r="G326" s="50" t="n"/>
      <c r="H326" s="50" t="n"/>
      <c r="I326" s="50" t="n"/>
      <c r="J326" s="50" t="n"/>
    </row>
  </sheetData>
  <autoFilter ref="B4:J324"/>
  <mergeCells count="1">
    <mergeCell ref="B2:J2"/>
  </mergeCells>
  <dataValidations count="3">
    <dataValidation sqref="G5:G324" showDropDown="0" showInputMessage="0" showErrorMessage="1" allowBlank="1" errorTitle="Out of range" error="Enter a number between 0 and 1000000." type="decimal" errorStyle="stop" operator="between">
      <formula1>0</formula1>
      <formula2>1000000</formula2>
    </dataValidation>
    <dataValidation sqref="C5:C324" showDropDown="0" showInputMessage="0" showErrorMessage="1" allowBlank="1" errorTitle="Invalid entry" error="Please choose one of the listed values." promptTitle="Dropdown" prompt="Select from list" type="list" errorStyle="stop" operator="between">
      <formula1>"M1,M2,M3,M4,M5,M6"</formula1>
      <formula2>0</formula2>
    </dataValidation>
    <dataValidation sqref="H5:H324" showDropDown="0" showInputMessage="0" showErrorMessage="1" allowBlank="1" errorTitle="Invalid entry" error="Please choose one of the listed values." promptTitle="Dropdown" prompt="Select from list" type="list" errorStyle="stop" operator="between">
      <formula1>"Maund,Kg"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 filterMode="0">
    <tabColor rgb="FFD4820A"/>
    <outlinePr summaryBelow="1" summaryRight="1"/>
    <pageSetUpPr fitToPage="0"/>
  </sheetPr>
  <dimension ref="B2:E31"/>
  <sheetViews>
    <sheetView showFormulas="0" showGridLines="0" showRowColHeaders="1" showZeros="1" rightToLeft="0" tabSelected="0" showOutlineSymbols="1" defaultGridColor="1" view="normal" topLeftCell="A2" colorId="64" zoomScale="100" zoomScaleNormal="100" zoomScalePageLayoutView="100" workbookViewId="0">
      <selection pane="topLeft" activeCell="A1" activeCellId="0" sqref="A1"/>
    </sheetView>
  </sheetViews>
  <sheetFormatPr baseColWidth="8" defaultColWidth="8.6328125" defaultRowHeight="15" zeroHeight="0" outlineLevelRow="0"/>
  <cols>
    <col width="3" customWidth="1" style="44" min="1" max="1"/>
    <col width="52" customWidth="1" style="44" min="2" max="2"/>
    <col width="12" customWidth="1" style="44" min="3" max="3"/>
    <col width="40" customWidth="1" style="44" min="4" max="4"/>
    <col width="16" customWidth="1" style="44" min="5" max="5"/>
  </cols>
  <sheetData>
    <row r="2" ht="31.5" customHeight="1" s="45">
      <c r="B2" s="46" t="inlineStr">
        <is>
          <t>QC Check - automatic quality flags</t>
        </is>
      </c>
      <c r="C2" s="47" t="n"/>
      <c r="D2" s="47" t="n"/>
      <c r="E2" s="48" t="n"/>
    </row>
    <row r="3" ht="7.5" customHeight="1" s="45">
      <c r="B3" s="49" t="inlineStr">
        <is>
          <t>Everything on this sheet is formula-driven. Re-check after each entry session; fix the source sheet, never this one.</t>
        </is>
      </c>
      <c r="C3" s="50" t="n"/>
      <c r="D3" s="50" t="n"/>
      <c r="E3" s="50" t="n"/>
    </row>
    <row r="4" ht="15" customHeight="1" s="45">
      <c r="B4" s="50" t="n"/>
      <c r="C4" s="50" t="n"/>
      <c r="D4" s="50" t="n"/>
      <c r="E4" s="50" t="n"/>
    </row>
    <row r="5" ht="27.75" customHeight="1" s="45">
      <c r="B5" s="57" t="inlineStr">
        <is>
          <t>Check</t>
        </is>
      </c>
      <c r="C5" s="57" t="inlineStr">
        <is>
          <t>Value</t>
        </is>
      </c>
      <c r="D5" s="57" t="inlineStr">
        <is>
          <t>Rule / target</t>
        </is>
      </c>
      <c r="E5" s="57" t="inlineStr">
        <is>
          <t>Status</t>
        </is>
      </c>
    </row>
    <row r="6" ht="21.75" customHeight="1" s="45">
      <c r="B6" s="59" t="inlineStr">
        <is>
          <t>Form_A rows entered (Interview_Date filled)</t>
        </is>
      </c>
      <c r="C6" s="86" t="n">
        <v>30</v>
      </c>
      <c r="D6" s="59" t="inlineStr">
        <is>
          <t>36 rows allocated (quota 30 + buffer 6)</t>
        </is>
      </c>
      <c r="E6" s="87" t="inlineStr">
        <is>
          <t>OK</t>
        </is>
      </c>
    </row>
    <row r="7" ht="21.75" customHeight="1" s="45">
      <c r="B7" s="61" t="inlineStr">
        <is>
          <t>Form_B rows entered (Interview_Date filled)</t>
        </is>
      </c>
      <c r="C7" s="88" t="n">
        <v>30</v>
      </c>
      <c r="D7" s="61" t="inlineStr">
        <is>
          <t>36 rows allocated (quota 30 + buffer 6)</t>
        </is>
      </c>
      <c r="E7" s="89" t="inlineStr">
        <is>
          <t>OK</t>
        </is>
      </c>
    </row>
    <row r="8" ht="21.75" customHeight="1" s="45">
      <c r="B8" s="59" t="inlineStr">
        <is>
          <t>Form_R rows entered (Interview_Date filled)</t>
        </is>
      </c>
      <c r="C8" s="86" t="n">
        <v>30</v>
      </c>
      <c r="D8" s="59" t="inlineStr">
        <is>
          <t>36 rows allocated (quota 30 + buffer 6)</t>
        </is>
      </c>
      <c r="E8" s="87" t="inlineStr">
        <is>
          <t>OK</t>
        </is>
      </c>
    </row>
    <row r="9" ht="21.75" customHeight="1" s="45">
      <c r="B9" s="61" t="inlineStr">
        <is>
          <t>Form_C rows entered (Interview_Date filled)</t>
        </is>
      </c>
      <c r="C9" s="88" t="n">
        <v>30</v>
      </c>
      <c r="D9" s="61" t="inlineStr">
        <is>
          <t>36 rows allocated (quota 30 + buffer 6)</t>
        </is>
      </c>
      <c r="E9" s="89" t="inlineStr">
        <is>
          <t>OK</t>
        </is>
      </c>
    </row>
    <row r="10" ht="21.75" customHeight="1" s="45">
      <c r="B10" s="59" t="inlineStr">
        <is>
          <t>Total interviews entered</t>
        </is>
      </c>
      <c r="C10" s="86" t="n">
        <v>120</v>
      </c>
      <c r="D10" s="59" t="inlineStr">
        <is>
          <t>Field target 120 (Table 3.3)</t>
        </is>
      </c>
      <c r="E10" s="87" t="inlineStr">
        <is>
          <t>TARGET MET</t>
        </is>
      </c>
    </row>
    <row r="11" ht="21.75" customHeight="1" s="45">
      <c r="B11" s="61" t="inlineStr">
        <is>
          <t>Duplicate Respondent_IDs - Form_A_Aratdar</t>
        </is>
      </c>
      <c r="C11" s="88" t="n">
        <v>0</v>
      </c>
      <c r="D11" s="61" t="inlineStr">
        <is>
          <t>0 duplicates expected</t>
        </is>
      </c>
      <c r="E11" s="89" t="inlineStr">
        <is>
          <t>OK</t>
        </is>
      </c>
    </row>
    <row r="12" ht="21.75" customHeight="1" s="45">
      <c r="B12" s="59" t="inlineStr">
        <is>
          <t>Duplicate Respondent_IDs - Form_B_Bepari_Faria</t>
        </is>
      </c>
      <c r="C12" s="86" t="n">
        <v>0</v>
      </c>
      <c r="D12" s="59" t="inlineStr">
        <is>
          <t>0 duplicates expected</t>
        </is>
      </c>
      <c r="E12" s="87" t="inlineStr">
        <is>
          <t>OK</t>
        </is>
      </c>
    </row>
    <row r="13" ht="21.75" customHeight="1" s="45">
      <c r="B13" s="61" t="inlineStr">
        <is>
          <t>Duplicate Respondent_IDs - Form_R_Khuchra</t>
        </is>
      </c>
      <c r="C13" s="88" t="n">
        <v>0</v>
      </c>
      <c r="D13" s="61" t="inlineStr">
        <is>
          <t>0 duplicates expected</t>
        </is>
      </c>
      <c r="E13" s="89" t="inlineStr">
        <is>
          <t>OK</t>
        </is>
      </c>
    </row>
    <row r="14" ht="21.75" customHeight="1" s="45">
      <c r="B14" s="59" t="inlineStr">
        <is>
          <t>Duplicate Respondent_IDs - Form_C_Consumer</t>
        </is>
      </c>
      <c r="C14" s="86" t="n">
        <v>0</v>
      </c>
      <c r="D14" s="59" t="inlineStr">
        <is>
          <t>0 duplicates expected</t>
        </is>
      </c>
      <c r="E14" s="87" t="inlineStr">
        <is>
          <t>OK</t>
        </is>
      </c>
    </row>
    <row r="15" ht="21.75" customHeight="1" s="45">
      <c r="B15" s="61" t="inlineStr">
        <is>
          <t>Payment % rows not summing to 100 - Form_A</t>
        </is>
      </c>
      <c r="C15" s="88" t="n">
        <v>0</v>
      </c>
      <c r="D15" s="61" t="inlineStr">
        <is>
          <t>Cash + MFS + Credit must equal 100</t>
        </is>
      </c>
      <c r="E15" s="89" t="inlineStr">
        <is>
          <t>OK</t>
        </is>
      </c>
    </row>
    <row r="16" ht="21.75" customHeight="1" s="45">
      <c r="B16" s="59" t="inlineStr">
        <is>
          <t>Payment % rows not summing to 100 - Form_B</t>
        </is>
      </c>
      <c r="C16" s="86" t="n">
        <v>0</v>
      </c>
      <c r="D16" s="59" t="inlineStr">
        <is>
          <t>Cash + MFS + Credit must equal 100</t>
        </is>
      </c>
      <c r="E16" s="87" t="inlineStr">
        <is>
          <t>OK</t>
        </is>
      </c>
    </row>
    <row r="17" ht="21.75" customHeight="1" s="45">
      <c r="B17" s="61" t="inlineStr">
        <is>
          <t>Payment % rows not summing to 100 - Form_R</t>
        </is>
      </c>
      <c r="C17" s="88" t="n">
        <v>0</v>
      </c>
      <c r="D17" s="61" t="inlineStr">
        <is>
          <t>Cash + MFS + Credit must equal 100</t>
        </is>
      </c>
      <c r="E17" s="89" t="inlineStr">
        <is>
          <t>OK</t>
        </is>
      </c>
    </row>
    <row r="18" ht="21.75" customHeight="1" s="45">
      <c r="B18" s="59" t="inlineStr">
        <is>
          <t>Price_Observations: numeric BUY price but Unit empty</t>
        </is>
      </c>
      <c r="C18" s="86" t="n">
        <v>0</v>
      </c>
      <c r="D18" s="59" t="inlineStr">
        <is>
          <t>Every numeric raw price needs Maund/Kg</t>
        </is>
      </c>
      <c r="E18" s="87" t="inlineStr">
        <is>
          <t>OK</t>
        </is>
      </c>
    </row>
    <row r="19" ht="21.75" customHeight="1" s="45">
      <c r="B19" s="61" t="inlineStr">
        <is>
          <t>Price_Observations: numeric SELL price but Unit empty</t>
        </is>
      </c>
      <c r="C19" s="88" t="n">
        <v>0</v>
      </c>
      <c r="D19" s="61" t="inlineStr">
        <is>
          <t>Every numeric raw price needs Maund/Kg</t>
        </is>
      </c>
      <c r="E19" s="89" t="inlineStr">
        <is>
          <t>OK</t>
        </is>
      </c>
    </row>
    <row r="20" ht="21.75" customHeight="1" s="45">
      <c r="B20" s="59" t="inlineStr">
        <is>
          <t>Price_Observations rows with unknown Respondent_ID</t>
        </is>
      </c>
      <c r="C20" s="86" t="n">
        <v>0</v>
      </c>
      <c r="D20" s="59" t="inlineStr">
        <is>
          <t>IDs must exist on Form_A/B/R</t>
        </is>
      </c>
      <c r="E20" s="87" t="inlineStr">
        <is>
          <t>OK</t>
        </is>
      </c>
    </row>
    <row r="21" ht="21.75" customHeight="1" s="45">
      <c r="B21" s="61" t="inlineStr">
        <is>
          <t>Consumer_Purchases_Focal: numeric price but Unit empty</t>
        </is>
      </c>
      <c r="C21" s="88" t="n">
        <v>0</v>
      </c>
      <c r="D21" s="61" t="inlineStr">
        <is>
          <t>Every numeric raw price needs Maund/Kg</t>
        </is>
      </c>
      <c r="E21" s="89" t="inlineStr">
        <is>
          <t>OK</t>
        </is>
      </c>
    </row>
    <row r="22" ht="21.75" customHeight="1" s="45">
      <c r="B22" s="59" t="inlineStr">
        <is>
          <t>Consumer_Other_Fish: numeric price but Unit empty</t>
        </is>
      </c>
      <c r="C22" s="86" t="n">
        <v>0</v>
      </c>
      <c r="D22" s="59" t="inlineStr">
        <is>
          <t>Every numeric raw price needs Maund/Kg</t>
        </is>
      </c>
      <c r="E22" s="87" t="inlineStr">
        <is>
          <t>OK</t>
        </is>
      </c>
    </row>
    <row r="23" ht="21.75" customHeight="1" s="45">
      <c r="B23" s="61" t="inlineStr">
        <is>
          <t>Consumer_Purchases_Focal rows with unknown Respondent_ID</t>
        </is>
      </c>
      <c r="C23" s="88" t="n">
        <v>0</v>
      </c>
      <c r="D23" s="61" t="inlineStr">
        <is>
          <t>IDs must exist on Form_C</t>
        </is>
      </c>
      <c r="E23" s="89" t="inlineStr">
        <is>
          <t>OK</t>
        </is>
      </c>
    </row>
    <row r="24" ht="21.75" customHeight="1" s="45">
      <c r="B24" s="59" t="inlineStr">
        <is>
          <t>Consumer_Other_Fish rows with unknown Respondent_ID</t>
        </is>
      </c>
      <c r="C24" s="86" t="n">
        <v>0</v>
      </c>
      <c r="D24" s="59" t="inlineStr">
        <is>
          <t>IDs must exist on Form_C</t>
        </is>
      </c>
      <c r="E24" s="87" t="inlineStr">
        <is>
          <t>OK</t>
        </is>
      </c>
    </row>
    <row r="25" ht="21.75" customHeight="1" s="45">
      <c r="B25" s="61" t="inlineStr">
        <is>
          <t>K/D flags used - buy price column (information)</t>
        </is>
      </c>
      <c r="C25" s="88" t="n">
        <v>56</v>
      </c>
      <c r="D25" s="61" t="inlineStr">
        <is>
          <t>Flags are valid data, no action needed</t>
        </is>
      </c>
      <c r="E25" s="89" t="inlineStr">
        <is>
          <t>Info</t>
        </is>
      </c>
    </row>
    <row r="26" ht="21.75" customHeight="1" s="45">
      <c r="B26" s="59" t="inlineStr">
        <is>
          <t>K/D flags used - sell price column (information)</t>
        </is>
      </c>
      <c r="C26" s="86" t="n">
        <v>76</v>
      </c>
      <c r="D26" s="59" t="inlineStr">
        <is>
          <t>Flags are valid data, no action needed</t>
        </is>
      </c>
      <c r="E26" s="87" t="inlineStr">
        <is>
          <t>Info</t>
        </is>
      </c>
    </row>
    <row r="27" ht="21.75" customHeight="1" s="45">
      <c r="B27" s="61" t="inlineStr">
        <is>
          <t>Price_Observations rows carrying a Pair_ID</t>
        </is>
      </c>
      <c r="C27" s="88" t="n">
        <v>30</v>
      </c>
      <c r="D27" s="61" t="inlineStr">
        <is>
          <t>Matched buyer-seller pairs (Methodology 3.3.4)</t>
        </is>
      </c>
      <c r="E27" s="89" t="inlineStr">
        <is>
          <t>Info</t>
        </is>
      </c>
    </row>
    <row r="28" ht="21.75" customHeight="1" s="45">
      <c r="B28" s="59" t="inlineStr">
        <is>
          <t>Price Pair_IDs matched to a trader Pair_ID</t>
        </is>
      </c>
      <c r="C28" s="86" t="n">
        <v>30</v>
      </c>
      <c r="D28" s="59" t="inlineStr">
        <is>
          <t>Each price Pair_ID should appear on a trader form</t>
        </is>
      </c>
      <c r="E28" s="87" t="inlineStr">
        <is>
          <t>All matched</t>
        </is>
      </c>
    </row>
    <row r="29" ht="21.75" customHeight="1" s="45">
      <c r="B29" s="61" t="inlineStr">
        <is>
          <t>Form_M completed (markets observed)</t>
        </is>
      </c>
      <c r="C29" s="88" t="n">
        <v>6</v>
      </c>
      <c r="D29" s="61" t="inlineStr">
        <is>
          <t>6 markets</t>
        </is>
      </c>
      <c r="E29" s="89" t="inlineStr">
        <is>
          <t>COMPLETE</t>
        </is>
      </c>
    </row>
    <row r="30" ht="15" customHeight="1" s="45">
      <c r="B30" s="50" t="n"/>
      <c r="C30" s="50" t="n"/>
      <c r="D30" s="50" t="n"/>
      <c r="E30" s="50" t="n"/>
    </row>
    <row r="31" ht="14.25" customHeight="1" s="45">
      <c r="B31" s="54" t="inlineStr">
        <is>
          <t>Tip: use the filter arrows on each form sheet to find flagged rows (e.g. filter Respondent_ID, or sort by the offending column).</t>
        </is>
      </c>
      <c r="C31" s="50" t="n"/>
      <c r="D31" s="50" t="n"/>
      <c r="E31" s="50" t="n"/>
    </row>
  </sheetData>
  <mergeCells count="1">
    <mergeCell ref="B2:E2"/>
  </mergeCells>
  <conditionalFormatting sqref="E6:E29">
    <cfRule type="expression" rank="0" priority="2" equalAverage="0" aboveAverage="0" dxfId="10" text="" percent="0" bottom="0">
      <formula>OR($E6="OK",$E6="All matched",$E6="TARGET MET",$E6="COMPLETE",$E6="Info",$E6="No pairs yet",$E6="In progress",$E6="Over capacity")</formula>
    </cfRule>
    <cfRule type="expression" rank="0" priority="3" equalAverage="0" aboveAverage="0" dxfId="11" text="" percent="0" bottom="0">
      <formula>OR(LEFT($E6,3)="Fix",LEFT($E6,5)="Check",LEFT($E6,4)="Some")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MS-499 Field Team - Chattogram REAL</dc:creator>
  <dc:language xmlns:dc="http://purl.org/dc/elements/1.1/">en-US</dc:language>
  <dcterms:created xmlns:dcterms="http://purl.org/dc/terms/" xmlns:xsi="http://www.w3.org/2001/XMLSchema-instance" xsi:type="dcterms:W3CDTF">2026-08-27T15:22:09Z</dcterms:created>
  <dcterms:modified xmlns:dcterms="http://purl.org/dc/terms/" xmlns:xsi="http://www.w3.org/2001/XMLSchema-instance" xsi:type="dcterms:W3CDTF">2026-09-11T15:08:25Z</dcterms:modified>
  <cp:lastModifiedBy>Md. Rafsan</cp:lastModifiedBy>
  <cp:revision>0</cp:revision>
</cp:coreProperties>
</file>