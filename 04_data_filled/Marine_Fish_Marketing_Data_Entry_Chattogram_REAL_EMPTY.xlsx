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comments15.xml" ContentType="application/vnd.openxmlformats-officedocument.spreadsheetml.comments+xml"/>
  <Override PartName="/xl/comments3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vmlDrawing9.vml" ContentType="application/vnd.openxmlformats-officedocument.vmlDrawing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theme/theme1.xml" ContentType="application/vnd.openxmlformats-officedocument.theme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Progress_Dashboard" sheetId="2" state="visible" r:id="rId4"/>
    <sheet name="Data_Collection_Log" sheetId="3" state="visible" r:id="rId5"/>
    <sheet name="Unit_Converter" sheetId="4" state="visible" r:id="rId6"/>
    <sheet name="Codebook_Species" sheetId="5" state="visible" r:id="rId7"/>
    <sheet name="Codebook_Markets" sheetId="6" state="visible" r:id="rId8"/>
    <sheet name="Form_A_Aratdar" sheetId="7" state="visible" r:id="rId9"/>
    <sheet name="Form_B_Bepari_Faria" sheetId="8" state="visible" r:id="rId10"/>
    <sheet name="Form_R_Khuchra" sheetId="9" state="visible" r:id="rId11"/>
    <sheet name="Form_C_Consumer" sheetId="10" state="visible" r:id="rId12"/>
    <sheet name="Price_Observations" sheetId="11" state="visible" r:id="rId13"/>
    <sheet name="Consumer_Purchases_Focal" sheetId="12" state="visible" r:id="rId14"/>
    <sheet name="Consumer_Other_Fish" sheetId="13" state="visible" r:id="rId15"/>
    <sheet name="Form_M_Market_Observation" sheetId="14" state="visible" r:id="rId16"/>
    <sheet name="Tag_Price_Sheet" sheetId="15" state="visible" r:id="rId17"/>
    <sheet name="QC_Check" sheetId="16" state="visible" r:id="rId18"/>
  </sheets>
  <definedNames>
    <definedName function="false" hidden="true" localSheetId="12" name="_xlnm._FilterDatabase" vbProcedure="false">Consumer_Other_Fish!$B$4:$L$104</definedName>
    <definedName function="false" hidden="true" localSheetId="11" name="_xlnm._FilterDatabase" vbProcedure="false">Consumer_Purchases_Focal!$B$4:$M$354</definedName>
    <definedName function="false" hidden="true" localSheetId="2" name="_xlnm._FilterDatabase" vbProcedure="false">Data_Collection_Log!$B$4:$L$44</definedName>
    <definedName function="false" hidden="true" localSheetId="6" name="_xlnm._FilterDatabase" vbProcedure="false">Form_A_Aratdar!$B$4:$AG$40</definedName>
    <definedName function="false" hidden="true" localSheetId="7" name="_xlnm._FilterDatabase" vbProcedure="false">Form_B_Bepari_Faria!$B$4:$AF$40</definedName>
    <definedName function="false" hidden="true" localSheetId="9" name="_xlnm._FilterDatabase" vbProcedure="false">Form_C_Consumer!$B$4:$L$40</definedName>
    <definedName function="false" hidden="true" localSheetId="8" name="_xlnm._FilterDatabase" vbProcedure="false">Form_R_Khuchra!$B$4:$AA$40</definedName>
    <definedName function="false" hidden="true" localSheetId="10" name="_xlnm._FilterDatabase" vbProcedure="false">Price_Observations!$B$4:$P$504</definedName>
    <definedName function="false" hidden="true" localSheetId="14" name="_xlnm._FilterDatabase" vbProcedure="false">Tag_Price_Sheet!$B$4:$J$324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Yes when the day was thin-traded and prices reference the previous high-volume day (record on every form, Methodology 3.2).</t>
        </r>
      </text>
    </comment>
    <comment ref="I4" authorId="0">
      <text>
        <r>
          <rPr>
            <sz val="10"/>
            <rFont val="Arial"/>
            <family val="2"/>
          </rPr>
          <t xml:space="preserve">How many Forms A/B/R were completed this session (all three trader types combined).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Q A-1: quantity of marine fish handled per day, as quoted (maund or kg).</t>
        </r>
      </text>
    </comment>
    <comment ref="O4" authorId="0">
      <text>
        <r>
          <rPr>
            <sz val="10"/>
            <rFont val="Arial"/>
            <family val="2"/>
          </rPr>
          <t xml:space="preserve">Q A-2: commission taken per Lot, per Kg, or as Percent - enter rate accordingly in Commission_rate.</t>
        </r>
      </text>
    </comment>
    <comment ref="Q4" authorId="0">
      <text>
        <r>
          <rPr>
            <sz val="10"/>
            <rFont val="FreeSans"/>
            <family val="2"/>
          </rPr>
          <t xml:space="preserve">বিদ্যুৎ বিল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অ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২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FreeSans"/>
            <family val="2"/>
          </rPr>
          <t xml:space="preserve">পেপার ফর্ম </t>
        </r>
        <r>
          <rPr>
            <sz val="10"/>
            <rFont val="Arial"/>
            <family val="2"/>
          </rPr>
          <t xml:space="preserve">A)</t>
        </r>
      </text>
    </comment>
    <comment ref="U4" authorId="0">
      <text>
        <r>
          <rPr>
            <sz val="10"/>
            <rFont val="FreeSans"/>
            <family val="2"/>
          </rPr>
          <t xml:space="preserve">যন্ত্রাংশ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কুল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বাজার রক্ষণাবেক্ষণ খরচ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অ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২</t>
        </r>
        <r>
          <rPr>
            <sz val="10"/>
            <rFont val="Arial"/>
            <family val="2"/>
          </rPr>
          <t xml:space="preserve">)</t>
        </r>
      </text>
    </comment>
    <comment ref="Y4" authorId="0">
      <text>
        <r>
          <rPr>
            <sz val="10"/>
            <rFont val="Arial"/>
            <family val="2"/>
          </rPr>
          <t xml:space="preserve">Q A-4: enter 0-100, e.g. 70 = 70% of turnover.</t>
        </r>
      </text>
    </comment>
    <comment ref="AF4" authorId="0">
      <text>
        <r>
          <rPr>
            <sz val="10"/>
            <rFont val="Arial"/>
            <family val="2"/>
          </rPr>
          <t xml:space="preserve">Same code as the linked buyer/seller row (Methodology 3.3.4).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Arial"/>
            <family val="2"/>
          </rPr>
          <t xml:space="preserve">Q B-2: district(s), upazila and main markets where fish is bought, e.g. 'Cox's Bazar, Chakaria, Bangla Bazar'.</t>
        </r>
      </text>
    </comment>
    <comment ref="N4" authorId="0">
      <text>
        <r>
          <rPr>
            <sz val="10"/>
            <rFont val="Arial"/>
            <family val="2"/>
          </rPr>
          <t xml:space="preserve">Q B-2: trips completed per day with this consignment pattern.</t>
        </r>
      </text>
    </comment>
    <comment ref="P4" authorId="0">
      <text>
        <r>
          <rPr>
            <sz val="10"/>
            <rFont val="FreeSans"/>
            <family val="2"/>
          </rPr>
          <t xml:space="preserve">পেপার ফর্ম </t>
        </r>
        <r>
          <rPr>
            <sz val="10"/>
            <rFont val="Arial"/>
            <family val="2"/>
          </rPr>
          <t xml:space="preserve">B (</t>
        </r>
        <r>
          <rPr>
            <sz val="10"/>
            <rFont val="FreeSans"/>
            <family val="2"/>
          </rPr>
          <t xml:space="preserve">রে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২</t>
        </r>
        <r>
          <rPr>
            <sz val="10"/>
            <rFont val="Arial"/>
            <family val="2"/>
          </rPr>
          <t xml:space="preserve">): </t>
        </r>
        <r>
          <rPr>
            <sz val="10"/>
            <rFont val="FreeSans"/>
            <family val="2"/>
          </rPr>
          <t xml:space="preserve">প্রতি ট্রিপে ভাড়া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FreeSans"/>
            <family val="2"/>
          </rPr>
          <t xml:space="preserve">ট্রিপের হার — এখানে শুধু প্রতি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ট্রিপ ভাড়া লিখুন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FreeSans"/>
            <family val="2"/>
          </rPr>
          <t xml:space="preserve">পরের দুই কলামে ট্রিপের হার লিখুন।</t>
        </r>
      </text>
    </comment>
    <comment ref="Q4" authorId="0">
      <text>
        <r>
          <rPr>
            <sz val="10"/>
            <rFont val="FreeSans"/>
            <family val="2"/>
          </rPr>
          <t xml:space="preserve">প্রতি কত দিনে ট্রিপ হয়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যেমন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FreeSans"/>
            <family val="2"/>
          </rPr>
          <t xml:space="preserve">প্রতি ৩ দিনে ২ ট্রিপ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FreeSans"/>
            <family val="2"/>
          </rPr>
          <t xml:space="preserve">হলে এখানে ৩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FreeSans"/>
            <family val="2"/>
          </rPr>
          <t xml:space="preserve">।</t>
        </r>
      </text>
    </comment>
    <comment ref="R4" authorId="0">
      <text>
        <r>
          <rPr>
            <sz val="10"/>
            <rFont val="FreeSans"/>
            <family val="2"/>
          </rPr>
          <t xml:space="preserve">উপরের </t>
        </r>
        <r>
          <rPr>
            <sz val="10"/>
            <rFont val="Arial"/>
            <family val="2"/>
          </rPr>
          <t xml:space="preserve">Trip_frequency_days </t>
        </r>
        <r>
          <rPr>
            <sz val="10"/>
            <rFont val="FreeSans"/>
            <family val="2"/>
          </rPr>
          <t xml:space="preserve">সময়কালে কয়টি ট্রিপ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যেমন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FreeSans"/>
            <family val="2"/>
          </rPr>
          <t xml:space="preserve">প্রতি ৩ দিনে ২ ট্রিপ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FreeSans"/>
            <family val="2"/>
          </rPr>
          <t xml:space="preserve">হলে এখানে ২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FreeSans"/>
            <family val="2"/>
          </rPr>
          <t xml:space="preserve">।</t>
        </r>
      </text>
    </comment>
    <comment ref="S4" authorId="0">
      <text>
        <r>
          <rPr>
            <sz val="10"/>
            <rFont val="FreeSans"/>
            <family val="2"/>
          </rPr>
          <t xml:space="preserve">পেপার ফর্মে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FreeSans"/>
            <family val="2"/>
          </rPr>
          <t xml:space="preserve">মাল ওঠা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নামার খরচ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FreeSans"/>
            <family val="2"/>
          </rPr>
          <t xml:space="preserve">একটাই ঘর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লোডিং ও আনলোডিং একসাথে</t>
        </r>
        <r>
          <rPr>
            <sz val="10"/>
            <rFont val="Arial"/>
            <family val="2"/>
          </rPr>
          <t xml:space="preserve">) — </t>
        </r>
        <r>
          <rPr>
            <sz val="10"/>
            <rFont val="FreeSans"/>
            <family val="2"/>
          </rPr>
          <t xml:space="preserve">আলাদা করবেন না।</t>
        </r>
      </text>
    </comment>
    <comment ref="T4" authorId="0">
      <text>
        <r>
          <rPr>
            <sz val="10"/>
            <rFont val="Arial"/>
            <family val="2"/>
          </rPr>
          <t xml:space="preserve">Q B-2: spoilage/death loss in transit, 0-100.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Q R-2: stall or van space rent per month (convert weekly quotes x4).</t>
        </r>
      </text>
    </comment>
    <comment ref="L4" authorId="0">
      <text>
        <r>
          <rPr>
            <sz val="10"/>
            <rFont val="FreeSans"/>
            <family val="2"/>
          </rPr>
          <t xml:space="preserve">পেপার ফর্ম </t>
        </r>
        <r>
          <rPr>
            <sz val="10"/>
            <rFont val="Arial"/>
            <family val="2"/>
          </rPr>
          <t xml:space="preserve">R (</t>
        </r>
        <r>
          <rPr>
            <sz val="10"/>
            <rFont val="FreeSans"/>
            <family val="2"/>
          </rPr>
          <t xml:space="preserve">র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২</t>
        </r>
        <r>
          <rPr>
            <sz val="10"/>
            <rFont val="Arial"/>
            <family val="2"/>
          </rPr>
          <t xml:space="preserve">): </t>
        </r>
        <r>
          <rPr>
            <sz val="10"/>
            <rFont val="FreeSans"/>
            <family val="2"/>
          </rPr>
          <t xml:space="preserve">সবগুলো খরচ প্রতিদিনের ভিত্তিতে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৳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দিন</t>
        </r>
        <r>
          <rPr>
            <sz val="10"/>
            <rFont val="Arial"/>
            <family val="2"/>
          </rPr>
          <t xml:space="preserve">), </t>
        </r>
        <r>
          <rPr>
            <sz val="10"/>
            <rFont val="FreeSans"/>
            <family val="2"/>
          </rPr>
          <t xml:space="preserve">মাসিক নয়।</t>
        </r>
      </text>
    </comment>
    <comment ref="M4" authorId="0">
      <text>
        <r>
          <rPr>
            <sz val="10"/>
            <rFont val="Arial"/>
            <family val="2"/>
          </rPr>
          <t xml:space="preserve">Q R-3: quantity handled per day, as quoted (maund or kg).</t>
        </r>
      </text>
    </comment>
    <comment ref="V4" authorId="0">
      <text>
        <r>
          <rPr>
            <sz val="10"/>
            <rFont val="Arial"/>
            <family val="2"/>
          </rPr>
          <t xml:space="preserve">Q R-7: Almost_all / Some / No.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For daily buyers write 1; for weekly buyers write the gap in days.</t>
        </r>
      </text>
    </comment>
    <comment ref="I4" authorId="0">
      <text>
        <r>
          <rPr>
            <sz val="10"/>
            <rFont val="Arial"/>
            <family val="2"/>
          </rPr>
          <t xml:space="preserve">Q C-3: how payment for today's purchase was made.</t>
        </r>
      </text>
    </comment>
    <comment ref="J4" authorId="0">
      <text>
        <r>
          <rPr>
            <sz val="10"/>
            <rFont val="Arial"/>
            <family val="2"/>
          </rPr>
          <t xml:space="preserve">Q C-4: single main reason for buying at this arat.</t>
        </r>
      </text>
    </comment>
    <comment ref="K4" authorId="0">
      <text>
        <r>
          <rPr>
            <sz val="10"/>
            <rFont val="Arial"/>
            <family val="2"/>
          </rPr>
          <t xml:space="preserve">Same code as the retailer row when the seller was also interviewed.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Aratdar: incoming price (what fisherman/bepari receives). Bepari/Retailer: own purchase price. Flags K/D/'-' allowed.</t>
        </r>
      </text>
    </comment>
    <comment ref="H4" authorId="0">
      <text>
        <r>
          <rPr>
            <sz val="10"/>
            <rFont val="Arial"/>
            <family val="2"/>
          </rPr>
          <t xml:space="preserve">Aratdar: outgoing price (what fariya/buyer pays). Bepari/Retailer: own sale price. K = not sold today, D = declined.</t>
        </r>
      </text>
    </comment>
    <comment ref="I4" authorId="0">
      <text>
        <r>
          <rPr>
            <sz val="10"/>
            <rFont val="Arial"/>
            <family val="2"/>
          </rPr>
          <t xml:space="preserve">Unit of BOTH raw prices AND raw quantity in this row (maund or kg).</t>
        </r>
      </text>
    </comment>
    <comment ref="L4" authorId="0">
      <text>
        <r>
          <rPr>
            <sz val="10"/>
            <rFont val="Arial"/>
            <family val="2"/>
          </rPr>
          <t xml:space="preserve">Usual quantity handled of this species, as quoted.</t>
        </r>
      </text>
    </comment>
    <comment ref="O4" authorId="0">
      <text>
        <r>
          <rPr>
            <sz val="10"/>
            <rFont val="Arial"/>
            <family val="2"/>
          </rPr>
          <t xml:space="preserve">Same code as the linked counterparty row (buyer-seller match).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Yes = ticked species on Form C; No = species shown but not bought today.</t>
        </r>
      </text>
    </comment>
    <comment ref="G4" authorId="0">
      <text>
        <r>
          <rPr>
            <sz val="10"/>
            <rFont val="Arial"/>
            <family val="2"/>
          </rPr>
          <t xml:space="preserve">Price paid per kg or per maund as the buyer stated it; pick the unit in the next column.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Item 2: e.g. '6:00-14:00'.</t>
        </r>
      </text>
    </comment>
    <comment ref="G4" authorId="0">
      <text>
        <r>
          <rPr>
            <sz val="10"/>
            <rFont val="Arial"/>
            <family val="2"/>
          </rPr>
          <t xml:space="preserve">Item 3: approximate retail stall/van count (verbal count is acceptable - note it in Evidence_source_note).</t>
        </r>
      </text>
    </comment>
    <comment ref="M4" authorId="0">
      <text>
        <r>
          <rPr>
            <sz val="10"/>
            <rFont val="Arial"/>
            <family val="2"/>
          </rPr>
          <t xml:space="preserve">Item 9: nearby ice factory/tank; give distance in Ice_distance_note.</t>
        </r>
      </text>
    </comment>
    <comment ref="Q4" authorId="0">
      <text>
        <r>
          <rPr>
            <sz val="10"/>
            <rFont val="Arial"/>
            <family val="2"/>
          </rPr>
          <t xml:space="preserve">Item 12: who collects aratdar fees/committee toll; give rate in Fee_rate_note.</t>
        </r>
      </text>
    </comment>
    <comment ref="U4" authorId="0">
      <text>
        <r>
          <rPr>
            <sz val="10"/>
            <rFont val="Arial"/>
            <family val="2"/>
          </rPr>
          <t xml:space="preserve">Mark each item Direct_observation or Verbal (committee/elder shopkeeper); add GPS + 2-3 photos per visit.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Any species on display (40-50 possible per visit), spelled as spoken; no code needed.</t>
        </r>
      </text>
    </comment>
    <comment ref="G4" authorId="0">
      <text>
        <r>
          <rPr>
            <sz val="10"/>
            <rFont val="Arial"/>
            <family val="2"/>
          </rPr>
          <t xml:space="preserve">Displayed or spoken asking price as seen on the tag.</t>
        </r>
      </text>
    </comment>
  </commentList>
</comments>
</file>

<file path=xl/sharedStrings.xml><?xml version="1.0" encoding="utf-8"?>
<sst xmlns="http://schemas.openxmlformats.org/spreadsheetml/2006/main" count="1234" uniqueCount="968">
  <si>
    <t xml:space="preserve">Marine Fish Marketing Survey - Data Entry Workbook</t>
  </si>
  <si>
    <t xml:space="preserve">MS-499 term paper - marketing system of commercially important marine fish species, Chattogram region. Fill only YELLOW cells; BLUE columns calculate themselves; GREY cells are prefilled codes.</t>
  </si>
  <si>
    <t xml:space="preserve">1. Sheet map</t>
  </si>
  <si>
    <t xml:space="preserve">Progress_Dashboard</t>
  </si>
  <si>
    <t xml:space="preserve">Collected vs target counts per market and actor class - updates by itself, never type here.</t>
  </si>
  <si>
    <t xml:space="preserve">Data_Collection_Log</t>
  </si>
  <si>
    <t xml:space="preserve">One row per field visit: date, market, collector, session, reference-day flag, interviews done.</t>
  </si>
  <si>
    <t xml:space="preserve">Unit_Converter</t>
  </si>
  <si>
    <t xml:space="preserve">Type a maund value and read kilograms (and the reverse) using 1 maund = 37.32 kg.</t>
  </si>
  <si>
    <t xml:space="preserve">Codebook_Species / Codebook_Markets</t>
  </si>
  <si>
    <t xml:space="preserve">Official codes S01-S10 and M1-M6. Use codes everywhere; keep these sheets unchanged.</t>
  </si>
  <si>
    <t xml:space="preserve">Form_A_Aratdar / Form_B_Bepari_Faria / Form_R_Khuchra</t>
  </si>
  <si>
    <t xml:space="preserve">Trader questionnaires - one respondent per row, IDs already assigned (M1-A-01 ... M6-C-06).</t>
  </si>
  <si>
    <t xml:space="preserve">Form_C_Consumer</t>
  </si>
  <si>
    <t xml:space="preserve">Exit-intercept consumer slips - one respondent per row.</t>
  </si>
  <si>
    <t xml:space="preserve">Price_Observations</t>
  </si>
  <si>
    <t xml:space="preserve">CORE dataset: one row per respondent x species quote (buy and sell price, quantity). This sheet feeds the R analysis.</t>
  </si>
  <si>
    <t xml:space="preserve">Consumer_Purchases_Focal / Consumer_Other_Fish</t>
  </si>
  <si>
    <t xml:space="preserve">Form C species grid and 'any other fish bought' answers, long format.</t>
  </si>
  <si>
    <t xml:space="preserve">Form_M_Market_Observation</t>
  </si>
  <si>
    <t xml:space="preserve">One row per market - the 12-item infrastructure checklist with evidence source.</t>
  </si>
  <si>
    <t xml:space="preserve">Tag_Price_Sheet</t>
  </si>
  <si>
    <t xml:space="preserve">Optional displayed-price log (appendix only, not used in hypothesis tests).</t>
  </si>
  <si>
    <t xml:space="preserve">QC_Check</t>
  </si>
  <si>
    <t xml:space="preserve">Automatic quality flags: duplicates, % sums, missing units, PairID linkage. Review after every entry session.</t>
  </si>
  <si>
    <t xml:space="preserve">2. Price-cell flags (all price columns)</t>
  </si>
  <si>
    <t xml:space="preserve">Number (e.g. 850)</t>
  </si>
  <si>
    <t xml:space="preserve">BDT price under today's fresh, ice-touched, whole-fish condition.</t>
  </si>
  <si>
    <t xml:space="preserve">K</t>
  </si>
  <si>
    <t xml:space="preserve">Respondent did not handle this species today.</t>
  </si>
  <si>
    <t xml:space="preserve">D</t>
  </si>
  <si>
    <t xml:space="preserve">Respondent declined to disclose the price.</t>
  </si>
  <si>
    <t xml:space="preserve">0 and '-'</t>
  </si>
  <si>
    <t xml:space="preserve">0 = true zero (rare); '-' = not applicable. Never leave a species cell empty.</t>
  </si>
  <si>
    <t xml:space="preserve">3. Units, IDs and percentages</t>
  </si>
  <si>
    <t xml:space="preserve">Units</t>
  </si>
  <si>
    <t xml:space="preserve">Enter the price exactly as quoted (Raw) and pick the unit. Traders usually quote per MAUND (1 maund = 37.32 kg), consumers per KG. The BLUE BDT_per_kg columns convert automatically - do not type in them.</t>
  </si>
  <si>
    <t xml:space="preserve">Respondent_ID</t>
  </si>
  <si>
    <t xml:space="preserve">Prefilled: {Market}-{Actor}-{Serial}, e.g. M1-A-01, M2-B-05, M3-R-12, M4-C-03. Actor codes: A = aratdar, B = bepari/faria, R = khuchra retailer, C = consumer.</t>
  </si>
  <si>
    <t xml:space="preserve">Pair_ID</t>
  </si>
  <si>
    <t xml:space="preserve">When a buyer and the matching seller are BOTH interviewed, write the same Pair_ID (e.g. PAIR-001) on both rows. Used for the Wilcoxon signed-rank consistency check.</t>
  </si>
  <si>
    <t xml:space="preserve">Percent columns</t>
  </si>
  <si>
    <t xml:space="preserve">Enter plain numbers 0-100 (70 means 70%). Cash + MFS + Credit should sum to 100 - QC_Check flags mismatches.</t>
  </si>
  <si>
    <t xml:space="preserve">4. Example entries (illustrations only - do not paste)</t>
  </si>
  <si>
    <t xml:space="preserve">Form_A row:</t>
  </si>
  <si>
    <t xml:space="preserve">M1-A-01 | M1 | 05/03/2026 | age 46 | Secondary | 18 yrs business | 12 Maund/day | family 6 | rent: Pay, 48000 Yearly | commission: 2.5 Percent | waste 500 Monthly | 6 workers x 700 BDT | storage 2500 Yearly | payment 85 / 10 / 5 | MFS: Regular | problems: ice price, toll, unsold loss</t>
  </si>
  <si>
    <t xml:space="preserve">Price_Observations rows:</t>
  </si>
  <si>
    <t xml:space="preserve">PO-0001 | M1-A-01 | M1 | Aratdar | S01 | buy 32000 Maund, sell 33500 Maund -&gt; auto 857.45 / 897.64 BDT/kg | qty 8 Maund
PO-0002 | M3-R-04 | M3 | Retailer | S06 | buy 240 Kg, sell K (no sale today) | qty 15 Kg</t>
  </si>
  <si>
    <t xml:space="preserve">Version 2026-08 | Built for the Methodology V4 instrument battery (Forms A, B, R, M, C + optional tag-price sheet).</t>
  </si>
  <si>
    <t xml:space="preserve">সংস্করণ ২ (আপডেট) — ফর্ম-নির্ভুল পরিবর্তন</t>
  </si>
  <si>
    <t xml:space="preserve">Form_A: বিদ্যুৎ বিল (Electricity_bill_BDT) ও যন্ত্রাংশ/কুল রক্ষণাবেক্ষণ (Equipment_Cooler_Maintenance_BDT) কলাম সঠিক নামে ঠিক করা হয়েছে।</t>
  </si>
  <si>
    <t xml:space="preserve">Form_B: দৈনিক হ্যান্ডেল (কেজি/দিন) কলাম যোগ হয়েছে (আগে বাদ ছিল); লোডিং+আনলোডিং খরচ একটি কলামে মেশানো হয়েছে; পরিবহন ভাড়া এখন "প্রতি ট্রিপ" ভিত্তিতে + ট্রিপের হার (প্রতি কত দিনে কয় ট্রিপ); Transport_mode কলাম বাদ দেওয়া হয়েছে (মূল ফর্মে নেই)।</t>
  </si>
  <si>
    <t xml:space="preserve">Form_R: দোকান ভাড়া/বরফ/ধোয়া-পানি খরচ এখন প্রতি-দিন (BDT/day) ভিত্তিতে, আগে ভুলবশত মাসিক ছিল।</t>
  </si>
  <si>
    <t xml:space="preserve">Form_C: পেমেন্ট মেথড ও বাজার-পছন্দের কারণের অপশন তালিকা মূল ফর্মের সাথে হুবহু মেলানো হয়েছে (নগদ/বিকাশ/নগদ-অ্যাপ/বাকি; দাম/বৈচিত্র্য/নৈকট্য/বিশুদ্ধতা/পরিচিত দোকান)।</t>
  </si>
  <si>
    <t xml:space="preserve">Consumer_Purchases_Focal ও Price_Observations: বিক্রেতা/actor তালিকা মূল ফর্মের ভাষার সাথে মেলানো হয়েছে (খুচরা/ফেরিওয়ালা; Khuchra)।</t>
  </si>
  <si>
    <t xml:space="preserve">Progress_Dashboard ও QC_Check-এর সূত্র নতুন কলাম-অবস্থান অনুযায়ী আপডেট করা হয়েছে — কিছু হাতে ঠিক করার দরকার নেই।</t>
  </si>
  <si>
    <t xml:space="preserve">Field Progress Dashboard - target 120 respondents across 6 markets</t>
  </si>
  <si>
    <t xml:space="preserve">Counts update automatically from the Interview_Date column of each form sheet. Never type in this sheet.</t>
  </si>
  <si>
    <t xml:space="preserve">Market</t>
  </si>
  <si>
    <t xml:space="preserve">Aratdar (5)</t>
  </si>
  <si>
    <t xml:space="preserve">Bepari/Faria (5)</t>
  </si>
  <si>
    <t xml:space="preserve">Retailer (5)</t>
  </si>
  <si>
    <t xml:space="preserve">Consumer (5)</t>
  </si>
  <si>
    <t xml:space="preserve">Market total (20)</t>
  </si>
  <si>
    <t xml:space="preserve">Form M done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</si>
  <si>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</si>
  <si>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</si>
  <si>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</si>
  <si>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</si>
  <si>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</si>
  <si>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</si>
  <si>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TOTAL</t>
  </si>
  <si>
    <t xml:space="preserve">Dataset progress</t>
  </si>
  <si>
    <t xml:space="preserve">Interviews entered (of 120)</t>
  </si>
  <si>
    <t xml:space="preserve">Target reached (%)</t>
  </si>
  <si>
    <t xml:space="preserve">Price_Observations rows entered</t>
  </si>
  <si>
    <t xml:space="preserve">  of which Aratdar quotes</t>
  </si>
  <si>
    <t xml:space="preserve">  of which Bepari/Faria quotes</t>
  </si>
  <si>
    <t xml:space="preserve">  of which Retailer quotes</t>
  </si>
  <si>
    <t xml:space="preserve">Consumer_Purchases_Focal rows entered</t>
  </si>
  <si>
    <t xml:space="preserve">Consumer_Other_Fish rows entered</t>
  </si>
  <si>
    <t xml:space="preserve">Tag_Price_Sheet rows entered (optional)</t>
  </si>
  <si>
    <t xml:space="preserve">Data_Collection_Log days used</t>
  </si>
  <si>
    <t xml:space="preserve">Quota per market: 5 aratdar + 5 bepari/faria + 5 khuchra retailers + 5 consumers (Methodology Table 3.3).</t>
  </si>
  <si>
    <t xml:space="preserve">Data Collection Log - one row per field visit</t>
  </si>
  <si>
    <t xml:space="preserve">Date</t>
  </si>
  <si>
    <t xml:space="preserve">Weekday</t>
  </si>
  <si>
    <t xml:space="preserve">Collector_name</t>
  </si>
  <si>
    <t xml:space="preserve">Session_start</t>
  </si>
  <si>
    <t xml:space="preserve">Session_end</t>
  </si>
  <si>
    <t xml:space="preserve">Ref_day_prices_used</t>
  </si>
  <si>
    <t xml:space="preserve">Traders_interviewed</t>
  </si>
  <si>
    <t xml:space="preserve">Consumers_interviewed</t>
  </si>
  <si>
    <t xml:space="preserve">Weather_notes</t>
  </si>
  <si>
    <t xml:space="preserve">Notes</t>
  </si>
  <si>
    <t xml:space="preserve">Maund - Kilogram Converter</t>
  </si>
  <si>
    <t xml:space="preserve">1 maund = 37.32 kilograms (official conversion used throughout this study)</t>
  </si>
  <si>
    <t xml:space="preserve">Maunds -&gt; kilograms</t>
  </si>
  <si>
    <t xml:space="preserve">Type maund value here</t>
  </si>
  <si>
    <t xml:space="preserve">Result - kilograms</t>
  </si>
  <si>
    <t xml:space="preserve">Kilograms -&gt; maunds</t>
  </si>
  <si>
    <t xml:space="preserve">Type kg value here</t>
  </si>
  <si>
    <t xml:space="preserve">Result - maunds</t>
  </si>
  <si>
    <t xml:space="preserve">Reminder - price flags</t>
  </si>
  <si>
    <t xml:space="preserve">Species not handled by the respondent today.</t>
  </si>
  <si>
    <t xml:space="preserve">Price declined - keep the row, the flag itself is information.</t>
  </si>
  <si>
    <t xml:space="preserve">0 / '-'</t>
  </si>
  <si>
    <t xml:space="preserve">True zero / not applicable. Empty cells are not allowed in species grids.</t>
  </si>
  <si>
    <t xml:space="preserve">Conversion</t>
  </si>
  <si>
    <t xml:space="preserve">Blue BDT_per_kg columns convert maund quotes automatically - never type over them.</t>
  </si>
  <si>
    <t xml:space="preserve">Species Codebook (Methodology Table 3.4)</t>
  </si>
  <si>
    <t xml:space="preserve">Code</t>
  </si>
  <si>
    <t xml:space="preserve">Local_name</t>
  </si>
  <si>
    <t xml:space="preserve">English_common_name</t>
  </si>
  <si>
    <t xml:space="preserve">Scientific_name</t>
  </si>
  <si>
    <t xml:space="preserve">Price_tier</t>
  </si>
  <si>
    <t xml:space="preserve">S01</t>
  </si>
  <si>
    <t xml:space="preserve">Ilish</t>
  </si>
  <si>
    <t xml:space="preserve">Hilsa shad</t>
  </si>
  <si>
    <t xml:space="preserve">Tenualosa ilisha</t>
  </si>
  <si>
    <t xml:space="preserve">High</t>
  </si>
  <si>
    <t xml:space="preserve">S02</t>
  </si>
  <si>
    <t xml:space="preserve">Rupchanda</t>
  </si>
  <si>
    <t xml:space="preserve">Silver pomfret</t>
  </si>
  <si>
    <t xml:space="preserve">Pampus argenteus</t>
  </si>
  <si>
    <t xml:space="preserve">S03</t>
  </si>
  <si>
    <t xml:space="preserve">Lakkha</t>
  </si>
  <si>
    <t xml:space="preserve">Indian salmon (four-finger threadfin)</t>
  </si>
  <si>
    <t xml:space="preserve">Eleutheronema tetradactylum</t>
  </si>
  <si>
    <t xml:space="preserve">S04</t>
  </si>
  <si>
    <t xml:space="preserve">Koral/Kurl</t>
  </si>
  <si>
    <t xml:space="preserve">Asian sea bass</t>
  </si>
  <si>
    <t xml:space="preserve">Lates calcarifer</t>
  </si>
  <si>
    <t xml:space="preserve">S05</t>
  </si>
  <si>
    <t xml:space="preserve">Surma</t>
  </si>
  <si>
    <t xml:space="preserve">Indian mackerel</t>
  </si>
  <si>
    <t xml:space="preserve">Rastrelliger kanagurta</t>
  </si>
  <si>
    <t xml:space="preserve">Medium</t>
  </si>
  <si>
    <t xml:space="preserve">S06</t>
  </si>
  <si>
    <t xml:space="preserve">Churi</t>
  </si>
  <si>
    <t xml:space="preserve">Largehead ribbonfish</t>
  </si>
  <si>
    <t xml:space="preserve">Trichiurus lepturus</t>
  </si>
  <si>
    <t xml:space="preserve">S07</t>
  </si>
  <si>
    <t xml:space="preserve">Poa</t>
  </si>
  <si>
    <t xml:space="preserve">Pama croaker</t>
  </si>
  <si>
    <t xml:space="preserve">Otolithoides pama</t>
  </si>
  <si>
    <t xml:space="preserve">S08</t>
  </si>
  <si>
    <t xml:space="preserve">Kankoita</t>
  </si>
  <si>
    <t xml:space="preserve">Thorny/Indian anchovy</t>
  </si>
  <si>
    <t xml:space="preserve">Stolephorus indicus</t>
  </si>
  <si>
    <t xml:space="preserve">Low-volume</t>
  </si>
  <si>
    <t xml:space="preserve">S09</t>
  </si>
  <si>
    <t xml:space="preserve">Loitta</t>
  </si>
  <si>
    <t xml:space="preserve">Bombay duck</t>
  </si>
  <si>
    <t xml:space="preserve">Harpadon nehereus</t>
  </si>
  <si>
    <t xml:space="preserve">Low</t>
  </si>
  <si>
    <t xml:space="preserve">S10</t>
  </si>
  <si>
    <t xml:space="preserve">Harina</t>
  </si>
  <si>
    <t xml:space="preserve">Chacunda gizzard shad</t>
  </si>
  <si>
    <t xml:space="preserve">Anodontostoma chacunda</t>
  </si>
  <si>
    <t xml:space="preserve">Market Codebook (Methodology Table 3.1)</t>
  </si>
  <si>
    <t xml:space="preserve">Market_name</t>
  </si>
  <si>
    <t xml:space="preserve">Channel_position</t>
  </si>
  <si>
    <t xml:space="preserve">Primary_analytical_contribution</t>
  </si>
  <si>
    <t xml:space="preserve">Fishery Ghat</t>
  </si>
  <si>
    <t xml:space="preserve">Landing-linked wholesale-cum-retail</t>
  </si>
  <si>
    <t xml:space="preserve">First-sale (producer-side) price observations</t>
  </si>
  <si>
    <t xml:space="preserve">Chawkbazar</t>
  </si>
  <si>
    <t xml:space="preserve">Retail</t>
  </si>
  <si>
    <t xml:space="preserve">Retail prices and trade volume quotes</t>
  </si>
  <si>
    <t xml:space="preserve">Kazir Dewri</t>
  </si>
  <si>
    <t xml:space="preserve">Retail prices and vendor practices</t>
  </si>
  <si>
    <t xml:space="preserve">Karnaphuli Complex</t>
  </si>
  <si>
    <t xml:space="preserve">Retail prices; comparability with the 2019 baseline</t>
  </si>
  <si>
    <t xml:space="preserve">Bahaddarhat</t>
  </si>
  <si>
    <t xml:space="preserve">Newer-generation retail turnover</t>
  </si>
  <si>
    <t xml:space="preserve">Patenga</t>
  </si>
  <si>
    <t xml:space="preserve">Landing-linked retail</t>
  </si>
  <si>
    <t xml:space="preserve">Coast-side buy prices supporting producer-share estimation</t>
  </si>
  <si>
    <t xml:space="preserve">Form A - Aratdar Questionnaire (one respondent per row)</t>
  </si>
  <si>
    <t xml:space="preserve">Interview_Date</t>
  </si>
  <si>
    <t xml:space="preserve">Age_years</t>
  </si>
  <si>
    <t xml:space="preserve">Education</t>
  </si>
  <si>
    <t xml:space="preserve">Years_in_business</t>
  </si>
  <si>
    <t xml:space="preserve">Daily_capacity_raw</t>
  </si>
  <si>
    <t xml:space="preserve">Daily_capacity_unit</t>
  </si>
  <si>
    <t xml:space="preserve">Daily_capacity_kg</t>
  </si>
  <si>
    <t xml:space="preserve">Family_members</t>
  </si>
  <si>
    <t xml:space="preserve">Rent_pay_or_receive</t>
  </si>
  <si>
    <t xml:space="preserve">Rent_amount_BDT</t>
  </si>
  <si>
    <t xml:space="preserve">Rent_frequency</t>
  </si>
  <si>
    <t xml:space="preserve">Commission_basis</t>
  </si>
  <si>
    <t xml:space="preserve">Commission_rate</t>
  </si>
  <si>
    <t xml:space="preserve">Electricity_bill_BDT</t>
  </si>
  <si>
    <t xml:space="preserve">Electricity_frequency</t>
  </si>
  <si>
    <t xml:space="preserve">Workers_count</t>
  </si>
  <si>
    <t xml:space="preserve">Worker_daily_wage_BDT</t>
  </si>
  <si>
    <t xml:space="preserve">Equipment_Cooler_Maintenance_BDT</t>
  </si>
  <si>
    <t xml:space="preserve">Equipment_Cooler_Maintenance_frequency</t>
  </si>
  <si>
    <t xml:space="preserve">Other_cost_description</t>
  </si>
  <si>
    <t xml:space="preserve">Other_cost_BDT</t>
  </si>
  <si>
    <t xml:space="preserve">Payment_cash_pct</t>
  </si>
  <si>
    <t xml:space="preserve">Payment_MFS_pct</t>
  </si>
  <si>
    <t xml:space="preserve">Payment_credit_pct</t>
  </si>
  <si>
    <t xml:space="preserve">MFS_transaction_frequency</t>
  </si>
  <si>
    <t xml:space="preserve">Problem_1</t>
  </si>
  <si>
    <t xml:space="preserve">Problem_2</t>
  </si>
  <si>
    <t xml:space="preserve">Problem_3</t>
  </si>
  <si>
    <t xml:space="preserve">M1-A-01</t>
  </si>
  <si>
    <t xml:space="preserve">M1-A-02</t>
  </si>
  <si>
    <t xml:space="preserve">M1-A-03</t>
  </si>
  <si>
    <t xml:space="preserve">M1-A-04</t>
  </si>
  <si>
    <t xml:space="preserve">M1-A-05</t>
  </si>
  <si>
    <t xml:space="preserve">M1-A-06</t>
  </si>
  <si>
    <t xml:space="preserve">M2-A-01</t>
  </si>
  <si>
    <t xml:space="preserve">M2-A-02</t>
  </si>
  <si>
    <t xml:space="preserve">M2-A-03</t>
  </si>
  <si>
    <t xml:space="preserve">M2-A-04</t>
  </si>
  <si>
    <t xml:space="preserve">M2-A-05</t>
  </si>
  <si>
    <t xml:space="preserve">M2-A-06</t>
  </si>
  <si>
    <t xml:space="preserve">M3-A-01</t>
  </si>
  <si>
    <t xml:space="preserve">M3-A-02</t>
  </si>
  <si>
    <t xml:space="preserve">M3-A-03</t>
  </si>
  <si>
    <t xml:space="preserve">M3-A-04</t>
  </si>
  <si>
    <t xml:space="preserve">M3-A-05</t>
  </si>
  <si>
    <t xml:space="preserve">M3-A-06</t>
  </si>
  <si>
    <t xml:space="preserve">M4-A-01</t>
  </si>
  <si>
    <t xml:space="preserve">M4-A-02</t>
  </si>
  <si>
    <t xml:space="preserve">M4-A-03</t>
  </si>
  <si>
    <t xml:space="preserve">M4-A-04</t>
  </si>
  <si>
    <t xml:space="preserve">M4-A-05</t>
  </si>
  <si>
    <t xml:space="preserve">M4-A-06</t>
  </si>
  <si>
    <t xml:space="preserve">M5-A-01</t>
  </si>
  <si>
    <t xml:space="preserve">M5-A-02</t>
  </si>
  <si>
    <t xml:space="preserve">M5-A-03</t>
  </si>
  <si>
    <t xml:space="preserve">M5-A-04</t>
  </si>
  <si>
    <t xml:space="preserve">M5-A-05</t>
  </si>
  <si>
    <t xml:space="preserve">M5-A-06</t>
  </si>
  <si>
    <t xml:space="preserve">M6-A-01</t>
  </si>
  <si>
    <t xml:space="preserve">M6-A-02</t>
  </si>
  <si>
    <t xml:space="preserve">M6-A-03</t>
  </si>
  <si>
    <t xml:space="preserve">M6-A-04</t>
  </si>
  <si>
    <t xml:space="preserve">M6-A-05</t>
  </si>
  <si>
    <t xml:space="preserve">M6-A-06</t>
  </si>
  <si>
    <t xml:space="preserve">Form B - Bepari/Faria Questionnaire (one respondent per row)</t>
  </si>
  <si>
    <t xml:space="preserve">Actor_subtype</t>
  </si>
  <si>
    <t xml:space="preserve">Business_pattern</t>
  </si>
  <si>
    <t xml:space="preserve">Source_location</t>
  </si>
  <si>
    <t xml:space="preserve">Supplier_category</t>
  </si>
  <si>
    <t xml:space="preserve">Transport_fare_per_trip_BDT</t>
  </si>
  <si>
    <t xml:space="preserve">Trip_frequency_days</t>
  </si>
  <si>
    <t xml:space="preserve">Trips_per_period</t>
  </si>
  <si>
    <t xml:space="preserve">Loading_Unloading_cost_per_trip_BDT</t>
  </si>
  <si>
    <t xml:space="preserve">Ice_usage_kg_per_day</t>
  </si>
  <si>
    <t xml:space="preserve">Ice_cost_BDT_per_day</t>
  </si>
  <si>
    <t xml:space="preserve">Commission_to_aratdar_value</t>
  </si>
  <si>
    <t xml:space="preserve">Commission_unit</t>
  </si>
  <si>
    <t xml:space="preserve">Transit_damage_pct</t>
  </si>
  <si>
    <t xml:space="preserve">Credit_sales_share</t>
  </si>
  <si>
    <t xml:space="preserve">M1-B-01</t>
  </si>
  <si>
    <t xml:space="preserve">M1-B-02</t>
  </si>
  <si>
    <t xml:space="preserve">M1-B-03</t>
  </si>
  <si>
    <t xml:space="preserve">M1-B-04</t>
  </si>
  <si>
    <t xml:space="preserve">M1-B-05</t>
  </si>
  <si>
    <t xml:space="preserve">M1-B-06</t>
  </si>
  <si>
    <t xml:space="preserve">M2-B-01</t>
  </si>
  <si>
    <t xml:space="preserve">M2-B-02</t>
  </si>
  <si>
    <t xml:space="preserve">M2-B-03</t>
  </si>
  <si>
    <t xml:space="preserve">M2-B-04</t>
  </si>
  <si>
    <t xml:space="preserve">M2-B-05</t>
  </si>
  <si>
    <t xml:space="preserve">M2-B-06</t>
  </si>
  <si>
    <t xml:space="preserve">M3-B-01</t>
  </si>
  <si>
    <t xml:space="preserve">M3-B-02</t>
  </si>
  <si>
    <t xml:space="preserve">M3-B-03</t>
  </si>
  <si>
    <t xml:space="preserve">M3-B-04</t>
  </si>
  <si>
    <t xml:space="preserve">M3-B-05</t>
  </si>
  <si>
    <t xml:space="preserve">M3-B-06</t>
  </si>
  <si>
    <t xml:space="preserve">M4-B-01</t>
  </si>
  <si>
    <t xml:space="preserve">M4-B-02</t>
  </si>
  <si>
    <t xml:space="preserve">M4-B-03</t>
  </si>
  <si>
    <t xml:space="preserve">M4-B-04</t>
  </si>
  <si>
    <t xml:space="preserve">M4-B-05</t>
  </si>
  <si>
    <t xml:space="preserve">M4-B-06</t>
  </si>
  <si>
    <t xml:space="preserve">M5-B-01</t>
  </si>
  <si>
    <t xml:space="preserve">M5-B-02</t>
  </si>
  <si>
    <t xml:space="preserve">M5-B-03</t>
  </si>
  <si>
    <t xml:space="preserve">M5-B-04</t>
  </si>
  <si>
    <t xml:space="preserve">M5-B-05</t>
  </si>
  <si>
    <t xml:space="preserve">M5-B-06</t>
  </si>
  <si>
    <t xml:space="preserve">M6-B-01</t>
  </si>
  <si>
    <t xml:space="preserve">M6-B-02</t>
  </si>
  <si>
    <t xml:space="preserve">M6-B-03</t>
  </si>
  <si>
    <t xml:space="preserve">M6-B-04</t>
  </si>
  <si>
    <t xml:space="preserve">M6-B-05</t>
  </si>
  <si>
    <t xml:space="preserve">M6-B-06</t>
  </si>
  <si>
    <t xml:space="preserve">Form R - Khuchra (Retail) Vendor Questionnaire (one respondent per row)</t>
  </si>
  <si>
    <t xml:space="preserve">Shop_Van_Rent_BDT_per_day</t>
  </si>
  <si>
    <t xml:space="preserve">Wash_Water_Other_cost_BDT_per_day</t>
  </si>
  <si>
    <t xml:space="preserve">Spoilage_pct</t>
  </si>
  <si>
    <t xml:space="preserve">Buys_from</t>
  </si>
  <si>
    <t xml:space="preserve">Sells_to</t>
  </si>
  <si>
    <t xml:space="preserve">Sells_on_credit</t>
  </si>
  <si>
    <t xml:space="preserve">M1-R-01</t>
  </si>
  <si>
    <t xml:space="preserve">M1-R-02</t>
  </si>
  <si>
    <t xml:space="preserve">M1-R-03</t>
  </si>
  <si>
    <t xml:space="preserve">M1-R-04</t>
  </si>
  <si>
    <t xml:space="preserve">M1-R-05</t>
  </si>
  <si>
    <t xml:space="preserve">M1-R-06</t>
  </si>
  <si>
    <t xml:space="preserve">M2-R-01</t>
  </si>
  <si>
    <t xml:space="preserve">M2-R-02</t>
  </si>
  <si>
    <t xml:space="preserve">M2-R-03</t>
  </si>
  <si>
    <t xml:space="preserve">M2-R-04</t>
  </si>
  <si>
    <t xml:space="preserve">M2-R-05</t>
  </si>
  <si>
    <t xml:space="preserve">M2-R-06</t>
  </si>
  <si>
    <t xml:space="preserve">M3-R-01</t>
  </si>
  <si>
    <t xml:space="preserve">M3-R-02</t>
  </si>
  <si>
    <t xml:space="preserve">M3-R-03</t>
  </si>
  <si>
    <t xml:space="preserve">M3-R-04</t>
  </si>
  <si>
    <t xml:space="preserve">M3-R-05</t>
  </si>
  <si>
    <t xml:space="preserve">M3-R-06</t>
  </si>
  <si>
    <t xml:space="preserve">M4-R-01</t>
  </si>
  <si>
    <t xml:space="preserve">M4-R-02</t>
  </si>
  <si>
    <t xml:space="preserve">M4-R-03</t>
  </si>
  <si>
    <t xml:space="preserve">M4-R-04</t>
  </si>
  <si>
    <t xml:space="preserve">M4-R-05</t>
  </si>
  <si>
    <t xml:space="preserve">M4-R-06</t>
  </si>
  <si>
    <t xml:space="preserve">M5-R-01</t>
  </si>
  <si>
    <t xml:space="preserve">M5-R-02</t>
  </si>
  <si>
    <t xml:space="preserve">M5-R-03</t>
  </si>
  <si>
    <t xml:space="preserve">M5-R-04</t>
  </si>
  <si>
    <t xml:space="preserve">M5-R-05</t>
  </si>
  <si>
    <t xml:space="preserve">M5-R-06</t>
  </si>
  <si>
    <t xml:space="preserve">M6-R-01</t>
  </si>
  <si>
    <t xml:space="preserve">M6-R-02</t>
  </si>
  <si>
    <t xml:space="preserve">M6-R-03</t>
  </si>
  <si>
    <t xml:space="preserve">M6-R-04</t>
  </si>
  <si>
    <t xml:space="preserve">M6-R-05</t>
  </si>
  <si>
    <t xml:space="preserve">M6-R-06</t>
  </si>
  <si>
    <t xml:space="preserve">Form C - Fish Buyer Exit Slip (one respondent per row)</t>
  </si>
  <si>
    <t xml:space="preserve">Interview_time</t>
  </si>
  <si>
    <t xml:space="preserve">Consent_given</t>
  </si>
  <si>
    <t xml:space="preserve">Visit_frequency</t>
  </si>
  <si>
    <t xml:space="preserve">Visit_interval_days</t>
  </si>
  <si>
    <t xml:space="preserve">Payment_method</t>
  </si>
  <si>
    <t xml:space="preserve">Main_reason_choosing_arat</t>
  </si>
  <si>
    <t xml:space="preserve">M1-C-01</t>
  </si>
  <si>
    <t xml:space="preserve">M1-C-02</t>
  </si>
  <si>
    <t xml:space="preserve">M1-C-03</t>
  </si>
  <si>
    <t xml:space="preserve">M1-C-04</t>
  </si>
  <si>
    <t xml:space="preserve">M1-C-05</t>
  </si>
  <si>
    <t xml:space="preserve">M1-C-06</t>
  </si>
  <si>
    <t xml:space="preserve">M2-C-01</t>
  </si>
  <si>
    <t xml:space="preserve">M2-C-02</t>
  </si>
  <si>
    <t xml:space="preserve">M2-C-03</t>
  </si>
  <si>
    <t xml:space="preserve">M2-C-04</t>
  </si>
  <si>
    <t xml:space="preserve">M2-C-05</t>
  </si>
  <si>
    <t xml:space="preserve">M2-C-06</t>
  </si>
  <si>
    <t xml:space="preserve">M3-C-01</t>
  </si>
  <si>
    <t xml:space="preserve">M3-C-02</t>
  </si>
  <si>
    <t xml:space="preserve">M3-C-03</t>
  </si>
  <si>
    <t xml:space="preserve">M3-C-04</t>
  </si>
  <si>
    <t xml:space="preserve">M3-C-05</t>
  </si>
  <si>
    <t xml:space="preserve">M3-C-06</t>
  </si>
  <si>
    <t xml:space="preserve">M4-C-01</t>
  </si>
  <si>
    <t xml:space="preserve">M4-C-02</t>
  </si>
  <si>
    <t xml:space="preserve">M4-C-03</t>
  </si>
  <si>
    <t xml:space="preserve">M4-C-04</t>
  </si>
  <si>
    <t xml:space="preserve">M4-C-05</t>
  </si>
  <si>
    <t xml:space="preserve">M4-C-06</t>
  </si>
  <si>
    <t xml:space="preserve">M5-C-01</t>
  </si>
  <si>
    <t xml:space="preserve">M5-C-02</t>
  </si>
  <si>
    <t xml:space="preserve">M5-C-03</t>
  </si>
  <si>
    <t xml:space="preserve">M5-C-04</t>
  </si>
  <si>
    <t xml:space="preserve">M5-C-05</t>
  </si>
  <si>
    <t xml:space="preserve">M5-C-06</t>
  </si>
  <si>
    <t xml:space="preserve">M6-C-01</t>
  </si>
  <si>
    <t xml:space="preserve">M6-C-02</t>
  </si>
  <si>
    <t xml:space="preserve">M6-C-03</t>
  </si>
  <si>
    <t xml:space="preserve">M6-C-04</t>
  </si>
  <si>
    <t xml:space="preserve">M6-C-05</t>
  </si>
  <si>
    <t xml:space="preserve">M6-C-06</t>
  </si>
  <si>
    <t xml:space="preserve">Price Observations - one row per respondent x species quote (core dataset)</t>
  </si>
  <si>
    <t xml:space="preserve">Obs_ID</t>
  </si>
  <si>
    <t xml:space="preserve">Actor_type</t>
  </si>
  <si>
    <t xml:space="preserve">Species_code</t>
  </si>
  <si>
    <t xml:space="preserve">Buy_price_raw</t>
  </si>
  <si>
    <t xml:space="preserve">Sell_price_raw</t>
  </si>
  <si>
    <t xml:space="preserve">Unit</t>
  </si>
  <si>
    <t xml:space="preserve">Buy_BDT_per_kg</t>
  </si>
  <si>
    <t xml:space="preserve">Sell_BDT_per_kg</t>
  </si>
  <si>
    <t xml:space="preserve">Quantity_raw</t>
  </si>
  <si>
    <t xml:space="preserve">Quantity_unit</t>
  </si>
  <si>
    <t xml:space="preserve">Quantity_kg</t>
  </si>
  <si>
    <t xml:space="preserve">PO-0001</t>
  </si>
  <si>
    <t xml:space="preserve">PO-0002</t>
  </si>
  <si>
    <t xml:space="preserve">PO-0003</t>
  </si>
  <si>
    <t xml:space="preserve">PO-0004</t>
  </si>
  <si>
    <t xml:space="preserve">PO-0005</t>
  </si>
  <si>
    <t xml:space="preserve">PO-0006</t>
  </si>
  <si>
    <t xml:space="preserve">PO-0007</t>
  </si>
  <si>
    <t xml:space="preserve">PO-0008</t>
  </si>
  <si>
    <t xml:space="preserve">PO-0009</t>
  </si>
  <si>
    <t xml:space="preserve">PO-0010</t>
  </si>
  <si>
    <t xml:space="preserve">PO-0011</t>
  </si>
  <si>
    <t xml:space="preserve">PO-0012</t>
  </si>
  <si>
    <t xml:space="preserve">PO-0013</t>
  </si>
  <si>
    <t xml:space="preserve">PO-0014</t>
  </si>
  <si>
    <t xml:space="preserve">PO-0015</t>
  </si>
  <si>
    <t xml:space="preserve">PO-0016</t>
  </si>
  <si>
    <t xml:space="preserve">PO-0017</t>
  </si>
  <si>
    <t xml:space="preserve">PO-0018</t>
  </si>
  <si>
    <t xml:space="preserve">PO-0019</t>
  </si>
  <si>
    <t xml:space="preserve">PO-0020</t>
  </si>
  <si>
    <t xml:space="preserve">PO-0021</t>
  </si>
  <si>
    <t xml:space="preserve">PO-0022</t>
  </si>
  <si>
    <t xml:space="preserve">PO-0023</t>
  </si>
  <si>
    <t xml:space="preserve">PO-0024</t>
  </si>
  <si>
    <t xml:space="preserve">PO-0025</t>
  </si>
  <si>
    <t xml:space="preserve">PO-0026</t>
  </si>
  <si>
    <t xml:space="preserve">PO-0027</t>
  </si>
  <si>
    <t xml:space="preserve">PO-0028</t>
  </si>
  <si>
    <t xml:space="preserve">PO-0029</t>
  </si>
  <si>
    <t xml:space="preserve">PO-0030</t>
  </si>
  <si>
    <t xml:space="preserve">PO-0031</t>
  </si>
  <si>
    <t xml:space="preserve">PO-0032</t>
  </si>
  <si>
    <t xml:space="preserve">PO-0033</t>
  </si>
  <si>
    <t xml:space="preserve">PO-0034</t>
  </si>
  <si>
    <t xml:space="preserve">PO-0035</t>
  </si>
  <si>
    <t xml:space="preserve">PO-0036</t>
  </si>
  <si>
    <t xml:space="preserve">PO-0037</t>
  </si>
  <si>
    <t xml:space="preserve">PO-0038</t>
  </si>
  <si>
    <t xml:space="preserve">PO-0039</t>
  </si>
  <si>
    <t xml:space="preserve">PO-0040</t>
  </si>
  <si>
    <t xml:space="preserve">PO-0041</t>
  </si>
  <si>
    <t xml:space="preserve">PO-0042</t>
  </si>
  <si>
    <t xml:space="preserve">PO-0043</t>
  </si>
  <si>
    <t xml:space="preserve">PO-0044</t>
  </si>
  <si>
    <t xml:space="preserve">PO-0045</t>
  </si>
  <si>
    <t xml:space="preserve">PO-0046</t>
  </si>
  <si>
    <t xml:space="preserve">PO-0047</t>
  </si>
  <si>
    <t xml:space="preserve">PO-0048</t>
  </si>
  <si>
    <t xml:space="preserve">PO-0049</t>
  </si>
  <si>
    <t xml:space="preserve">PO-0050</t>
  </si>
  <si>
    <t xml:space="preserve">PO-0051</t>
  </si>
  <si>
    <t xml:space="preserve">PO-0052</t>
  </si>
  <si>
    <t xml:space="preserve">PO-0053</t>
  </si>
  <si>
    <t xml:space="preserve">PO-0054</t>
  </si>
  <si>
    <t xml:space="preserve">PO-0055</t>
  </si>
  <si>
    <t xml:space="preserve">PO-0056</t>
  </si>
  <si>
    <t xml:space="preserve">PO-0057</t>
  </si>
  <si>
    <t xml:space="preserve">PO-0058</t>
  </si>
  <si>
    <t xml:space="preserve">PO-0059</t>
  </si>
  <si>
    <t xml:space="preserve">PO-0060</t>
  </si>
  <si>
    <t xml:space="preserve">PO-0061</t>
  </si>
  <si>
    <t xml:space="preserve">PO-0062</t>
  </si>
  <si>
    <t xml:space="preserve">PO-0063</t>
  </si>
  <si>
    <t xml:space="preserve">PO-0064</t>
  </si>
  <si>
    <t xml:space="preserve">PO-0065</t>
  </si>
  <si>
    <t xml:space="preserve">PO-0066</t>
  </si>
  <si>
    <t xml:space="preserve">PO-0067</t>
  </si>
  <si>
    <t xml:space="preserve">PO-0068</t>
  </si>
  <si>
    <t xml:space="preserve">PO-0069</t>
  </si>
  <si>
    <t xml:space="preserve">PO-0070</t>
  </si>
  <si>
    <t xml:space="preserve">PO-0071</t>
  </si>
  <si>
    <t xml:space="preserve">PO-0072</t>
  </si>
  <si>
    <t xml:space="preserve">PO-0073</t>
  </si>
  <si>
    <t xml:space="preserve">PO-0074</t>
  </si>
  <si>
    <t xml:space="preserve">PO-0075</t>
  </si>
  <si>
    <t xml:space="preserve">PO-0076</t>
  </si>
  <si>
    <t xml:space="preserve">PO-0077</t>
  </si>
  <si>
    <t xml:space="preserve">PO-0078</t>
  </si>
  <si>
    <t xml:space="preserve">PO-0079</t>
  </si>
  <si>
    <t xml:space="preserve">PO-0080</t>
  </si>
  <si>
    <t xml:space="preserve">PO-0081</t>
  </si>
  <si>
    <t xml:space="preserve">PO-0082</t>
  </si>
  <si>
    <t xml:space="preserve">PO-0083</t>
  </si>
  <si>
    <t xml:space="preserve">PO-0084</t>
  </si>
  <si>
    <t xml:space="preserve">PO-0085</t>
  </si>
  <si>
    <t xml:space="preserve">PO-0086</t>
  </si>
  <si>
    <t xml:space="preserve">PO-0087</t>
  </si>
  <si>
    <t xml:space="preserve">PO-0088</t>
  </si>
  <si>
    <t xml:space="preserve">PO-0089</t>
  </si>
  <si>
    <t xml:space="preserve">PO-0090</t>
  </si>
  <si>
    <t xml:space="preserve">PO-0091</t>
  </si>
  <si>
    <t xml:space="preserve">PO-0092</t>
  </si>
  <si>
    <t xml:space="preserve">PO-0093</t>
  </si>
  <si>
    <t xml:space="preserve">PO-0094</t>
  </si>
  <si>
    <t xml:space="preserve">PO-0095</t>
  </si>
  <si>
    <t xml:space="preserve">PO-0096</t>
  </si>
  <si>
    <t xml:space="preserve">PO-0097</t>
  </si>
  <si>
    <t xml:space="preserve">PO-0098</t>
  </si>
  <si>
    <t xml:space="preserve">PO-0099</t>
  </si>
  <si>
    <t xml:space="preserve">PO-0100</t>
  </si>
  <si>
    <t xml:space="preserve">PO-0101</t>
  </si>
  <si>
    <t xml:space="preserve">PO-0102</t>
  </si>
  <si>
    <t xml:space="preserve">PO-0103</t>
  </si>
  <si>
    <t xml:space="preserve">PO-0104</t>
  </si>
  <si>
    <t xml:space="preserve">PO-0105</t>
  </si>
  <si>
    <t xml:space="preserve">PO-0106</t>
  </si>
  <si>
    <t xml:space="preserve">PO-0107</t>
  </si>
  <si>
    <t xml:space="preserve">PO-0108</t>
  </si>
  <si>
    <t xml:space="preserve">PO-0109</t>
  </si>
  <si>
    <t xml:space="preserve">PO-0110</t>
  </si>
  <si>
    <t xml:space="preserve">PO-0111</t>
  </si>
  <si>
    <t xml:space="preserve">PO-0112</t>
  </si>
  <si>
    <t xml:space="preserve">PO-0113</t>
  </si>
  <si>
    <t xml:space="preserve">PO-0114</t>
  </si>
  <si>
    <t xml:space="preserve">PO-0115</t>
  </si>
  <si>
    <t xml:space="preserve">PO-0116</t>
  </si>
  <si>
    <t xml:space="preserve">PO-0117</t>
  </si>
  <si>
    <t xml:space="preserve">PO-0118</t>
  </si>
  <si>
    <t xml:space="preserve">PO-0119</t>
  </si>
  <si>
    <t xml:space="preserve">PO-0120</t>
  </si>
  <si>
    <t xml:space="preserve">PO-0121</t>
  </si>
  <si>
    <t xml:space="preserve">PO-0122</t>
  </si>
  <si>
    <t xml:space="preserve">PO-0123</t>
  </si>
  <si>
    <t xml:space="preserve">PO-0124</t>
  </si>
  <si>
    <t xml:space="preserve">PO-0125</t>
  </si>
  <si>
    <t xml:space="preserve">PO-0126</t>
  </si>
  <si>
    <t xml:space="preserve">PO-0127</t>
  </si>
  <si>
    <t xml:space="preserve">PO-0128</t>
  </si>
  <si>
    <t xml:space="preserve">PO-0129</t>
  </si>
  <si>
    <t xml:space="preserve">PO-0130</t>
  </si>
  <si>
    <t xml:space="preserve">PO-0131</t>
  </si>
  <si>
    <t xml:space="preserve">PO-0132</t>
  </si>
  <si>
    <t xml:space="preserve">PO-0133</t>
  </si>
  <si>
    <t xml:space="preserve">PO-0134</t>
  </si>
  <si>
    <t xml:space="preserve">PO-0135</t>
  </si>
  <si>
    <t xml:space="preserve">PO-0136</t>
  </si>
  <si>
    <t xml:space="preserve">PO-0137</t>
  </si>
  <si>
    <t xml:space="preserve">PO-0138</t>
  </si>
  <si>
    <t xml:space="preserve">PO-0139</t>
  </si>
  <si>
    <t xml:space="preserve">PO-0140</t>
  </si>
  <si>
    <t xml:space="preserve">PO-0141</t>
  </si>
  <si>
    <t xml:space="preserve">PO-0142</t>
  </si>
  <si>
    <t xml:space="preserve">PO-0143</t>
  </si>
  <si>
    <t xml:space="preserve">PO-0144</t>
  </si>
  <si>
    <t xml:space="preserve">PO-0145</t>
  </si>
  <si>
    <t xml:space="preserve">PO-0146</t>
  </si>
  <si>
    <t xml:space="preserve">PO-0147</t>
  </si>
  <si>
    <t xml:space="preserve">PO-0148</t>
  </si>
  <si>
    <t xml:space="preserve">PO-0149</t>
  </si>
  <si>
    <t xml:space="preserve">PO-0150</t>
  </si>
  <si>
    <t xml:space="preserve">PO-0151</t>
  </si>
  <si>
    <t xml:space="preserve">PO-0152</t>
  </si>
  <si>
    <t xml:space="preserve">PO-0153</t>
  </si>
  <si>
    <t xml:space="preserve">PO-0154</t>
  </si>
  <si>
    <t xml:space="preserve">PO-0155</t>
  </si>
  <si>
    <t xml:space="preserve">PO-0156</t>
  </si>
  <si>
    <t xml:space="preserve">PO-0157</t>
  </si>
  <si>
    <t xml:space="preserve">PO-0158</t>
  </si>
  <si>
    <t xml:space="preserve">PO-0159</t>
  </si>
  <si>
    <t xml:space="preserve">PO-0160</t>
  </si>
  <si>
    <t xml:space="preserve">PO-0161</t>
  </si>
  <si>
    <t xml:space="preserve">PO-0162</t>
  </si>
  <si>
    <t xml:space="preserve">PO-0163</t>
  </si>
  <si>
    <t xml:space="preserve">PO-0164</t>
  </si>
  <si>
    <t xml:space="preserve">PO-0165</t>
  </si>
  <si>
    <t xml:space="preserve">PO-0166</t>
  </si>
  <si>
    <t xml:space="preserve">PO-0167</t>
  </si>
  <si>
    <t xml:space="preserve">PO-0168</t>
  </si>
  <si>
    <t xml:space="preserve">PO-0169</t>
  </si>
  <si>
    <t xml:space="preserve">PO-0170</t>
  </si>
  <si>
    <t xml:space="preserve">PO-0171</t>
  </si>
  <si>
    <t xml:space="preserve">PO-0172</t>
  </si>
  <si>
    <t xml:space="preserve">PO-0173</t>
  </si>
  <si>
    <t xml:space="preserve">PO-0174</t>
  </si>
  <si>
    <t xml:space="preserve">PO-0175</t>
  </si>
  <si>
    <t xml:space="preserve">PO-0176</t>
  </si>
  <si>
    <t xml:space="preserve">PO-0177</t>
  </si>
  <si>
    <t xml:space="preserve">PO-0178</t>
  </si>
  <si>
    <t xml:space="preserve">PO-0179</t>
  </si>
  <si>
    <t xml:space="preserve">PO-0180</t>
  </si>
  <si>
    <t xml:space="preserve">PO-0181</t>
  </si>
  <si>
    <t xml:space="preserve">PO-0182</t>
  </si>
  <si>
    <t xml:space="preserve">PO-0183</t>
  </si>
  <si>
    <t xml:space="preserve">PO-0184</t>
  </si>
  <si>
    <t xml:space="preserve">PO-0185</t>
  </si>
  <si>
    <t xml:space="preserve">PO-0186</t>
  </si>
  <si>
    <t xml:space="preserve">PO-0187</t>
  </si>
  <si>
    <t xml:space="preserve">PO-0188</t>
  </si>
  <si>
    <t xml:space="preserve">PO-0189</t>
  </si>
  <si>
    <t xml:space="preserve">PO-0190</t>
  </si>
  <si>
    <t xml:space="preserve">PO-0191</t>
  </si>
  <si>
    <t xml:space="preserve">PO-0192</t>
  </si>
  <si>
    <t xml:space="preserve">PO-0193</t>
  </si>
  <si>
    <t xml:space="preserve">PO-0194</t>
  </si>
  <si>
    <t xml:space="preserve">PO-0195</t>
  </si>
  <si>
    <t xml:space="preserve">PO-0196</t>
  </si>
  <si>
    <t xml:space="preserve">PO-0197</t>
  </si>
  <si>
    <t xml:space="preserve">PO-0198</t>
  </si>
  <si>
    <t xml:space="preserve">PO-0199</t>
  </si>
  <si>
    <t xml:space="preserve">PO-0200</t>
  </si>
  <si>
    <t xml:space="preserve">PO-0201</t>
  </si>
  <si>
    <t xml:space="preserve">PO-0202</t>
  </si>
  <si>
    <t xml:space="preserve">PO-0203</t>
  </si>
  <si>
    <t xml:space="preserve">PO-0204</t>
  </si>
  <si>
    <t xml:space="preserve">PO-0205</t>
  </si>
  <si>
    <t xml:space="preserve">PO-0206</t>
  </si>
  <si>
    <t xml:space="preserve">PO-0207</t>
  </si>
  <si>
    <t xml:space="preserve">PO-0208</t>
  </si>
  <si>
    <t xml:space="preserve">PO-0209</t>
  </si>
  <si>
    <t xml:space="preserve">PO-0210</t>
  </si>
  <si>
    <t xml:space="preserve">PO-0211</t>
  </si>
  <si>
    <t xml:space="preserve">PO-0212</t>
  </si>
  <si>
    <t xml:space="preserve">PO-0213</t>
  </si>
  <si>
    <t xml:space="preserve">PO-0214</t>
  </si>
  <si>
    <t xml:space="preserve">PO-0215</t>
  </si>
  <si>
    <t xml:space="preserve">PO-0216</t>
  </si>
  <si>
    <t xml:space="preserve">PO-0217</t>
  </si>
  <si>
    <t xml:space="preserve">PO-0218</t>
  </si>
  <si>
    <t xml:space="preserve">PO-0219</t>
  </si>
  <si>
    <t xml:space="preserve">PO-0220</t>
  </si>
  <si>
    <t xml:space="preserve">PO-0221</t>
  </si>
  <si>
    <t xml:space="preserve">PO-0222</t>
  </si>
  <si>
    <t xml:space="preserve">PO-0223</t>
  </si>
  <si>
    <t xml:space="preserve">PO-0224</t>
  </si>
  <si>
    <t xml:space="preserve">PO-0225</t>
  </si>
  <si>
    <t xml:space="preserve">PO-0226</t>
  </si>
  <si>
    <t xml:space="preserve">PO-0227</t>
  </si>
  <si>
    <t xml:space="preserve">PO-0228</t>
  </si>
  <si>
    <t xml:space="preserve">PO-0229</t>
  </si>
  <si>
    <t xml:space="preserve">PO-0230</t>
  </si>
  <si>
    <t xml:space="preserve">PO-0231</t>
  </si>
  <si>
    <t xml:space="preserve">PO-0232</t>
  </si>
  <si>
    <t xml:space="preserve">PO-0233</t>
  </si>
  <si>
    <t xml:space="preserve">PO-0234</t>
  </si>
  <si>
    <t xml:space="preserve">PO-0235</t>
  </si>
  <si>
    <t xml:space="preserve">PO-0236</t>
  </si>
  <si>
    <t xml:space="preserve">PO-0237</t>
  </si>
  <si>
    <t xml:space="preserve">PO-0238</t>
  </si>
  <si>
    <t xml:space="preserve">PO-0239</t>
  </si>
  <si>
    <t xml:space="preserve">PO-0240</t>
  </si>
  <si>
    <t xml:space="preserve">PO-0241</t>
  </si>
  <si>
    <t xml:space="preserve">PO-0242</t>
  </si>
  <si>
    <t xml:space="preserve">PO-0243</t>
  </si>
  <si>
    <t xml:space="preserve">PO-0244</t>
  </si>
  <si>
    <t xml:space="preserve">PO-0245</t>
  </si>
  <si>
    <t xml:space="preserve">PO-0246</t>
  </si>
  <si>
    <t xml:space="preserve">PO-0247</t>
  </si>
  <si>
    <t xml:space="preserve">PO-0248</t>
  </si>
  <si>
    <t xml:space="preserve">PO-0249</t>
  </si>
  <si>
    <t xml:space="preserve">PO-0250</t>
  </si>
  <si>
    <t xml:space="preserve">PO-0251</t>
  </si>
  <si>
    <t xml:space="preserve">PO-0252</t>
  </si>
  <si>
    <t xml:space="preserve">PO-0253</t>
  </si>
  <si>
    <t xml:space="preserve">PO-0254</t>
  </si>
  <si>
    <t xml:space="preserve">PO-0255</t>
  </si>
  <si>
    <t xml:space="preserve">PO-0256</t>
  </si>
  <si>
    <t xml:space="preserve">PO-0257</t>
  </si>
  <si>
    <t xml:space="preserve">PO-0258</t>
  </si>
  <si>
    <t xml:space="preserve">PO-0259</t>
  </si>
  <si>
    <t xml:space="preserve">PO-0260</t>
  </si>
  <si>
    <t xml:space="preserve">PO-0261</t>
  </si>
  <si>
    <t xml:space="preserve">PO-0262</t>
  </si>
  <si>
    <t xml:space="preserve">PO-0263</t>
  </si>
  <si>
    <t xml:space="preserve">PO-0264</t>
  </si>
  <si>
    <t xml:space="preserve">PO-0265</t>
  </si>
  <si>
    <t xml:space="preserve">PO-0266</t>
  </si>
  <si>
    <t xml:space="preserve">PO-0267</t>
  </si>
  <si>
    <t xml:space="preserve">PO-0268</t>
  </si>
  <si>
    <t xml:space="preserve">PO-0269</t>
  </si>
  <si>
    <t xml:space="preserve">PO-0270</t>
  </si>
  <si>
    <t xml:space="preserve">PO-0271</t>
  </si>
  <si>
    <t xml:space="preserve">PO-0272</t>
  </si>
  <si>
    <t xml:space="preserve">PO-0273</t>
  </si>
  <si>
    <t xml:space="preserve">PO-0274</t>
  </si>
  <si>
    <t xml:space="preserve">PO-0275</t>
  </si>
  <si>
    <t xml:space="preserve">PO-0276</t>
  </si>
  <si>
    <t xml:space="preserve">PO-0277</t>
  </si>
  <si>
    <t xml:space="preserve">PO-0278</t>
  </si>
  <si>
    <t xml:space="preserve">PO-0279</t>
  </si>
  <si>
    <t xml:space="preserve">PO-0280</t>
  </si>
  <si>
    <t xml:space="preserve">PO-0281</t>
  </si>
  <si>
    <t xml:space="preserve">PO-0282</t>
  </si>
  <si>
    <t xml:space="preserve">PO-0283</t>
  </si>
  <si>
    <t xml:space="preserve">PO-0284</t>
  </si>
  <si>
    <t xml:space="preserve">PO-0285</t>
  </si>
  <si>
    <t xml:space="preserve">PO-0286</t>
  </si>
  <si>
    <t xml:space="preserve">PO-0287</t>
  </si>
  <si>
    <t xml:space="preserve">PO-0288</t>
  </si>
  <si>
    <t xml:space="preserve">PO-0289</t>
  </si>
  <si>
    <t xml:space="preserve">PO-0290</t>
  </si>
  <si>
    <t xml:space="preserve">PO-0291</t>
  </si>
  <si>
    <t xml:space="preserve">PO-0292</t>
  </si>
  <si>
    <t xml:space="preserve">PO-0293</t>
  </si>
  <si>
    <t xml:space="preserve">PO-0294</t>
  </si>
  <si>
    <t xml:space="preserve">PO-0295</t>
  </si>
  <si>
    <t xml:space="preserve">PO-0296</t>
  </si>
  <si>
    <t xml:space="preserve">PO-0297</t>
  </si>
  <si>
    <t xml:space="preserve">PO-0298</t>
  </si>
  <si>
    <t xml:space="preserve">PO-0299</t>
  </si>
  <si>
    <t xml:space="preserve">PO-0300</t>
  </si>
  <si>
    <t xml:space="preserve">PO-0301</t>
  </si>
  <si>
    <t xml:space="preserve">PO-0302</t>
  </si>
  <si>
    <t xml:space="preserve">PO-0303</t>
  </si>
  <si>
    <t xml:space="preserve">PO-0304</t>
  </si>
  <si>
    <t xml:space="preserve">PO-0305</t>
  </si>
  <si>
    <t xml:space="preserve">PO-0306</t>
  </si>
  <si>
    <t xml:space="preserve">PO-0307</t>
  </si>
  <si>
    <t xml:space="preserve">PO-0308</t>
  </si>
  <si>
    <t xml:space="preserve">PO-0309</t>
  </si>
  <si>
    <t xml:space="preserve">PO-0310</t>
  </si>
  <si>
    <t xml:space="preserve">PO-0311</t>
  </si>
  <si>
    <t xml:space="preserve">PO-0312</t>
  </si>
  <si>
    <t xml:space="preserve">PO-0313</t>
  </si>
  <si>
    <t xml:space="preserve">PO-0314</t>
  </si>
  <si>
    <t xml:space="preserve">PO-0315</t>
  </si>
  <si>
    <t xml:space="preserve">PO-0316</t>
  </si>
  <si>
    <t xml:space="preserve">PO-0317</t>
  </si>
  <si>
    <t xml:space="preserve">PO-0318</t>
  </si>
  <si>
    <t xml:space="preserve">PO-0319</t>
  </si>
  <si>
    <t xml:space="preserve">PO-0320</t>
  </si>
  <si>
    <t xml:space="preserve">PO-0321</t>
  </si>
  <si>
    <t xml:space="preserve">PO-0322</t>
  </si>
  <si>
    <t xml:space="preserve">PO-0323</t>
  </si>
  <si>
    <t xml:space="preserve">PO-0324</t>
  </si>
  <si>
    <t xml:space="preserve">PO-0325</t>
  </si>
  <si>
    <t xml:space="preserve">PO-0326</t>
  </si>
  <si>
    <t xml:space="preserve">PO-0327</t>
  </si>
  <si>
    <t xml:space="preserve">PO-0328</t>
  </si>
  <si>
    <t xml:space="preserve">PO-0329</t>
  </si>
  <si>
    <t xml:space="preserve">PO-0330</t>
  </si>
  <si>
    <t xml:space="preserve">PO-0331</t>
  </si>
  <si>
    <t xml:space="preserve">PO-0332</t>
  </si>
  <si>
    <t xml:space="preserve">PO-0333</t>
  </si>
  <si>
    <t xml:space="preserve">PO-0334</t>
  </si>
  <si>
    <t xml:space="preserve">PO-0335</t>
  </si>
  <si>
    <t xml:space="preserve">PO-0336</t>
  </si>
  <si>
    <t xml:space="preserve">PO-0337</t>
  </si>
  <si>
    <t xml:space="preserve">PO-0338</t>
  </si>
  <si>
    <t xml:space="preserve">PO-0339</t>
  </si>
  <si>
    <t xml:space="preserve">PO-0340</t>
  </si>
  <si>
    <t xml:space="preserve">PO-0341</t>
  </si>
  <si>
    <t xml:space="preserve">PO-0342</t>
  </si>
  <si>
    <t xml:space="preserve">PO-0343</t>
  </si>
  <si>
    <t xml:space="preserve">PO-0344</t>
  </si>
  <si>
    <t xml:space="preserve">PO-0345</t>
  </si>
  <si>
    <t xml:space="preserve">PO-0346</t>
  </si>
  <si>
    <t xml:space="preserve">PO-0347</t>
  </si>
  <si>
    <t xml:space="preserve">PO-0348</t>
  </si>
  <si>
    <t xml:space="preserve">PO-0349</t>
  </si>
  <si>
    <t xml:space="preserve">PO-0350</t>
  </si>
  <si>
    <t xml:space="preserve">PO-0351</t>
  </si>
  <si>
    <t xml:space="preserve">PO-0352</t>
  </si>
  <si>
    <t xml:space="preserve">PO-0353</t>
  </si>
  <si>
    <t xml:space="preserve">PO-0354</t>
  </si>
  <si>
    <t xml:space="preserve">PO-0355</t>
  </si>
  <si>
    <t xml:space="preserve">PO-0356</t>
  </si>
  <si>
    <t xml:space="preserve">PO-0357</t>
  </si>
  <si>
    <t xml:space="preserve">PO-0358</t>
  </si>
  <si>
    <t xml:space="preserve">PO-0359</t>
  </si>
  <si>
    <t xml:space="preserve">PO-0360</t>
  </si>
  <si>
    <t xml:space="preserve">PO-0361</t>
  </si>
  <si>
    <t xml:space="preserve">PO-0362</t>
  </si>
  <si>
    <t xml:space="preserve">PO-0363</t>
  </si>
  <si>
    <t xml:space="preserve">PO-0364</t>
  </si>
  <si>
    <t xml:space="preserve">PO-0365</t>
  </si>
  <si>
    <t xml:space="preserve">PO-0366</t>
  </si>
  <si>
    <t xml:space="preserve">PO-0367</t>
  </si>
  <si>
    <t xml:space="preserve">PO-0368</t>
  </si>
  <si>
    <t xml:space="preserve">PO-0369</t>
  </si>
  <si>
    <t xml:space="preserve">PO-0370</t>
  </si>
  <si>
    <t xml:space="preserve">PO-0371</t>
  </si>
  <si>
    <t xml:space="preserve">PO-0372</t>
  </si>
  <si>
    <t xml:space="preserve">PO-0373</t>
  </si>
  <si>
    <t xml:space="preserve">PO-0374</t>
  </si>
  <si>
    <t xml:space="preserve">PO-0375</t>
  </si>
  <si>
    <t xml:space="preserve">PO-0376</t>
  </si>
  <si>
    <t xml:space="preserve">PO-0377</t>
  </si>
  <si>
    <t xml:space="preserve">PO-0378</t>
  </si>
  <si>
    <t xml:space="preserve">PO-0379</t>
  </si>
  <si>
    <t xml:space="preserve">PO-0380</t>
  </si>
  <si>
    <t xml:space="preserve">PO-0381</t>
  </si>
  <si>
    <t xml:space="preserve">PO-0382</t>
  </si>
  <si>
    <t xml:space="preserve">PO-0383</t>
  </si>
  <si>
    <t xml:space="preserve">PO-0384</t>
  </si>
  <si>
    <t xml:space="preserve">PO-0385</t>
  </si>
  <si>
    <t xml:space="preserve">PO-0386</t>
  </si>
  <si>
    <t xml:space="preserve">PO-0387</t>
  </si>
  <si>
    <t xml:space="preserve">PO-0388</t>
  </si>
  <si>
    <t xml:space="preserve">PO-0389</t>
  </si>
  <si>
    <t xml:space="preserve">PO-0390</t>
  </si>
  <si>
    <t xml:space="preserve">PO-0391</t>
  </si>
  <si>
    <t xml:space="preserve">PO-0392</t>
  </si>
  <si>
    <t xml:space="preserve">PO-0393</t>
  </si>
  <si>
    <t xml:space="preserve">PO-0394</t>
  </si>
  <si>
    <t xml:space="preserve">PO-0395</t>
  </si>
  <si>
    <t xml:space="preserve">PO-0396</t>
  </si>
  <si>
    <t xml:space="preserve">PO-0397</t>
  </si>
  <si>
    <t xml:space="preserve">PO-0398</t>
  </si>
  <si>
    <t xml:space="preserve">PO-0399</t>
  </si>
  <si>
    <t xml:space="preserve">PO-0400</t>
  </si>
  <si>
    <t xml:space="preserve">PO-0401</t>
  </si>
  <si>
    <t xml:space="preserve">PO-0402</t>
  </si>
  <si>
    <t xml:space="preserve">PO-0403</t>
  </si>
  <si>
    <t xml:space="preserve">PO-0404</t>
  </si>
  <si>
    <t xml:space="preserve">PO-0405</t>
  </si>
  <si>
    <t xml:space="preserve">PO-0406</t>
  </si>
  <si>
    <t xml:space="preserve">PO-0407</t>
  </si>
  <si>
    <t xml:space="preserve">PO-0408</t>
  </si>
  <si>
    <t xml:space="preserve">PO-0409</t>
  </si>
  <si>
    <t xml:space="preserve">PO-0410</t>
  </si>
  <si>
    <t xml:space="preserve">PO-0411</t>
  </si>
  <si>
    <t xml:space="preserve">PO-0412</t>
  </si>
  <si>
    <t xml:space="preserve">PO-0413</t>
  </si>
  <si>
    <t xml:space="preserve">PO-0414</t>
  </si>
  <si>
    <t xml:space="preserve">PO-0415</t>
  </si>
  <si>
    <t xml:space="preserve">PO-0416</t>
  </si>
  <si>
    <t xml:space="preserve">PO-0417</t>
  </si>
  <si>
    <t xml:space="preserve">PO-0418</t>
  </si>
  <si>
    <t xml:space="preserve">PO-0419</t>
  </si>
  <si>
    <t xml:space="preserve">PO-0420</t>
  </si>
  <si>
    <t xml:space="preserve">PO-0421</t>
  </si>
  <si>
    <t xml:space="preserve">PO-0422</t>
  </si>
  <si>
    <t xml:space="preserve">PO-0423</t>
  </si>
  <si>
    <t xml:space="preserve">PO-0424</t>
  </si>
  <si>
    <t xml:space="preserve">PO-0425</t>
  </si>
  <si>
    <t xml:space="preserve">PO-0426</t>
  </si>
  <si>
    <t xml:space="preserve">PO-0427</t>
  </si>
  <si>
    <t xml:space="preserve">PO-0428</t>
  </si>
  <si>
    <t xml:space="preserve">PO-0429</t>
  </si>
  <si>
    <t xml:space="preserve">PO-0430</t>
  </si>
  <si>
    <t xml:space="preserve">PO-0431</t>
  </si>
  <si>
    <t xml:space="preserve">PO-0432</t>
  </si>
  <si>
    <t xml:space="preserve">PO-0433</t>
  </si>
  <si>
    <t xml:space="preserve">PO-0434</t>
  </si>
  <si>
    <t xml:space="preserve">PO-0435</t>
  </si>
  <si>
    <t xml:space="preserve">PO-0436</t>
  </si>
  <si>
    <t xml:space="preserve">PO-0437</t>
  </si>
  <si>
    <t xml:space="preserve">PO-0438</t>
  </si>
  <si>
    <t xml:space="preserve">PO-0439</t>
  </si>
  <si>
    <t xml:space="preserve">PO-0440</t>
  </si>
  <si>
    <t xml:space="preserve">PO-0441</t>
  </si>
  <si>
    <t xml:space="preserve">PO-0442</t>
  </si>
  <si>
    <t xml:space="preserve">PO-0443</t>
  </si>
  <si>
    <t xml:space="preserve">PO-0444</t>
  </si>
  <si>
    <t xml:space="preserve">PO-0445</t>
  </si>
  <si>
    <t xml:space="preserve">PO-0446</t>
  </si>
  <si>
    <t xml:space="preserve">PO-0447</t>
  </si>
  <si>
    <t xml:space="preserve">PO-0448</t>
  </si>
  <si>
    <t xml:space="preserve">PO-0449</t>
  </si>
  <si>
    <t xml:space="preserve">PO-0450</t>
  </si>
  <si>
    <t xml:space="preserve">PO-0451</t>
  </si>
  <si>
    <t xml:space="preserve">PO-0452</t>
  </si>
  <si>
    <t xml:space="preserve">PO-0453</t>
  </si>
  <si>
    <t xml:space="preserve">PO-0454</t>
  </si>
  <si>
    <t xml:space="preserve">PO-0455</t>
  </si>
  <si>
    <t xml:space="preserve">PO-0456</t>
  </si>
  <si>
    <t xml:space="preserve">PO-0457</t>
  </si>
  <si>
    <t xml:space="preserve">PO-0458</t>
  </si>
  <si>
    <t xml:space="preserve">PO-0459</t>
  </si>
  <si>
    <t xml:space="preserve">PO-0460</t>
  </si>
  <si>
    <t xml:space="preserve">PO-0461</t>
  </si>
  <si>
    <t xml:space="preserve">PO-0462</t>
  </si>
  <si>
    <t xml:space="preserve">PO-0463</t>
  </si>
  <si>
    <t xml:space="preserve">PO-0464</t>
  </si>
  <si>
    <t xml:space="preserve">PO-0465</t>
  </si>
  <si>
    <t xml:space="preserve">PO-0466</t>
  </si>
  <si>
    <t xml:space="preserve">PO-0467</t>
  </si>
  <si>
    <t xml:space="preserve">PO-0468</t>
  </si>
  <si>
    <t xml:space="preserve">PO-0469</t>
  </si>
  <si>
    <t xml:space="preserve">PO-0470</t>
  </si>
  <si>
    <t xml:space="preserve">PO-0471</t>
  </si>
  <si>
    <t xml:space="preserve">PO-0472</t>
  </si>
  <si>
    <t xml:space="preserve">PO-0473</t>
  </si>
  <si>
    <t xml:space="preserve">PO-0474</t>
  </si>
  <si>
    <t xml:space="preserve">PO-0475</t>
  </si>
  <si>
    <t xml:space="preserve">PO-0476</t>
  </si>
  <si>
    <t xml:space="preserve">PO-0477</t>
  </si>
  <si>
    <t xml:space="preserve">PO-0478</t>
  </si>
  <si>
    <t xml:space="preserve">PO-0479</t>
  </si>
  <si>
    <t xml:space="preserve">PO-0480</t>
  </si>
  <si>
    <t xml:space="preserve">PO-0481</t>
  </si>
  <si>
    <t xml:space="preserve">PO-0482</t>
  </si>
  <si>
    <t xml:space="preserve">PO-0483</t>
  </si>
  <si>
    <t xml:space="preserve">PO-0484</t>
  </si>
  <si>
    <t xml:space="preserve">PO-0485</t>
  </si>
  <si>
    <t xml:space="preserve">PO-0486</t>
  </si>
  <si>
    <t xml:space="preserve">PO-0487</t>
  </si>
  <si>
    <t xml:space="preserve">PO-0488</t>
  </si>
  <si>
    <t xml:space="preserve">PO-0489</t>
  </si>
  <si>
    <t xml:space="preserve">PO-0490</t>
  </si>
  <si>
    <t xml:space="preserve">PO-0491</t>
  </si>
  <si>
    <t xml:space="preserve">PO-0492</t>
  </si>
  <si>
    <t xml:space="preserve">PO-0493</t>
  </si>
  <si>
    <t xml:space="preserve">PO-0494</t>
  </si>
  <si>
    <t xml:space="preserve">PO-0495</t>
  </si>
  <si>
    <t xml:space="preserve">PO-0496</t>
  </si>
  <si>
    <t xml:space="preserve">PO-0497</t>
  </si>
  <si>
    <t xml:space="preserve">PO-0498</t>
  </si>
  <si>
    <t xml:space="preserve">PO-0499</t>
  </si>
  <si>
    <t xml:space="preserve">PO-0500</t>
  </si>
  <si>
    <t xml:space="preserve">Flags: K = not handled today, D = declined, '-' = not applicable. Blue columns convert maund quotes to BDT/kg automatically (1 maund = 37.32 kg).</t>
  </si>
  <si>
    <t xml:space="preserve">Form C - Focal Species Purchases (one row per consumer x species)</t>
  </si>
  <si>
    <t xml:space="preserve">Purchased_today</t>
  </si>
  <si>
    <t xml:space="preserve">Bought_from</t>
  </si>
  <si>
    <t xml:space="preserve">Price_raw</t>
  </si>
  <si>
    <t xml:space="preserve">Price_BDT_per_kg</t>
  </si>
  <si>
    <t xml:space="preserve">Form C - Any Other Fish Bought (long format)</t>
  </si>
  <si>
    <t xml:space="preserve">Fish_name_local</t>
  </si>
  <si>
    <t xml:space="preserve">Purchase_location</t>
  </si>
  <si>
    <t xml:space="preserve">Form M - Market Observation Checklist (one row per market)</t>
  </si>
  <si>
    <t xml:space="preserve">Obs_Date</t>
  </si>
  <si>
    <t xml:space="preserve">Market_type</t>
  </si>
  <si>
    <t xml:space="preserve">Trading_hours</t>
  </si>
  <si>
    <t xml:space="preserve">Retail_stall_count</t>
  </si>
  <si>
    <t xml:space="preserve">Transport_access</t>
  </si>
  <si>
    <t xml:space="preserve">Platform_condition</t>
  </si>
  <si>
    <t xml:space="preserve">Roofing</t>
  </si>
  <si>
    <t xml:space="preserve">Drainage</t>
  </si>
  <si>
    <t xml:space="preserve">Electricity</t>
  </si>
  <si>
    <t xml:space="preserve">Ice_availability</t>
  </si>
  <si>
    <t xml:space="preserve">Ice_distance_note</t>
  </si>
  <si>
    <t xml:space="preserve">Sanitation</t>
  </si>
  <si>
    <t xml:space="preserve">Water_supply</t>
  </si>
  <si>
    <t xml:space="preserve">Fee_arrangement</t>
  </si>
  <si>
    <t xml:space="preserve">Fee_rate_note</t>
  </si>
  <si>
    <t xml:space="preserve">GPS_coordinates</t>
  </si>
  <si>
    <t xml:space="preserve">Photo_references</t>
  </si>
  <si>
    <t xml:space="preserve">Evidence_source_note</t>
  </si>
  <si>
    <t xml:space="preserve">Twelve infrastructure items graded Good/Medium/Poor, Complete/Partial/None or Regular/Irregular/None as applicable (Methodology 3.5).</t>
  </si>
  <si>
    <t xml:space="preserve">Tag Price Sheet - displayed prices of all fish seen (optional, appendix only)</t>
  </si>
  <si>
    <t xml:space="preserve">Shop_or_Vendor_No</t>
  </si>
  <si>
    <t xml:space="preserve">Collector_initials</t>
  </si>
  <si>
    <t xml:space="preserve">Spend ~10 minutes per arat listing every displayed price; never enters hypothesis tests, appendix descriptive table only.</t>
  </si>
  <si>
    <t xml:space="preserve">QC Check - automatic quality flags</t>
  </si>
  <si>
    <t xml:space="preserve">Everything on this sheet is formula-driven. Re-check after each entry session; fix the source sheet, never this one.</t>
  </si>
  <si>
    <t xml:space="preserve">Check</t>
  </si>
  <si>
    <t xml:space="preserve">Value</t>
  </si>
  <si>
    <t xml:space="preserve">Rule / target</t>
  </si>
  <si>
    <t xml:space="preserve">Status</t>
  </si>
  <si>
    <t xml:space="preserve">Form_A rows entered (Interview_Date filled)</t>
  </si>
  <si>
    <t xml:space="preserve">36 rows allocated (quota 30 + buffer 6)</t>
  </si>
  <si>
    <t xml:space="preserve">Form_B rows entered (Interview_Date filled)</t>
  </si>
  <si>
    <t xml:space="preserve">Form_R rows entered (Interview_Date filled)</t>
  </si>
  <si>
    <t xml:space="preserve">Form_C rows entered (Interview_Date filled)</t>
  </si>
  <si>
    <t xml:space="preserve">Total interviews entered</t>
  </si>
  <si>
    <t xml:space="preserve">Field target 120 (Table 3.3)</t>
  </si>
  <si>
    <t xml:space="preserve">Duplicate Respondent_IDs - Form_A_Aratdar</t>
  </si>
  <si>
    <t xml:space="preserve">0 duplicates expected</t>
  </si>
  <si>
    <t xml:space="preserve">Duplicate Respondent_IDs - Form_B_Bepari_Faria</t>
  </si>
  <si>
    <t xml:space="preserve">Duplicate Respondent_IDs - Form_R_Khuchra</t>
  </si>
  <si>
    <t xml:space="preserve">Duplicate Respondent_IDs - Form_C_Consumer</t>
  </si>
  <si>
    <t xml:space="preserve">Payment % rows not summing to 100 - Form_A</t>
  </si>
  <si>
    <t xml:space="preserve">Cash + MFS + Credit must equal 100</t>
  </si>
  <si>
    <t xml:space="preserve">Payment % rows not summing to 100 - Form_B</t>
  </si>
  <si>
    <t xml:space="preserve">Payment % rows not summing to 100 - Form_R</t>
  </si>
  <si>
    <t xml:space="preserve">Price_Observations: numeric BUY price but Unit empty</t>
  </si>
  <si>
    <t xml:space="preserve">Every numeric raw price needs Maund/Kg</t>
  </si>
  <si>
    <t xml:space="preserve">Price_Observations: numeric SELL price but Unit empty</t>
  </si>
  <si>
    <t xml:space="preserve">Price_Observations rows with unknown Respondent_ID</t>
  </si>
  <si>
    <t xml:space="preserve">IDs must exist on Form_A/B/R</t>
  </si>
  <si>
    <t xml:space="preserve">Consumer_Purchases_Focal: numeric price but Unit empty</t>
  </si>
  <si>
    <t xml:space="preserve">Consumer_Other_Fish: numeric price but Unit empty</t>
  </si>
  <si>
    <t xml:space="preserve">Consumer_Purchases_Focal rows with unknown Respondent_ID</t>
  </si>
  <si>
    <t xml:space="preserve">IDs must exist on Form_C</t>
  </si>
  <si>
    <t xml:space="preserve">Consumer_Other_Fish rows with unknown Respondent_ID</t>
  </si>
  <si>
    <t xml:space="preserve">K/D flags used - buy price column (information)</t>
  </si>
  <si>
    <t xml:space="preserve">Flags are valid data, no action needed</t>
  </si>
  <si>
    <t xml:space="preserve">K/D flags used - sell price column (information)</t>
  </si>
  <si>
    <t xml:space="preserve">Price_Observations rows carrying a Pair_ID</t>
  </si>
  <si>
    <t xml:space="preserve">Matched buyer-seller pairs (Methodology 3.3.4)</t>
  </si>
  <si>
    <t xml:space="preserve">Price Pair_IDs matched to a trader Pair_ID</t>
  </si>
  <si>
    <t xml:space="preserve">Each price Pair_ID should appear on a trader form</t>
  </si>
  <si>
    <t xml:space="preserve">Form_M completed (markets observed)</t>
  </si>
  <si>
    <t xml:space="preserve">6 markets</t>
  </si>
  <si>
    <t xml:space="preserve">Tip: use the filter arrows on each form sheet to find flagged rows (e.g. filter Respondent_ID, or sort by the offending column).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</si>
</sst>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#,##0"/>
    <numFmt numFmtId="167" formatCode="0%"/>
    <numFmt numFmtId="168" formatCode="dd/mm/yyyy"/>
    <numFmt numFmtId="169" formatCode="#,##0.00"/>
    <numFmt numFmtId="170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9"/>
      <color rgb="FF8C8A84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0"/>
      <color rgb="FF37352F"/>
      <name val="Arial"/>
      <family val="0"/>
      <charset val="1"/>
    </font>
    <font>
      <sz val="10"/>
      <color rgb="FF37352F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37352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0"/>
      <name val="Arial"/>
      <family val="2"/>
    </font>
    <font>
      <sz val="10"/>
      <color rgb="FF8C8A84"/>
      <name val="Arial"/>
      <family val="0"/>
      <charset val="1"/>
    </font>
    <font>
      <sz val="10"/>
      <name val="FreeSans"/>
      <family val="2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9E6"/>
      </patternFill>
    </fill>
    <fill>
      <patternFill patternType="solid">
        <fgColor rgb="FFD6E4F0"/>
        <bgColor rgb="FFE8F5E9"/>
      </patternFill>
    </fill>
    <fill>
      <patternFill patternType="solid">
        <fgColor rgb="FFFFF9E6"/>
        <bgColor rgb="FFFFF9DB"/>
      </patternFill>
    </fill>
    <fill>
      <patternFill patternType="solid">
        <fgColor rgb="FF1F4E5F"/>
        <bgColor rgb="FF37352F"/>
      </patternFill>
    </fill>
    <fill>
      <patternFill patternType="solid">
        <fgColor rgb="FFFFF9DB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37352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8C8A84"/>
          <bgColor rgb="FF000000"/>
        </patternFill>
      </fill>
    </dxf>
    <dxf>
      <fill>
        <patternFill patternType="solid">
          <fgColor rgb="FF1F4E5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E8F5E9"/>
        </patternFill>
      </fill>
    </dxf>
    <dxf>
      <fill>
        <patternFill>
          <bgColor rgb="FFFDED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B7B7B7"/>
      <rgbColor rgb="FF8C8A84"/>
      <rgbColor rgb="FF9999FF"/>
      <rgbColor rgb="FF993366"/>
      <rgbColor rgb="FFFFF9DB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5"/>
      <rgbColor rgb="FFFDEDEC"/>
      <rgbColor rgb="FFFFF9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1F4E5F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8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2"/>
  <sheetViews>
    <sheetView showFormulas="false" showGridLines="fals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92"/>
    <col collapsed="false" customWidth="true" hidden="false" outlineLevel="0" max="4" min="4" style="1" width="8"/>
  </cols>
  <sheetData>
    <row r="2" customFormat="false" ht="31.5" hidden="false" customHeight="true" outlineLevel="0" collapsed="false">
      <c r="B2" s="2" t="s">
        <v>0</v>
      </c>
      <c r="C2" s="2"/>
      <c r="D2" s="2"/>
    </row>
    <row r="3" customFormat="false" ht="7.5" hidden="false" customHeight="true" outlineLevel="0" collapsed="false">
      <c r="B3" s="3" t="s">
        <v>1</v>
      </c>
      <c r="C3" s="4"/>
      <c r="D3" s="4"/>
    </row>
    <row r="4" customFormat="false" ht="15" hidden="false" customHeight="false" outlineLevel="0" collapsed="false">
      <c r="B4" s="4"/>
      <c r="C4" s="4"/>
      <c r="D4" s="4"/>
    </row>
    <row r="5" customFormat="false" ht="15" hidden="false" customHeight="true" outlineLevel="0" collapsed="false">
      <c r="B5" s="5" t="s">
        <v>2</v>
      </c>
      <c r="C5" s="4"/>
      <c r="D5" s="4"/>
    </row>
    <row r="6" customFormat="false" ht="30" hidden="false" customHeight="true" outlineLevel="0" collapsed="false">
      <c r="B6" s="6" t="s">
        <v>3</v>
      </c>
      <c r="C6" s="7" t="s">
        <v>4</v>
      </c>
      <c r="D6" s="4"/>
    </row>
    <row r="7" customFormat="false" ht="30" hidden="false" customHeight="true" outlineLevel="0" collapsed="false">
      <c r="B7" s="6" t="s">
        <v>5</v>
      </c>
      <c r="C7" s="7" t="s">
        <v>6</v>
      </c>
      <c r="D7" s="4"/>
    </row>
    <row r="8" customFormat="false" ht="30" hidden="false" customHeight="true" outlineLevel="0" collapsed="false">
      <c r="B8" s="6" t="s">
        <v>7</v>
      </c>
      <c r="C8" s="7" t="s">
        <v>8</v>
      </c>
      <c r="D8" s="4"/>
    </row>
    <row r="9" customFormat="false" ht="30" hidden="false" customHeight="true" outlineLevel="0" collapsed="false">
      <c r="B9" s="6" t="s">
        <v>9</v>
      </c>
      <c r="C9" s="7" t="s">
        <v>10</v>
      </c>
      <c r="D9" s="4"/>
    </row>
    <row r="10" customFormat="false" ht="30" hidden="false" customHeight="true" outlineLevel="0" collapsed="false">
      <c r="B10" s="6" t="s">
        <v>11</v>
      </c>
      <c r="C10" s="7" t="s">
        <v>12</v>
      </c>
      <c r="D10" s="4"/>
    </row>
    <row r="11" customFormat="false" ht="30" hidden="false" customHeight="true" outlineLevel="0" collapsed="false">
      <c r="B11" s="6" t="s">
        <v>13</v>
      </c>
      <c r="C11" s="7" t="s">
        <v>14</v>
      </c>
      <c r="D11" s="4"/>
    </row>
    <row r="12" customFormat="false" ht="30" hidden="false" customHeight="true" outlineLevel="0" collapsed="false">
      <c r="B12" s="6" t="s">
        <v>15</v>
      </c>
      <c r="C12" s="7" t="s">
        <v>16</v>
      </c>
      <c r="D12" s="4"/>
    </row>
    <row r="13" customFormat="false" ht="30" hidden="false" customHeight="true" outlineLevel="0" collapsed="false">
      <c r="B13" s="6" t="s">
        <v>17</v>
      </c>
      <c r="C13" s="7" t="s">
        <v>18</v>
      </c>
      <c r="D13" s="4"/>
    </row>
    <row r="14" customFormat="false" ht="30" hidden="false" customHeight="true" outlineLevel="0" collapsed="false">
      <c r="B14" s="6" t="s">
        <v>19</v>
      </c>
      <c r="C14" s="7" t="s">
        <v>20</v>
      </c>
      <c r="D14" s="4"/>
    </row>
    <row r="15" customFormat="false" ht="30" hidden="false" customHeight="true" outlineLevel="0" collapsed="false">
      <c r="B15" s="6" t="s">
        <v>21</v>
      </c>
      <c r="C15" s="7" t="s">
        <v>22</v>
      </c>
      <c r="D15" s="4"/>
    </row>
    <row r="16" customFormat="false" ht="30" hidden="false" customHeight="true" outlineLevel="0" collapsed="false">
      <c r="B16" s="6" t="s">
        <v>23</v>
      </c>
      <c r="C16" s="7" t="s">
        <v>24</v>
      </c>
      <c r="D16" s="4"/>
    </row>
    <row r="17" customFormat="false" ht="15" hidden="false" customHeight="false" outlineLevel="0" collapsed="false">
      <c r="B17" s="4"/>
      <c r="C17" s="4"/>
      <c r="D17" s="4"/>
    </row>
    <row r="18" customFormat="false" ht="15" hidden="false" customHeight="true" outlineLevel="0" collapsed="false">
      <c r="B18" s="5" t="s">
        <v>25</v>
      </c>
      <c r="C18" s="4"/>
      <c r="D18" s="4"/>
    </row>
    <row r="19" customFormat="false" ht="30" hidden="false" customHeight="true" outlineLevel="0" collapsed="false">
      <c r="B19" s="6" t="s">
        <v>26</v>
      </c>
      <c r="C19" s="7" t="s">
        <v>27</v>
      </c>
      <c r="D19" s="4"/>
    </row>
    <row r="20" customFormat="false" ht="30" hidden="false" customHeight="true" outlineLevel="0" collapsed="false">
      <c r="B20" s="6" t="s">
        <v>28</v>
      </c>
      <c r="C20" s="7" t="s">
        <v>29</v>
      </c>
      <c r="D20" s="4"/>
    </row>
    <row r="21" customFormat="false" ht="30" hidden="false" customHeight="true" outlineLevel="0" collapsed="false">
      <c r="B21" s="6" t="s">
        <v>30</v>
      </c>
      <c r="C21" s="7" t="s">
        <v>31</v>
      </c>
      <c r="D21" s="4"/>
    </row>
    <row r="22" customFormat="false" ht="30" hidden="false" customHeight="true" outlineLevel="0" collapsed="false">
      <c r="B22" s="6" t="s">
        <v>32</v>
      </c>
      <c r="C22" s="7" t="s">
        <v>33</v>
      </c>
      <c r="D22" s="4"/>
    </row>
    <row r="23" customFormat="false" ht="15" hidden="false" customHeight="false" outlineLevel="0" collapsed="false">
      <c r="B23" s="4"/>
      <c r="C23" s="4"/>
      <c r="D23" s="4"/>
    </row>
    <row r="24" customFormat="false" ht="15" hidden="false" customHeight="true" outlineLevel="0" collapsed="false">
      <c r="B24" s="5" t="s">
        <v>34</v>
      </c>
      <c r="C24" s="4"/>
      <c r="D24" s="4"/>
    </row>
    <row r="25" customFormat="false" ht="30" hidden="false" customHeight="true" outlineLevel="0" collapsed="false">
      <c r="B25" s="6" t="s">
        <v>35</v>
      </c>
      <c r="C25" s="7" t="s">
        <v>36</v>
      </c>
      <c r="D25" s="4"/>
    </row>
    <row r="26" customFormat="false" ht="30" hidden="false" customHeight="true" outlineLevel="0" collapsed="false">
      <c r="B26" s="6" t="s">
        <v>37</v>
      </c>
      <c r="C26" s="7" t="s">
        <v>38</v>
      </c>
      <c r="D26" s="4"/>
    </row>
    <row r="27" customFormat="false" ht="30" hidden="false" customHeight="true" outlineLevel="0" collapsed="false">
      <c r="B27" s="6" t="s">
        <v>39</v>
      </c>
      <c r="C27" s="7" t="s">
        <v>40</v>
      </c>
      <c r="D27" s="4"/>
    </row>
    <row r="28" customFormat="false" ht="30" hidden="false" customHeight="true" outlineLevel="0" collapsed="false">
      <c r="B28" s="6" t="s">
        <v>41</v>
      </c>
      <c r="C28" s="7" t="s">
        <v>42</v>
      </c>
      <c r="D28" s="4"/>
    </row>
    <row r="29" customFormat="false" ht="15" hidden="false" customHeight="false" outlineLevel="0" collapsed="false">
      <c r="B29" s="4"/>
      <c r="C29" s="4"/>
      <c r="D29" s="4"/>
    </row>
    <row r="30" customFormat="false" ht="15" hidden="false" customHeight="true" outlineLevel="0" collapsed="false">
      <c r="B30" s="5" t="s">
        <v>43</v>
      </c>
      <c r="C30" s="4"/>
      <c r="D30" s="4"/>
    </row>
    <row r="31" customFormat="false" ht="30" hidden="false" customHeight="true" outlineLevel="0" collapsed="false">
      <c r="B31" s="6" t="s">
        <v>44</v>
      </c>
      <c r="C31" s="7" t="s">
        <v>45</v>
      </c>
      <c r="D31" s="4"/>
    </row>
    <row r="32" customFormat="false" ht="43.5" hidden="false" customHeight="true" outlineLevel="0" collapsed="false">
      <c r="B32" s="6" t="s">
        <v>46</v>
      </c>
      <c r="C32" s="7" t="s">
        <v>47</v>
      </c>
      <c r="D32" s="4"/>
    </row>
    <row r="33" customFormat="false" ht="15" hidden="false" customHeight="false" outlineLevel="0" collapsed="false">
      <c r="B33" s="4"/>
      <c r="C33" s="4"/>
      <c r="D33" s="4"/>
    </row>
    <row r="34" customFormat="false" ht="14.25" hidden="false" customHeight="true" outlineLevel="0" collapsed="false">
      <c r="B34" s="8" t="s">
        <v>48</v>
      </c>
      <c r="C34" s="4"/>
      <c r="D34" s="4"/>
    </row>
    <row r="35" customFormat="false" ht="15" hidden="false" customHeight="false" outlineLevel="0" collapsed="false">
      <c r="B35" s="4"/>
      <c r="C35" s="4"/>
      <c r="D35" s="4"/>
    </row>
    <row r="36" customFormat="false" ht="15" hidden="false" customHeight="true" outlineLevel="0" collapsed="false">
      <c r="B36" s="9" t="s">
        <v>49</v>
      </c>
      <c r="C36" s="4"/>
      <c r="D36" s="4"/>
    </row>
    <row r="37" customFormat="false" ht="30" hidden="false" customHeight="true" outlineLevel="0" collapsed="false">
      <c r="B37" s="4"/>
      <c r="C37" s="10" t="s">
        <v>50</v>
      </c>
      <c r="D37" s="4"/>
    </row>
    <row r="38" customFormat="false" ht="30" hidden="false" customHeight="true" outlineLevel="0" collapsed="false">
      <c r="B38" s="4"/>
      <c r="C38" s="10" t="s">
        <v>51</v>
      </c>
      <c r="D38" s="4"/>
    </row>
    <row r="39" customFormat="false" ht="30" hidden="false" customHeight="true" outlineLevel="0" collapsed="false">
      <c r="B39" s="4"/>
      <c r="C39" s="10" t="s">
        <v>52</v>
      </c>
      <c r="D39" s="4"/>
    </row>
    <row r="40" customFormat="false" ht="30" hidden="false" customHeight="true" outlineLevel="0" collapsed="false">
      <c r="B40" s="4"/>
      <c r="C40" s="10" t="s">
        <v>53</v>
      </c>
      <c r="D40" s="4"/>
    </row>
    <row r="41" customFormat="false" ht="30" hidden="false" customHeight="true" outlineLevel="0" collapsed="false">
      <c r="B41" s="4"/>
      <c r="C41" s="10" t="s">
        <v>54</v>
      </c>
      <c r="D41" s="4"/>
    </row>
    <row r="42" customFormat="false" ht="30" hidden="false" customHeight="true" outlineLevel="0" collapsed="false">
      <c r="B42" s="4"/>
      <c r="C42" s="10" t="s">
        <v>55</v>
      </c>
      <c r="D42" s="4"/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6" min="5" style="1" width="14"/>
    <col collapsed="false" customWidth="true" hidden="false" outlineLevel="0" max="7" min="7" style="1" width="17"/>
    <col collapsed="false" customWidth="true" hidden="false" outlineLevel="0" max="8" min="8" style="1" width="13"/>
  </cols>
  <sheetData>
    <row r="2" customFormat="false" ht="31.5" hidden="false" customHeight="true" outlineLevel="0" collapsed="false">
      <c r="B2" s="2" t="s">
        <v>56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>
      <c r="B3" s="3" t="s">
        <v>57</v>
      </c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B5" s="11" t="s">
        <v>58</v>
      </c>
      <c r="C5" s="11" t="s">
        <v>59</v>
      </c>
      <c r="D5" s="11" t="s">
        <v>60</v>
      </c>
      <c r="E5" s="11" t="s">
        <v>61</v>
      </c>
      <c r="F5" s="11" t="s">
        <v>62</v>
      </c>
      <c r="G5" s="11" t="s">
        <v>63</v>
      </c>
      <c r="H5" s="11" t="s">
        <v>64</v>
      </c>
    </row>
    <row r="6" customFormat="false" ht="21.75" hidden="false" customHeight="true" outlineLevel="0" collapsed="false">
      <c r="B6" s="12" t="s">
        <v>65</v>
      </c>
      <c r="C6" s="13" t="n">
        <f aca="false">COUNTIFS(Form_A_Aratdar!$C$5:$C$40,$B6,Form_A_Aratdar!$D$5:$D$40,"&lt;&gt;")</f>
        <v>0</v>
      </c>
      <c r="D6" s="13" t="n">
        <f aca="false">COUNTIFS(Form_B_Bepari_Faria!$C$5:$C$40,$B6,Form_B_Bepari_Faria!$D$5:$D$40,"&lt;&gt;")</f>
        <v>0</v>
      </c>
      <c r="E6" s="13" t="n">
        <f aca="false">COUNTIFS(Form_R_Khuchra!$C$5:$C$40,$B6,Form_R_Khuchra!$D$5:$D$40,"&lt;&gt;")</f>
        <v>0</v>
      </c>
      <c r="F6" s="13" t="n">
        <f aca="false">COUNTIFS(Form_C_Consumer!$C$5:$C$40,$B6,Form_C_Consumer!$D$5:$D$40,"&lt;&gt;")</f>
        <v>0</v>
      </c>
      <c r="G6" s="13" t="n">
        <f aca="false">SUM(C6:F6)</f>
        <v>0</v>
      </c>
      <c r="H6" s="13" t="str">
        <f aca="false">IF(COUNTIFS(Form_M_Market_Observation!$B$5:$B$10,$B6,Form_M_Market_Observation!$D$5:$D$10,"&lt;&gt;")&gt;0,"Yes","No")</f>
        <v>No</v>
      </c>
    </row>
    <row r="7" customFormat="false" ht="21.75" hidden="false" customHeight="true" outlineLevel="0" collapsed="false">
      <c r="B7" s="14" t="s">
        <v>66</v>
      </c>
      <c r="C7" s="15" t="n">
        <f aca="false">COUNTIFS(Form_A_Aratdar!$C$5:$C$40,$B7,Form_A_Aratdar!$D$5:$D$40,"&lt;&gt;")</f>
        <v>0</v>
      </c>
      <c r="D7" s="15" t="n">
        <f aca="false">COUNTIFS(Form_B_Bepari_Faria!$C$5:$C$40,$B7,Form_B_Bepari_Faria!$D$5:$D$40,"&lt;&gt;")</f>
        <v>0</v>
      </c>
      <c r="E7" s="15" t="n">
        <f aca="false">COUNTIFS(Form_R_Khuchra!$C$5:$C$40,$B7,Form_R_Khuchra!$D$5:$D$40,"&lt;&gt;")</f>
        <v>0</v>
      </c>
      <c r="F7" s="15" t="n">
        <f aca="false">COUNTIFS(Form_C_Consumer!$C$5:$C$40,$B7,Form_C_Consumer!$D$5:$D$40,"&lt;&gt;")</f>
        <v>0</v>
      </c>
      <c r="G7" s="15" t="n">
        <f aca="false">SUM(C7:F7)</f>
        <v>0</v>
      </c>
      <c r="H7" s="15" t="str">
        <f aca="false">IF(COUNTIFS(Form_M_Market_Observation!$B$5:$B$10,$B7,Form_M_Market_Observation!$D$5:$D$10,"&lt;&gt;")&gt;0,"Yes","No")</f>
        <v>No</v>
      </c>
    </row>
    <row r="8" customFormat="false" ht="21.75" hidden="false" customHeight="true" outlineLevel="0" collapsed="false">
      <c r="B8" s="12" t="s">
        <v>67</v>
      </c>
      <c r="C8" s="13" t="n">
        <f aca="false">COUNTIFS(Form_A_Aratdar!$C$5:$C$40,$B8,Form_A_Aratdar!$D$5:$D$40,"&lt;&gt;")</f>
        <v>0</v>
      </c>
      <c r="D8" s="13" t="n">
        <f aca="false">COUNTIFS(Form_B_Bepari_Faria!$C$5:$C$40,$B8,Form_B_Bepari_Faria!$D$5:$D$40,"&lt;&gt;")</f>
        <v>0</v>
      </c>
      <c r="E8" s="13" t="n">
        <f aca="false">COUNTIFS(Form_R_Khuchra!$C$5:$C$40,$B8,Form_R_Khuchra!$D$5:$D$40,"&lt;&gt;")</f>
        <v>0</v>
      </c>
      <c r="F8" s="13" t="n">
        <f aca="false">COUNTIFS(Form_C_Consumer!$C$5:$C$40,$B8,Form_C_Consumer!$D$5:$D$40,"&lt;&gt;")</f>
        <v>0</v>
      </c>
      <c r="G8" s="13" t="n">
        <f aca="false">SUM(C8:F8)</f>
        <v>0</v>
      </c>
      <c r="H8" s="13" t="str">
        <f aca="false">IF(COUNTIFS(Form_M_Market_Observation!$B$5:$B$10,$B8,Form_M_Market_Observation!$D$5:$D$10,"&lt;&gt;")&gt;0,"Yes","No")</f>
        <v>No</v>
      </c>
    </row>
    <row r="9" customFormat="false" ht="21.75" hidden="false" customHeight="true" outlineLevel="0" collapsed="false">
      <c r="B9" s="14" t="s">
        <v>68</v>
      </c>
      <c r="C9" s="15" t="n">
        <f aca="false">COUNTIFS(Form_A_Aratdar!$C$5:$C$40,$B9,Form_A_Aratdar!$D$5:$D$40,"&lt;&gt;")</f>
        <v>0</v>
      </c>
      <c r="D9" s="15" t="n">
        <f aca="false">COUNTIFS(Form_B_Bepari_Faria!$C$5:$C$40,$B9,Form_B_Bepari_Faria!$D$5:$D$40,"&lt;&gt;")</f>
        <v>0</v>
      </c>
      <c r="E9" s="15" t="n">
        <f aca="false">COUNTIFS(Form_R_Khuchra!$C$5:$C$40,$B9,Form_R_Khuchra!$D$5:$D$40,"&lt;&gt;")</f>
        <v>0</v>
      </c>
      <c r="F9" s="15" t="n">
        <f aca="false">COUNTIFS(Form_C_Consumer!$C$5:$C$40,$B9,Form_C_Consumer!$D$5:$D$40,"&lt;&gt;")</f>
        <v>0</v>
      </c>
      <c r="G9" s="15" t="n">
        <f aca="false">SUM(C9:F9)</f>
        <v>0</v>
      </c>
      <c r="H9" s="15" t="str">
        <f aca="false">IF(COUNTIFS(Form_M_Market_Observation!$B$5:$B$10,$B9,Form_M_Market_Observation!$D$5:$D$10,"&lt;&gt;")&gt;0,"Yes","No")</f>
        <v>No</v>
      </c>
    </row>
    <row r="10" customFormat="false" ht="21.75" hidden="false" customHeight="true" outlineLevel="0" collapsed="false">
      <c r="B10" s="12" t="s">
        <v>69</v>
      </c>
      <c r="C10" s="13" t="n">
        <f aca="false">COUNTIFS(Form_A_Aratdar!$C$5:$C$40,$B10,Form_A_Aratdar!$D$5:$D$40,"&lt;&gt;")</f>
        <v>0</v>
      </c>
      <c r="D10" s="13" t="n">
        <f aca="false">COUNTIFS(Form_B_Bepari_Faria!$C$5:$C$40,$B10,Form_B_Bepari_Faria!$D$5:$D$40,"&lt;&gt;")</f>
        <v>0</v>
      </c>
      <c r="E10" s="13" t="n">
        <f aca="false">COUNTIFS(Form_R_Khuchra!$C$5:$C$40,$B10,Form_R_Khuchra!$D$5:$D$40,"&lt;&gt;")</f>
        <v>0</v>
      </c>
      <c r="F10" s="13" t="n">
        <f aca="false">COUNTIFS(Form_C_Consumer!$C$5:$C$40,$B10,Form_C_Consumer!$D$5:$D$40,"&lt;&gt;")</f>
        <v>0</v>
      </c>
      <c r="G10" s="13" t="n">
        <f aca="false">SUM(C10:F10)</f>
        <v>0</v>
      </c>
      <c r="H10" s="13" t="str">
        <f aca="false">IF(COUNTIFS(Form_M_Market_Observation!$B$5:$B$10,$B10,Form_M_Market_Observation!$D$5:$D$10,"&lt;&gt;")&gt;0,"Yes","No")</f>
        <v>No</v>
      </c>
    </row>
    <row r="11" customFormat="false" ht="21.75" hidden="false" customHeight="true" outlineLevel="0" collapsed="false">
      <c r="B11" s="14" t="s">
        <v>70</v>
      </c>
      <c r="C11" s="15" t="n">
        <f aca="false">COUNTIFS(Form_A_Aratdar!$C$5:$C$40,$B11,Form_A_Aratdar!$D$5:$D$40,"&lt;&gt;")</f>
        <v>0</v>
      </c>
      <c r="D11" s="15" t="n">
        <f aca="false">COUNTIFS(Form_B_Bepari_Faria!$C$5:$C$40,$B11,Form_B_Bepari_Faria!$D$5:$D$40,"&lt;&gt;")</f>
        <v>0</v>
      </c>
      <c r="E11" s="15" t="n">
        <f aca="false">COUNTIFS(Form_R_Khuchra!$C$5:$C$40,$B11,Form_R_Khuchra!$D$5:$D$40,"&lt;&gt;")</f>
        <v>0</v>
      </c>
      <c r="F11" s="15" t="n">
        <f aca="false">COUNTIFS(Form_C_Consumer!$C$5:$C$40,$B11,Form_C_Consumer!$D$5:$D$40,"&lt;&gt;")</f>
        <v>0</v>
      </c>
      <c r="G11" s="15" t="n">
        <f aca="false">SUM(C11:F11)</f>
        <v>0</v>
      </c>
      <c r="H11" s="15" t="str">
        <f aca="false">IF(COUNTIFS(Form_M_Market_Observation!$B$5:$B$10,$B11,Form_M_Market_Observation!$D$5:$D$10,"&lt;&gt;")&gt;0,"Yes","No")</f>
        <v>No</v>
      </c>
    </row>
    <row r="12" customFormat="false" ht="25.5" hidden="false" customHeight="true" outlineLevel="0" collapsed="false">
      <c r="B12" s="16" t="s">
        <v>71</v>
      </c>
      <c r="C12" s="16" t="n">
        <f aca="false">SUM(C6:C11)</f>
        <v>0</v>
      </c>
      <c r="D12" s="16" t="n">
        <f aca="false">SUM(D6:D11)</f>
        <v>0</v>
      </c>
      <c r="E12" s="16" t="n">
        <f aca="false">SUM(E6:E11)</f>
        <v>0</v>
      </c>
      <c r="F12" s="16" t="n">
        <f aca="false">SUM(F6:F11)</f>
        <v>0</v>
      </c>
      <c r="G12" s="16" t="n">
        <f aca="false">SUM(G6:G11)</f>
        <v>0</v>
      </c>
      <c r="H12" s="16" t="str">
        <f aca="false">IF(G12=120,"TARGET MET","In progress")</f>
        <v>In progress</v>
      </c>
    </row>
    <row r="13" customFormat="false" ht="15" hidden="false" customHeight="false" outlineLevel="0" collapsed="false">
      <c r="B13" s="4"/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B14" s="5" t="s">
        <v>72</v>
      </c>
      <c r="C14" s="4"/>
      <c r="D14" s="4"/>
      <c r="E14" s="4"/>
      <c r="F14" s="4"/>
      <c r="G14" s="4"/>
      <c r="H14" s="4"/>
    </row>
    <row r="15" customFormat="false" ht="14.25" hidden="false" customHeight="true" outlineLevel="0" collapsed="false">
      <c r="B15" s="6" t="s">
        <v>73</v>
      </c>
      <c r="C15" s="17" t="n">
        <f aca="false">G12</f>
        <v>0</v>
      </c>
      <c r="D15" s="4"/>
      <c r="E15" s="4"/>
      <c r="F15" s="4"/>
      <c r="G15" s="4"/>
      <c r="H15" s="4"/>
    </row>
    <row r="16" customFormat="false" ht="14.25" hidden="false" customHeight="true" outlineLevel="0" collapsed="false">
      <c r="B16" s="6" t="s">
        <v>74</v>
      </c>
      <c r="C16" s="18" t="n">
        <f aca="false">G12/120</f>
        <v>0</v>
      </c>
      <c r="D16" s="4"/>
      <c r="E16" s="4"/>
      <c r="F16" s="4"/>
      <c r="G16" s="4"/>
      <c r="H16" s="4"/>
    </row>
    <row r="17" customFormat="false" ht="14.25" hidden="false" customHeight="true" outlineLevel="0" collapsed="false">
      <c r="B17" s="6" t="s">
        <v>75</v>
      </c>
      <c r="C17" s="17" t="n">
        <f aca="false">COUNTIF(Price_Observations!$C$5:$C$504,"&lt;&gt;")</f>
        <v>0</v>
      </c>
      <c r="D17" s="4"/>
      <c r="E17" s="4"/>
      <c r="F17" s="4"/>
      <c r="G17" s="4"/>
      <c r="H17" s="4"/>
    </row>
    <row r="18" customFormat="false" ht="14.25" hidden="false" customHeight="true" outlineLevel="0" collapsed="false">
      <c r="B18" s="6" t="s">
        <v>76</v>
      </c>
      <c r="C18" s="17" t="n">
        <f aca="false">COUNTIF(Price_Observations!$E$5:$E$504,"Aratdar")</f>
        <v>0</v>
      </c>
      <c r="D18" s="4"/>
      <c r="E18" s="4"/>
      <c r="F18" s="4"/>
      <c r="G18" s="4"/>
      <c r="H18" s="4"/>
    </row>
    <row r="19" customFormat="false" ht="14.25" hidden="false" customHeight="true" outlineLevel="0" collapsed="false">
      <c r="B19" s="6" t="s">
        <v>77</v>
      </c>
      <c r="C19" s="17" t="n">
        <f aca="false">COUNTIF(Price_Observations!$E$5:$E$504,"Bepari_Faria")</f>
        <v>0</v>
      </c>
      <c r="D19" s="4"/>
      <c r="E19" s="4"/>
      <c r="F19" s="4"/>
      <c r="G19" s="4"/>
      <c r="H19" s="4"/>
    </row>
    <row r="20" customFormat="false" ht="14.25" hidden="false" customHeight="true" outlineLevel="0" collapsed="false">
      <c r="B20" s="6" t="s">
        <v>78</v>
      </c>
      <c r="C20" s="17" t="n">
        <f aca="false">COUNTIF(Price_Observations!$E$5:$E$504,"Khuchra")</f>
        <v>0</v>
      </c>
      <c r="D20" s="4"/>
      <c r="E20" s="4"/>
      <c r="F20" s="4"/>
      <c r="G20" s="4"/>
      <c r="H20" s="4"/>
    </row>
    <row r="21" customFormat="false" ht="14.25" hidden="false" customHeight="true" outlineLevel="0" collapsed="false">
      <c r="B21" s="6" t="s">
        <v>79</v>
      </c>
      <c r="C21" s="17" t="n">
        <f aca="false">COUNTIF(Consumer_Purchases_Focal!$B$5:$B$354,"&lt;&gt;")</f>
        <v>0</v>
      </c>
      <c r="D21" s="4"/>
      <c r="E21" s="4"/>
      <c r="F21" s="4"/>
      <c r="G21" s="4"/>
      <c r="H21" s="4"/>
    </row>
    <row r="22" customFormat="false" ht="14.25" hidden="false" customHeight="true" outlineLevel="0" collapsed="false">
      <c r="B22" s="6" t="s">
        <v>80</v>
      </c>
      <c r="C22" s="17" t="n">
        <f aca="false">COUNTIF(Consumer_Other_Fish!$B$5:$B$104,"&lt;&gt;")</f>
        <v>0</v>
      </c>
      <c r="D22" s="4"/>
      <c r="E22" s="4"/>
      <c r="F22" s="4"/>
      <c r="G22" s="4"/>
      <c r="H22" s="4"/>
    </row>
    <row r="23" customFormat="false" ht="14.25" hidden="false" customHeight="true" outlineLevel="0" collapsed="false">
      <c r="B23" s="6" t="s">
        <v>81</v>
      </c>
      <c r="C23" s="17" t="n">
        <f aca="false">COUNTIF(Tag_Price_Sheet!$C$5:$C$324,"&lt;&gt;")</f>
        <v>0</v>
      </c>
      <c r="D23" s="4"/>
      <c r="E23" s="4"/>
      <c r="F23" s="4"/>
      <c r="G23" s="4"/>
      <c r="H23" s="4"/>
    </row>
    <row r="24" customFormat="false" ht="14.25" hidden="false" customHeight="true" outlineLevel="0" collapsed="false">
      <c r="B24" s="6" t="s">
        <v>82</v>
      </c>
      <c r="C24" s="17" t="n">
        <f aca="false">COUNTIF(Data_Collection_Log!$B$5:$B$44,"&lt;&gt;")</f>
        <v>0</v>
      </c>
      <c r="D24" s="4"/>
      <c r="E24" s="4"/>
      <c r="F24" s="4"/>
      <c r="G24" s="4"/>
      <c r="H24" s="4"/>
    </row>
    <row r="25" customFormat="false" ht="15" hidden="false" customHeight="false" outlineLevel="0" collapsed="false">
      <c r="B25" s="4"/>
      <c r="C25" s="4"/>
      <c r="D25" s="4"/>
      <c r="E25" s="4"/>
      <c r="F25" s="4"/>
      <c r="G25" s="4"/>
      <c r="H25" s="4"/>
    </row>
    <row r="26" customFormat="false" ht="14.25" hidden="false" customHeight="true" outlineLevel="0" collapsed="false">
      <c r="B26" s="8" t="s">
        <v>83</v>
      </c>
      <c r="C26" s="4"/>
      <c r="D26" s="4"/>
      <c r="E26" s="4"/>
      <c r="F26" s="4"/>
      <c r="G26" s="4"/>
      <c r="H26" s="4"/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18"/>
    <col collapsed="false" customWidth="true" hidden="false" outlineLevel="0" max="7" min="6" style="1" width="12"/>
    <col collapsed="false" customWidth="true" hidden="false" outlineLevel="0" max="10" min="8" style="1" width="18"/>
    <col collapsed="false" customWidth="true" hidden="false" outlineLevel="0" max="11" min="11" style="1" width="22"/>
    <col collapsed="false" customWidth="true" hidden="false" outlineLevel="0" max="12" min="12" style="1" width="26"/>
  </cols>
  <sheetData>
    <row r="2" customFormat="false" ht="31.5" hidden="false" customHeight="true" outlineLevel="0" collapsed="false">
      <c r="B2" s="2" t="s">
        <v>84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7.75" hidden="false" customHeight="true" outlineLevel="0" collapsed="false">
      <c r="B4" s="11" t="s">
        <v>85</v>
      </c>
      <c r="C4" s="11" t="s">
        <v>86</v>
      </c>
      <c r="D4" s="11" t="s">
        <v>58</v>
      </c>
      <c r="E4" s="11" t="s">
        <v>87</v>
      </c>
      <c r="F4" s="11" t="s">
        <v>88</v>
      </c>
      <c r="G4" s="11" t="s">
        <v>89</v>
      </c>
      <c r="H4" s="11" t="s">
        <v>90</v>
      </c>
      <c r="I4" s="11" t="s">
        <v>91</v>
      </c>
      <c r="J4" s="11" t="s">
        <v>92</v>
      </c>
      <c r="K4" s="11" t="s">
        <v>93</v>
      </c>
      <c r="L4" s="11" t="s">
        <v>94</v>
      </c>
    </row>
    <row r="5" customFormat="false" ht="19.5" hidden="false" customHeight="true" outlineLevel="0" collapsed="false">
      <c r="B5" s="19"/>
      <c r="C5" s="20" t="str">
        <f aca="false">IF($B5="","",TEXT($B5,"ddd"))</f>
        <v/>
      </c>
      <c r="D5" s="21"/>
      <c r="E5" s="22"/>
      <c r="F5" s="21"/>
      <c r="G5" s="21"/>
      <c r="H5" s="21"/>
      <c r="I5" s="23"/>
      <c r="J5" s="23"/>
      <c r="K5" s="22"/>
      <c r="L5" s="22"/>
    </row>
    <row r="6" customFormat="false" ht="19.5" hidden="false" customHeight="true" outlineLevel="0" collapsed="false">
      <c r="B6" s="19"/>
      <c r="C6" s="20" t="str">
        <f aca="false">IF($B6="","",TEXT($B6,"ddd"))</f>
        <v/>
      </c>
      <c r="D6" s="21"/>
      <c r="E6" s="22"/>
      <c r="F6" s="21"/>
      <c r="G6" s="21"/>
      <c r="H6" s="21"/>
      <c r="I6" s="23"/>
      <c r="J6" s="23"/>
      <c r="K6" s="22"/>
      <c r="L6" s="22"/>
    </row>
    <row r="7" customFormat="false" ht="19.5" hidden="false" customHeight="true" outlineLevel="0" collapsed="false">
      <c r="B7" s="19"/>
      <c r="C7" s="20" t="str">
        <f aca="false">IF($B7="","",TEXT($B7,"ddd"))</f>
        <v/>
      </c>
      <c r="D7" s="21"/>
      <c r="E7" s="22"/>
      <c r="F7" s="21"/>
      <c r="G7" s="21"/>
      <c r="H7" s="21"/>
      <c r="I7" s="23"/>
      <c r="J7" s="23"/>
      <c r="K7" s="22"/>
      <c r="L7" s="22"/>
    </row>
    <row r="8" customFormat="false" ht="19.5" hidden="false" customHeight="true" outlineLevel="0" collapsed="false">
      <c r="B8" s="19"/>
      <c r="C8" s="20" t="str">
        <f aca="false">IF($B8="","",TEXT($B8,"ddd"))</f>
        <v/>
      </c>
      <c r="D8" s="21"/>
      <c r="E8" s="22"/>
      <c r="F8" s="21"/>
      <c r="G8" s="21"/>
      <c r="H8" s="21"/>
      <c r="I8" s="23"/>
      <c r="J8" s="23"/>
      <c r="K8" s="22"/>
      <c r="L8" s="22"/>
    </row>
    <row r="9" customFormat="false" ht="19.5" hidden="false" customHeight="true" outlineLevel="0" collapsed="false">
      <c r="B9" s="19"/>
      <c r="C9" s="20" t="str">
        <f aca="false">IF($B9="","",TEXT($B9,"ddd"))</f>
        <v/>
      </c>
      <c r="D9" s="21"/>
      <c r="E9" s="22"/>
      <c r="F9" s="21"/>
      <c r="G9" s="21"/>
      <c r="H9" s="21"/>
      <c r="I9" s="23"/>
      <c r="J9" s="23"/>
      <c r="K9" s="22"/>
      <c r="L9" s="22"/>
    </row>
    <row r="10" customFormat="false" ht="19.5" hidden="false" customHeight="true" outlineLevel="0" collapsed="false">
      <c r="B10" s="19"/>
      <c r="C10" s="20" t="str">
        <f aca="false">IF($B10="","",TEXT($B10,"ddd"))</f>
        <v/>
      </c>
      <c r="D10" s="21"/>
      <c r="E10" s="22"/>
      <c r="F10" s="21"/>
      <c r="G10" s="21"/>
      <c r="H10" s="21"/>
      <c r="I10" s="23"/>
      <c r="J10" s="23"/>
      <c r="K10" s="22"/>
      <c r="L10" s="22"/>
    </row>
    <row r="11" customFormat="false" ht="19.5" hidden="false" customHeight="true" outlineLevel="0" collapsed="false">
      <c r="B11" s="19"/>
      <c r="C11" s="20" t="str">
        <f aca="false">IF($B11="","",TEXT($B11,"ddd"))</f>
        <v/>
      </c>
      <c r="D11" s="21"/>
      <c r="E11" s="22"/>
      <c r="F11" s="21"/>
      <c r="G11" s="21"/>
      <c r="H11" s="21"/>
      <c r="I11" s="23"/>
      <c r="J11" s="23"/>
      <c r="K11" s="22"/>
      <c r="L11" s="22"/>
    </row>
    <row r="12" customFormat="false" ht="19.5" hidden="false" customHeight="true" outlineLevel="0" collapsed="false">
      <c r="B12" s="19"/>
      <c r="C12" s="20" t="str">
        <f aca="false">IF($B12="","",TEXT($B12,"ddd"))</f>
        <v/>
      </c>
      <c r="D12" s="21"/>
      <c r="E12" s="22"/>
      <c r="F12" s="21"/>
      <c r="G12" s="21"/>
      <c r="H12" s="21"/>
      <c r="I12" s="23"/>
      <c r="J12" s="23"/>
      <c r="K12" s="22"/>
      <c r="L12" s="22"/>
    </row>
    <row r="13" customFormat="false" ht="19.5" hidden="false" customHeight="true" outlineLevel="0" collapsed="false">
      <c r="B13" s="19"/>
      <c r="C13" s="20" t="str">
        <f aca="false">IF($B13="","",TEXT($B13,"ddd"))</f>
        <v/>
      </c>
      <c r="D13" s="21"/>
      <c r="E13" s="22"/>
      <c r="F13" s="21"/>
      <c r="G13" s="21"/>
      <c r="H13" s="21"/>
      <c r="I13" s="23"/>
      <c r="J13" s="23"/>
      <c r="K13" s="22"/>
      <c r="L13" s="22"/>
    </row>
    <row r="14" customFormat="false" ht="19.5" hidden="false" customHeight="true" outlineLevel="0" collapsed="false">
      <c r="B14" s="19"/>
      <c r="C14" s="20" t="str">
        <f aca="false">IF($B14="","",TEXT($B14,"ddd"))</f>
        <v/>
      </c>
      <c r="D14" s="21"/>
      <c r="E14" s="22"/>
      <c r="F14" s="21"/>
      <c r="G14" s="21"/>
      <c r="H14" s="21"/>
      <c r="I14" s="23"/>
      <c r="J14" s="23"/>
      <c r="K14" s="22"/>
      <c r="L14" s="22"/>
    </row>
    <row r="15" customFormat="false" ht="19.5" hidden="false" customHeight="true" outlineLevel="0" collapsed="false">
      <c r="B15" s="19"/>
      <c r="C15" s="20" t="str">
        <f aca="false">IF($B15="","",TEXT($B15,"ddd"))</f>
        <v/>
      </c>
      <c r="D15" s="21"/>
      <c r="E15" s="22"/>
      <c r="F15" s="21"/>
      <c r="G15" s="21"/>
      <c r="H15" s="21"/>
      <c r="I15" s="23"/>
      <c r="J15" s="23"/>
      <c r="K15" s="22"/>
      <c r="L15" s="22"/>
    </row>
    <row r="16" customFormat="false" ht="19.5" hidden="false" customHeight="true" outlineLevel="0" collapsed="false">
      <c r="B16" s="19"/>
      <c r="C16" s="20" t="str">
        <f aca="false">IF($B16="","",TEXT($B16,"ddd"))</f>
        <v/>
      </c>
      <c r="D16" s="21"/>
      <c r="E16" s="22"/>
      <c r="F16" s="21"/>
      <c r="G16" s="21"/>
      <c r="H16" s="21"/>
      <c r="I16" s="23"/>
      <c r="J16" s="23"/>
      <c r="K16" s="22"/>
      <c r="L16" s="22"/>
    </row>
    <row r="17" customFormat="false" ht="19.5" hidden="false" customHeight="true" outlineLevel="0" collapsed="false">
      <c r="B17" s="19"/>
      <c r="C17" s="20" t="str">
        <f aca="false">IF($B17="","",TEXT($B17,"ddd"))</f>
        <v/>
      </c>
      <c r="D17" s="21"/>
      <c r="E17" s="22"/>
      <c r="F17" s="21"/>
      <c r="G17" s="21"/>
      <c r="H17" s="21"/>
      <c r="I17" s="23"/>
      <c r="J17" s="23"/>
      <c r="K17" s="22"/>
      <c r="L17" s="22"/>
    </row>
    <row r="18" customFormat="false" ht="19.5" hidden="false" customHeight="true" outlineLevel="0" collapsed="false">
      <c r="B18" s="19"/>
      <c r="C18" s="20" t="str">
        <f aca="false">IF($B18="","",TEXT($B18,"ddd"))</f>
        <v/>
      </c>
      <c r="D18" s="21"/>
      <c r="E18" s="22"/>
      <c r="F18" s="21"/>
      <c r="G18" s="21"/>
      <c r="H18" s="21"/>
      <c r="I18" s="23"/>
      <c r="J18" s="23"/>
      <c r="K18" s="22"/>
      <c r="L18" s="22"/>
    </row>
    <row r="19" customFormat="false" ht="19.5" hidden="false" customHeight="true" outlineLevel="0" collapsed="false">
      <c r="B19" s="19"/>
      <c r="C19" s="20" t="str">
        <f aca="false">IF($B19="","",TEXT($B19,"ddd"))</f>
        <v/>
      </c>
      <c r="D19" s="21"/>
      <c r="E19" s="22"/>
      <c r="F19" s="21"/>
      <c r="G19" s="21"/>
      <c r="H19" s="21"/>
      <c r="I19" s="23"/>
      <c r="J19" s="23"/>
      <c r="K19" s="22"/>
      <c r="L19" s="22"/>
    </row>
    <row r="20" customFormat="false" ht="19.5" hidden="false" customHeight="true" outlineLevel="0" collapsed="false">
      <c r="B20" s="19"/>
      <c r="C20" s="20" t="str">
        <f aca="false">IF($B20="","",TEXT($B20,"ddd"))</f>
        <v/>
      </c>
      <c r="D20" s="21"/>
      <c r="E20" s="22"/>
      <c r="F20" s="21"/>
      <c r="G20" s="21"/>
      <c r="H20" s="21"/>
      <c r="I20" s="23"/>
      <c r="J20" s="23"/>
      <c r="K20" s="22"/>
      <c r="L20" s="22"/>
    </row>
    <row r="21" customFormat="false" ht="19.5" hidden="false" customHeight="true" outlineLevel="0" collapsed="false">
      <c r="B21" s="19"/>
      <c r="C21" s="20" t="str">
        <f aca="false">IF($B21="","",TEXT($B21,"ddd"))</f>
        <v/>
      </c>
      <c r="D21" s="21"/>
      <c r="E21" s="22"/>
      <c r="F21" s="21"/>
      <c r="G21" s="21"/>
      <c r="H21" s="21"/>
      <c r="I21" s="23"/>
      <c r="J21" s="23"/>
      <c r="K21" s="22"/>
      <c r="L21" s="22"/>
    </row>
    <row r="22" customFormat="false" ht="19.5" hidden="false" customHeight="true" outlineLevel="0" collapsed="false">
      <c r="B22" s="19"/>
      <c r="C22" s="20" t="str">
        <f aca="false">IF($B22="","",TEXT($B22,"ddd"))</f>
        <v/>
      </c>
      <c r="D22" s="21"/>
      <c r="E22" s="22"/>
      <c r="F22" s="21"/>
      <c r="G22" s="21"/>
      <c r="H22" s="21"/>
      <c r="I22" s="23"/>
      <c r="J22" s="23"/>
      <c r="K22" s="22"/>
      <c r="L22" s="22"/>
    </row>
    <row r="23" customFormat="false" ht="19.5" hidden="false" customHeight="true" outlineLevel="0" collapsed="false">
      <c r="B23" s="19"/>
      <c r="C23" s="20" t="str">
        <f aca="false">IF($B23="","",TEXT($B23,"ddd"))</f>
        <v/>
      </c>
      <c r="D23" s="21"/>
      <c r="E23" s="22"/>
      <c r="F23" s="21"/>
      <c r="G23" s="21"/>
      <c r="H23" s="21"/>
      <c r="I23" s="23"/>
      <c r="J23" s="23"/>
      <c r="K23" s="22"/>
      <c r="L23" s="22"/>
    </row>
    <row r="24" customFormat="false" ht="19.5" hidden="false" customHeight="true" outlineLevel="0" collapsed="false">
      <c r="B24" s="19"/>
      <c r="C24" s="20" t="str">
        <f aca="false">IF($B24="","",TEXT($B24,"ddd"))</f>
        <v/>
      </c>
      <c r="D24" s="21"/>
      <c r="E24" s="22"/>
      <c r="F24" s="21"/>
      <c r="G24" s="21"/>
      <c r="H24" s="21"/>
      <c r="I24" s="23"/>
      <c r="J24" s="23"/>
      <c r="K24" s="22"/>
      <c r="L24" s="22"/>
    </row>
    <row r="25" customFormat="false" ht="19.5" hidden="false" customHeight="true" outlineLevel="0" collapsed="false">
      <c r="B25" s="19"/>
      <c r="C25" s="20" t="str">
        <f aca="false">IF($B25="","",TEXT($B25,"ddd"))</f>
        <v/>
      </c>
      <c r="D25" s="21"/>
      <c r="E25" s="22"/>
      <c r="F25" s="21"/>
      <c r="G25" s="21"/>
      <c r="H25" s="21"/>
      <c r="I25" s="23"/>
      <c r="J25" s="23"/>
      <c r="K25" s="22"/>
      <c r="L25" s="22"/>
    </row>
    <row r="26" customFormat="false" ht="19.5" hidden="false" customHeight="true" outlineLevel="0" collapsed="false">
      <c r="B26" s="19"/>
      <c r="C26" s="20" t="str">
        <f aca="false">IF($B26="","",TEXT($B26,"ddd"))</f>
        <v/>
      </c>
      <c r="D26" s="21"/>
      <c r="E26" s="22"/>
      <c r="F26" s="21"/>
      <c r="G26" s="21"/>
      <c r="H26" s="21"/>
      <c r="I26" s="23"/>
      <c r="J26" s="23"/>
      <c r="K26" s="22"/>
      <c r="L26" s="22"/>
    </row>
    <row r="27" customFormat="false" ht="19.5" hidden="false" customHeight="true" outlineLevel="0" collapsed="false">
      <c r="B27" s="19"/>
      <c r="C27" s="20" t="str">
        <f aca="false">IF($B27="","",TEXT($B27,"ddd"))</f>
        <v/>
      </c>
      <c r="D27" s="21"/>
      <c r="E27" s="22"/>
      <c r="F27" s="21"/>
      <c r="G27" s="21"/>
      <c r="H27" s="21"/>
      <c r="I27" s="23"/>
      <c r="J27" s="23"/>
      <c r="K27" s="22"/>
      <c r="L27" s="22"/>
    </row>
    <row r="28" customFormat="false" ht="19.5" hidden="false" customHeight="true" outlineLevel="0" collapsed="false">
      <c r="B28" s="19"/>
      <c r="C28" s="20" t="str">
        <f aca="false">IF($B28="","",TEXT($B28,"ddd"))</f>
        <v/>
      </c>
      <c r="D28" s="21"/>
      <c r="E28" s="22"/>
      <c r="F28" s="21"/>
      <c r="G28" s="21"/>
      <c r="H28" s="21"/>
      <c r="I28" s="23"/>
      <c r="J28" s="23"/>
      <c r="K28" s="22"/>
      <c r="L28" s="22"/>
    </row>
    <row r="29" customFormat="false" ht="19.5" hidden="false" customHeight="true" outlineLevel="0" collapsed="false">
      <c r="B29" s="19"/>
      <c r="C29" s="20" t="str">
        <f aca="false">IF($B29="","",TEXT($B29,"ddd"))</f>
        <v/>
      </c>
      <c r="D29" s="21"/>
      <c r="E29" s="22"/>
      <c r="F29" s="21"/>
      <c r="G29" s="21"/>
      <c r="H29" s="21"/>
      <c r="I29" s="23"/>
      <c r="J29" s="23"/>
      <c r="K29" s="22"/>
      <c r="L29" s="22"/>
    </row>
    <row r="30" customFormat="false" ht="19.5" hidden="false" customHeight="true" outlineLevel="0" collapsed="false">
      <c r="B30" s="19"/>
      <c r="C30" s="20" t="str">
        <f aca="false">IF($B30="","",TEXT($B30,"ddd"))</f>
        <v/>
      </c>
      <c r="D30" s="21"/>
      <c r="E30" s="22"/>
      <c r="F30" s="21"/>
      <c r="G30" s="21"/>
      <c r="H30" s="21"/>
      <c r="I30" s="23"/>
      <c r="J30" s="23"/>
      <c r="K30" s="22"/>
      <c r="L30" s="22"/>
    </row>
    <row r="31" customFormat="false" ht="19.5" hidden="false" customHeight="true" outlineLevel="0" collapsed="false">
      <c r="B31" s="19"/>
      <c r="C31" s="20" t="str">
        <f aca="false">IF($B31="","",TEXT($B31,"ddd"))</f>
        <v/>
      </c>
      <c r="D31" s="21"/>
      <c r="E31" s="22"/>
      <c r="F31" s="21"/>
      <c r="G31" s="21"/>
      <c r="H31" s="21"/>
      <c r="I31" s="23"/>
      <c r="J31" s="23"/>
      <c r="K31" s="22"/>
      <c r="L31" s="22"/>
    </row>
    <row r="32" customFormat="false" ht="19.5" hidden="false" customHeight="true" outlineLevel="0" collapsed="false">
      <c r="B32" s="19"/>
      <c r="C32" s="20" t="str">
        <f aca="false">IF($B32="","",TEXT($B32,"ddd"))</f>
        <v/>
      </c>
      <c r="D32" s="21"/>
      <c r="E32" s="22"/>
      <c r="F32" s="21"/>
      <c r="G32" s="21"/>
      <c r="H32" s="21"/>
      <c r="I32" s="23"/>
      <c r="J32" s="23"/>
      <c r="K32" s="22"/>
      <c r="L32" s="22"/>
    </row>
    <row r="33" customFormat="false" ht="19.5" hidden="false" customHeight="true" outlineLevel="0" collapsed="false">
      <c r="B33" s="19"/>
      <c r="C33" s="20" t="str">
        <f aca="false">IF($B33="","",TEXT($B33,"ddd"))</f>
        <v/>
      </c>
      <c r="D33" s="21"/>
      <c r="E33" s="22"/>
      <c r="F33" s="21"/>
      <c r="G33" s="21"/>
      <c r="H33" s="21"/>
      <c r="I33" s="23"/>
      <c r="J33" s="23"/>
      <c r="K33" s="22"/>
      <c r="L33" s="22"/>
    </row>
    <row r="34" customFormat="false" ht="19.5" hidden="false" customHeight="true" outlineLevel="0" collapsed="false">
      <c r="B34" s="19"/>
      <c r="C34" s="20" t="str">
        <f aca="false">IF($B34="","",TEXT($B34,"ddd"))</f>
        <v/>
      </c>
      <c r="D34" s="21"/>
      <c r="E34" s="22"/>
      <c r="F34" s="21"/>
      <c r="G34" s="21"/>
      <c r="H34" s="21"/>
      <c r="I34" s="23"/>
      <c r="J34" s="23"/>
      <c r="K34" s="22"/>
      <c r="L34" s="22"/>
    </row>
    <row r="35" customFormat="false" ht="19.5" hidden="false" customHeight="true" outlineLevel="0" collapsed="false">
      <c r="B35" s="19"/>
      <c r="C35" s="20" t="str">
        <f aca="false">IF($B35="","",TEXT($B35,"ddd"))</f>
        <v/>
      </c>
      <c r="D35" s="21"/>
      <c r="E35" s="22"/>
      <c r="F35" s="21"/>
      <c r="G35" s="21"/>
      <c r="H35" s="21"/>
      <c r="I35" s="23"/>
      <c r="J35" s="23"/>
      <c r="K35" s="22"/>
      <c r="L35" s="22"/>
    </row>
    <row r="36" customFormat="false" ht="19.5" hidden="false" customHeight="true" outlineLevel="0" collapsed="false">
      <c r="B36" s="19"/>
      <c r="C36" s="20" t="str">
        <f aca="false">IF($B36="","",TEXT($B36,"ddd"))</f>
        <v/>
      </c>
      <c r="D36" s="21"/>
      <c r="E36" s="22"/>
      <c r="F36" s="21"/>
      <c r="G36" s="21"/>
      <c r="H36" s="21"/>
      <c r="I36" s="23"/>
      <c r="J36" s="23"/>
      <c r="K36" s="22"/>
      <c r="L36" s="22"/>
    </row>
    <row r="37" customFormat="false" ht="19.5" hidden="false" customHeight="true" outlineLevel="0" collapsed="false">
      <c r="B37" s="19"/>
      <c r="C37" s="20" t="str">
        <f aca="false">IF($B37="","",TEXT($B37,"ddd"))</f>
        <v/>
      </c>
      <c r="D37" s="21"/>
      <c r="E37" s="22"/>
      <c r="F37" s="21"/>
      <c r="G37" s="21"/>
      <c r="H37" s="21"/>
      <c r="I37" s="23"/>
      <c r="J37" s="23"/>
      <c r="K37" s="22"/>
      <c r="L37" s="22"/>
    </row>
    <row r="38" customFormat="false" ht="19.5" hidden="false" customHeight="true" outlineLevel="0" collapsed="false">
      <c r="B38" s="19"/>
      <c r="C38" s="20" t="str">
        <f aca="false">IF($B38="","",TEXT($B38,"ddd"))</f>
        <v/>
      </c>
      <c r="D38" s="21"/>
      <c r="E38" s="22"/>
      <c r="F38" s="21"/>
      <c r="G38" s="21"/>
      <c r="H38" s="21"/>
      <c r="I38" s="23"/>
      <c r="J38" s="23"/>
      <c r="K38" s="22"/>
      <c r="L38" s="22"/>
    </row>
    <row r="39" customFormat="false" ht="19.5" hidden="false" customHeight="true" outlineLevel="0" collapsed="false">
      <c r="B39" s="19"/>
      <c r="C39" s="20" t="str">
        <f aca="false">IF($B39="","",TEXT($B39,"ddd"))</f>
        <v/>
      </c>
      <c r="D39" s="21"/>
      <c r="E39" s="22"/>
      <c r="F39" s="21"/>
      <c r="G39" s="21"/>
      <c r="H39" s="21"/>
      <c r="I39" s="23"/>
      <c r="J39" s="23"/>
      <c r="K39" s="22"/>
      <c r="L39" s="22"/>
    </row>
    <row r="40" customFormat="false" ht="19.5" hidden="false" customHeight="true" outlineLevel="0" collapsed="false">
      <c r="B40" s="19"/>
      <c r="C40" s="20" t="str">
        <f aca="false">IF($B40="","",TEXT($B40,"ddd"))</f>
        <v/>
      </c>
      <c r="D40" s="21"/>
      <c r="E40" s="22"/>
      <c r="F40" s="21"/>
      <c r="G40" s="21"/>
      <c r="H40" s="21"/>
      <c r="I40" s="23"/>
      <c r="J40" s="23"/>
      <c r="K40" s="22"/>
      <c r="L40" s="22"/>
    </row>
    <row r="41" customFormat="false" ht="19.5" hidden="false" customHeight="true" outlineLevel="0" collapsed="false">
      <c r="B41" s="19"/>
      <c r="C41" s="20" t="str">
        <f aca="false">IF($B41="","",TEXT($B41,"ddd"))</f>
        <v/>
      </c>
      <c r="D41" s="21"/>
      <c r="E41" s="22"/>
      <c r="F41" s="21"/>
      <c r="G41" s="21"/>
      <c r="H41" s="21"/>
      <c r="I41" s="23"/>
      <c r="J41" s="23"/>
      <c r="K41" s="22"/>
      <c r="L41" s="22"/>
    </row>
    <row r="42" customFormat="false" ht="19.5" hidden="false" customHeight="true" outlineLevel="0" collapsed="false">
      <c r="B42" s="19"/>
      <c r="C42" s="20" t="str">
        <f aca="false">IF($B42="","",TEXT($B42,"ddd"))</f>
        <v/>
      </c>
      <c r="D42" s="21"/>
      <c r="E42" s="22"/>
      <c r="F42" s="21"/>
      <c r="G42" s="21"/>
      <c r="H42" s="21"/>
      <c r="I42" s="23"/>
      <c r="J42" s="23"/>
      <c r="K42" s="22"/>
      <c r="L42" s="22"/>
    </row>
    <row r="43" customFormat="false" ht="19.5" hidden="false" customHeight="true" outlineLevel="0" collapsed="false">
      <c r="B43" s="19"/>
      <c r="C43" s="20" t="str">
        <f aca="false">IF($B43="","",TEXT($B43,"ddd"))</f>
        <v/>
      </c>
      <c r="D43" s="21"/>
      <c r="E43" s="22"/>
      <c r="F43" s="21"/>
      <c r="G43" s="21"/>
      <c r="H43" s="21"/>
      <c r="I43" s="23"/>
      <c r="J43" s="23"/>
      <c r="K43" s="22"/>
      <c r="L43" s="22"/>
    </row>
    <row r="44" customFormat="false" ht="19.5" hidden="false" customHeight="true" outlineLevel="0" collapsed="false">
      <c r="B44" s="19"/>
      <c r="C44" s="20" t="str">
        <f aca="false">IF($B44="","",TEXT($B44,"ddd"))</f>
        <v/>
      </c>
      <c r="D44" s="21"/>
      <c r="E44" s="22"/>
      <c r="F44" s="21"/>
      <c r="G44" s="21"/>
      <c r="H44" s="21"/>
      <c r="I44" s="23"/>
      <c r="J44" s="23"/>
      <c r="K44" s="22"/>
      <c r="L44" s="22"/>
    </row>
  </sheetData>
  <autoFilter ref="B4:L44"/>
  <mergeCells count="1">
    <mergeCell ref="B2:L2"/>
  </mergeCells>
  <dataValidations count="3">
    <dataValidation allowBlank="true" error="Please choose one of the listed values." errorStyle="stop" errorTitle="Invalid entry" operator="between" prompt="Select from list" promptTitle="Dropdown" showDropDown="false" showErrorMessage="true" showInputMessage="false" sqref="D5:D4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H5:H44" type="list">
      <formula1>"Yes,No"</formula1>
      <formula2>0</formula2>
    </dataValidation>
    <dataValidation allowBlank="true" error="Enter a whole number between 0 and 40." errorStyle="stop" errorTitle="Out of range" operator="between" showDropDown="false" showErrorMessage="true" showInputMessage="false" sqref="I5:J44" type="whole">
      <formula1>0</formula1>
      <formula2>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E4F0"/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30"/>
  </cols>
  <sheetData>
    <row r="2" customFormat="false" ht="31.5" hidden="false" customHeight="true" outlineLevel="0" collapsed="false">
      <c r="B2" s="2" t="s">
        <v>95</v>
      </c>
      <c r="C2" s="2"/>
      <c r="D2" s="2"/>
      <c r="E2" s="2"/>
    </row>
    <row r="3" customFormat="false" ht="7.5" hidden="false" customHeight="true" outlineLevel="0" collapsed="false">
      <c r="B3" s="4"/>
      <c r="C3" s="4"/>
      <c r="D3" s="4"/>
      <c r="E3" s="4"/>
    </row>
    <row r="4" customFormat="false" ht="14.25" hidden="false" customHeight="true" outlineLevel="0" collapsed="false">
      <c r="B4" s="6" t="s">
        <v>96</v>
      </c>
      <c r="C4" s="4"/>
      <c r="D4" s="4"/>
      <c r="E4" s="4"/>
    </row>
    <row r="5" customFormat="false" ht="15" hidden="false" customHeight="false" outlineLevel="0" collapsed="false">
      <c r="B5" s="4"/>
      <c r="C5" s="4"/>
      <c r="D5" s="4"/>
      <c r="E5" s="4"/>
    </row>
    <row r="6" customFormat="false" ht="15" hidden="false" customHeight="true" outlineLevel="0" collapsed="false">
      <c r="B6" s="5" t="s">
        <v>97</v>
      </c>
      <c r="C6" s="4"/>
      <c r="D6" s="4"/>
      <c r="E6" s="4"/>
    </row>
    <row r="7" customFormat="false" ht="14.25" hidden="false" customHeight="true" outlineLevel="0" collapsed="false">
      <c r="B7" s="6" t="s">
        <v>98</v>
      </c>
      <c r="C7" s="24" t="n">
        <v>1</v>
      </c>
      <c r="D7" s="4"/>
      <c r="E7" s="4"/>
    </row>
    <row r="8" customFormat="false" ht="14.25" hidden="false" customHeight="true" outlineLevel="0" collapsed="false">
      <c r="B8" s="6" t="s">
        <v>99</v>
      </c>
      <c r="C8" s="25" t="n">
        <f aca="false">IF(ISNUMBER($C$7),$C$7*37.32,"")</f>
        <v>37.32</v>
      </c>
      <c r="D8" s="4"/>
      <c r="E8" s="4"/>
    </row>
    <row r="9" customFormat="false" ht="15" hidden="false" customHeight="false" outlineLevel="0" collapsed="false">
      <c r="B9" s="4"/>
      <c r="C9" s="4"/>
      <c r="D9" s="4"/>
      <c r="E9" s="4"/>
    </row>
    <row r="10" customFormat="false" ht="15" hidden="false" customHeight="true" outlineLevel="0" collapsed="false">
      <c r="B10" s="5" t="s">
        <v>100</v>
      </c>
      <c r="C10" s="4"/>
      <c r="D10" s="4"/>
      <c r="E10" s="4"/>
    </row>
    <row r="11" customFormat="false" ht="14.25" hidden="false" customHeight="true" outlineLevel="0" collapsed="false">
      <c r="B11" s="6" t="s">
        <v>101</v>
      </c>
      <c r="C11" s="24" t="n">
        <v>37.32</v>
      </c>
      <c r="D11" s="4"/>
      <c r="E11" s="4"/>
    </row>
    <row r="12" customFormat="false" ht="14.25" hidden="false" customHeight="true" outlineLevel="0" collapsed="false">
      <c r="B12" s="6" t="s">
        <v>102</v>
      </c>
      <c r="C12" s="25" t="n">
        <f aca="false">IF(ISNUMBER($C$11),ROUND($C$11/37.32,4),"")</f>
        <v>1</v>
      </c>
      <c r="D12" s="4"/>
      <c r="E12" s="4"/>
    </row>
    <row r="13" customFormat="false" ht="15" hidden="false" customHeight="false" outlineLevel="0" collapsed="false">
      <c r="B13" s="4"/>
      <c r="C13" s="4"/>
      <c r="D13" s="4"/>
      <c r="E13" s="4"/>
    </row>
    <row r="14" customFormat="false" ht="15" hidden="false" customHeight="true" outlineLevel="0" collapsed="false">
      <c r="B14" s="5" t="s">
        <v>103</v>
      </c>
      <c r="C14" s="4"/>
      <c r="D14" s="4"/>
      <c r="E14" s="4"/>
    </row>
    <row r="15" customFormat="false" ht="14.25" hidden="false" customHeight="true" outlineLevel="0" collapsed="false">
      <c r="B15" s="6" t="s">
        <v>28</v>
      </c>
      <c r="C15" s="26" t="s">
        <v>104</v>
      </c>
      <c r="D15" s="4"/>
      <c r="E15" s="4"/>
    </row>
    <row r="16" customFormat="false" ht="14.25" hidden="false" customHeight="true" outlineLevel="0" collapsed="false">
      <c r="B16" s="6" t="s">
        <v>30</v>
      </c>
      <c r="C16" s="26" t="s">
        <v>105</v>
      </c>
      <c r="D16" s="4"/>
      <c r="E16" s="4"/>
    </row>
    <row r="17" customFormat="false" ht="14.25" hidden="false" customHeight="true" outlineLevel="0" collapsed="false">
      <c r="B17" s="6" t="s">
        <v>106</v>
      </c>
      <c r="C17" s="26" t="s">
        <v>107</v>
      </c>
      <c r="D17" s="4"/>
      <c r="E17" s="4"/>
    </row>
    <row r="18" customFormat="false" ht="14.25" hidden="false" customHeight="true" outlineLevel="0" collapsed="false">
      <c r="B18" s="6" t="s">
        <v>108</v>
      </c>
      <c r="C18" s="26" t="s">
        <v>109</v>
      </c>
      <c r="D18" s="4"/>
      <c r="E18" s="4"/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E4F0"/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4" min="4" style="1" width="34"/>
    <col collapsed="false" customWidth="true" hidden="false" outlineLevel="0" max="5" min="5" style="1" width="30"/>
    <col collapsed="false" customWidth="true" hidden="false" outlineLevel="0" max="6" min="6" style="1" width="14"/>
  </cols>
  <sheetData>
    <row r="2" customFormat="false" ht="31.5" hidden="false" customHeight="true" outlineLevel="0" collapsed="false">
      <c r="B2" s="2" t="s">
        <v>110</v>
      </c>
      <c r="C2" s="2"/>
      <c r="D2" s="2"/>
      <c r="E2" s="2"/>
      <c r="F2" s="2"/>
      <c r="G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</row>
    <row r="4" customFormat="false" ht="27.75" hidden="false" customHeight="true" outlineLevel="0" collapsed="false">
      <c r="B4" s="11" t="s">
        <v>111</v>
      </c>
      <c r="C4" s="11" t="s">
        <v>112</v>
      </c>
      <c r="D4" s="11" t="s">
        <v>113</v>
      </c>
      <c r="E4" s="11" t="s">
        <v>114</v>
      </c>
      <c r="F4" s="11" t="s">
        <v>115</v>
      </c>
      <c r="G4" s="4"/>
    </row>
    <row r="5" customFormat="false" ht="21.75" hidden="false" customHeight="true" outlineLevel="0" collapsed="false">
      <c r="B5" s="13" t="s">
        <v>116</v>
      </c>
      <c r="C5" s="13" t="s">
        <v>117</v>
      </c>
      <c r="D5" s="13" t="s">
        <v>118</v>
      </c>
      <c r="E5" s="13" t="s">
        <v>119</v>
      </c>
      <c r="F5" s="13" t="s">
        <v>120</v>
      </c>
      <c r="G5" s="4"/>
    </row>
    <row r="6" customFormat="false" ht="21.75" hidden="false" customHeight="true" outlineLevel="0" collapsed="false">
      <c r="B6" s="15" t="s">
        <v>121</v>
      </c>
      <c r="C6" s="15" t="s">
        <v>122</v>
      </c>
      <c r="D6" s="15" t="s">
        <v>123</v>
      </c>
      <c r="E6" s="15" t="s">
        <v>124</v>
      </c>
      <c r="F6" s="15" t="s">
        <v>120</v>
      </c>
      <c r="G6" s="4"/>
    </row>
    <row r="7" customFormat="false" ht="21.75" hidden="false" customHeight="true" outlineLevel="0" collapsed="false">
      <c r="B7" s="13" t="s">
        <v>125</v>
      </c>
      <c r="C7" s="13" t="s">
        <v>126</v>
      </c>
      <c r="D7" s="13" t="s">
        <v>127</v>
      </c>
      <c r="E7" s="13" t="s">
        <v>128</v>
      </c>
      <c r="F7" s="13" t="s">
        <v>120</v>
      </c>
      <c r="G7" s="4"/>
    </row>
    <row r="8" customFormat="false" ht="21.75" hidden="false" customHeight="true" outlineLevel="0" collapsed="false">
      <c r="B8" s="15" t="s">
        <v>129</v>
      </c>
      <c r="C8" s="15" t="s">
        <v>130</v>
      </c>
      <c r="D8" s="15" t="s">
        <v>131</v>
      </c>
      <c r="E8" s="15" t="s">
        <v>132</v>
      </c>
      <c r="F8" s="15" t="s">
        <v>120</v>
      </c>
      <c r="G8" s="4"/>
    </row>
    <row r="9" customFormat="false" ht="21.75" hidden="false" customHeight="true" outlineLevel="0" collapsed="false">
      <c r="B9" s="13" t="s">
        <v>133</v>
      </c>
      <c r="C9" s="13" t="s">
        <v>134</v>
      </c>
      <c r="D9" s="13" t="s">
        <v>135</v>
      </c>
      <c r="E9" s="13" t="s">
        <v>136</v>
      </c>
      <c r="F9" s="13" t="s">
        <v>137</v>
      </c>
      <c r="G9" s="4"/>
    </row>
    <row r="10" customFormat="false" ht="21.75" hidden="false" customHeight="true" outlineLevel="0" collapsed="false">
      <c r="B10" s="15" t="s">
        <v>138</v>
      </c>
      <c r="C10" s="15" t="s">
        <v>139</v>
      </c>
      <c r="D10" s="15" t="s">
        <v>140</v>
      </c>
      <c r="E10" s="15" t="s">
        <v>141</v>
      </c>
      <c r="F10" s="15" t="s">
        <v>137</v>
      </c>
      <c r="G10" s="4"/>
    </row>
    <row r="11" customFormat="false" ht="21.75" hidden="false" customHeight="true" outlineLevel="0" collapsed="false">
      <c r="B11" s="13" t="s">
        <v>142</v>
      </c>
      <c r="C11" s="13" t="s">
        <v>143</v>
      </c>
      <c r="D11" s="13" t="s">
        <v>144</v>
      </c>
      <c r="E11" s="13" t="s">
        <v>145</v>
      </c>
      <c r="F11" s="13" t="s">
        <v>137</v>
      </c>
      <c r="G11" s="4"/>
    </row>
    <row r="12" customFormat="false" ht="21.75" hidden="false" customHeight="true" outlineLevel="0" collapsed="false">
      <c r="B12" s="15" t="s">
        <v>146</v>
      </c>
      <c r="C12" s="15" t="s">
        <v>147</v>
      </c>
      <c r="D12" s="15" t="s">
        <v>148</v>
      </c>
      <c r="E12" s="15" t="s">
        <v>149</v>
      </c>
      <c r="F12" s="15" t="s">
        <v>150</v>
      </c>
      <c r="G12" s="4"/>
    </row>
    <row r="13" customFormat="false" ht="21.75" hidden="false" customHeight="true" outlineLevel="0" collapsed="false">
      <c r="B13" s="13" t="s">
        <v>151</v>
      </c>
      <c r="C13" s="13" t="s">
        <v>152</v>
      </c>
      <c r="D13" s="13" t="s">
        <v>153</v>
      </c>
      <c r="E13" s="13" t="s">
        <v>154</v>
      </c>
      <c r="F13" s="13" t="s">
        <v>155</v>
      </c>
      <c r="G13" s="4"/>
    </row>
    <row r="14" customFormat="false" ht="21.75" hidden="false" customHeight="true" outlineLevel="0" collapsed="false">
      <c r="B14" s="15" t="s">
        <v>156</v>
      </c>
      <c r="C14" s="15" t="s">
        <v>157</v>
      </c>
      <c r="D14" s="15" t="s">
        <v>158</v>
      </c>
      <c r="E14" s="15" t="s">
        <v>159</v>
      </c>
      <c r="F14" s="15" t="s">
        <v>155</v>
      </c>
      <c r="G14" s="4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E4F0"/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46"/>
  </cols>
  <sheetData>
    <row r="2" customFormat="false" ht="31.5" hidden="false" customHeight="true" outlineLevel="0" collapsed="false">
      <c r="B2" s="2" t="s">
        <v>160</v>
      </c>
      <c r="C2" s="2"/>
      <c r="D2" s="2"/>
      <c r="E2" s="2"/>
      <c r="F2" s="2"/>
    </row>
    <row r="3" customFormat="false" ht="7.5" hidden="false" customHeight="true" outlineLevel="0" collapsed="false">
      <c r="B3" s="4"/>
      <c r="C3" s="4"/>
      <c r="D3" s="4"/>
      <c r="E3" s="4"/>
      <c r="F3" s="4"/>
    </row>
    <row r="4" customFormat="false" ht="27.75" hidden="false" customHeight="true" outlineLevel="0" collapsed="false">
      <c r="B4" s="11" t="s">
        <v>111</v>
      </c>
      <c r="C4" s="11" t="s">
        <v>161</v>
      </c>
      <c r="D4" s="11" t="s">
        <v>162</v>
      </c>
      <c r="E4" s="11" t="s">
        <v>163</v>
      </c>
      <c r="F4" s="4"/>
    </row>
    <row r="5" customFormat="false" ht="21.75" hidden="false" customHeight="true" outlineLevel="0" collapsed="false">
      <c r="B5" s="13" t="s">
        <v>65</v>
      </c>
      <c r="C5" s="13" t="s">
        <v>164</v>
      </c>
      <c r="D5" s="13" t="s">
        <v>165</v>
      </c>
      <c r="E5" s="13" t="s">
        <v>166</v>
      </c>
      <c r="F5" s="4"/>
    </row>
    <row r="6" customFormat="false" ht="21.75" hidden="false" customHeight="true" outlineLevel="0" collapsed="false">
      <c r="B6" s="15" t="s">
        <v>66</v>
      </c>
      <c r="C6" s="15" t="s">
        <v>167</v>
      </c>
      <c r="D6" s="15" t="s">
        <v>168</v>
      </c>
      <c r="E6" s="15" t="s">
        <v>169</v>
      </c>
      <c r="F6" s="4"/>
    </row>
    <row r="7" customFormat="false" ht="21.75" hidden="false" customHeight="true" outlineLevel="0" collapsed="false">
      <c r="B7" s="13" t="s">
        <v>67</v>
      </c>
      <c r="C7" s="13" t="s">
        <v>170</v>
      </c>
      <c r="D7" s="13" t="s">
        <v>168</v>
      </c>
      <c r="E7" s="13" t="s">
        <v>171</v>
      </c>
      <c r="F7" s="4"/>
    </row>
    <row r="8" customFormat="false" ht="21.75" hidden="false" customHeight="true" outlineLevel="0" collapsed="false">
      <c r="B8" s="15" t="s">
        <v>68</v>
      </c>
      <c r="C8" s="15" t="s">
        <v>172</v>
      </c>
      <c r="D8" s="15" t="s">
        <v>168</v>
      </c>
      <c r="E8" s="15" t="s">
        <v>173</v>
      </c>
      <c r="F8" s="4"/>
    </row>
    <row r="9" customFormat="false" ht="21.75" hidden="false" customHeight="true" outlineLevel="0" collapsed="false">
      <c r="B9" s="13" t="s">
        <v>69</v>
      </c>
      <c r="C9" s="13" t="s">
        <v>174</v>
      </c>
      <c r="D9" s="13" t="s">
        <v>168</v>
      </c>
      <c r="E9" s="13" t="s">
        <v>175</v>
      </c>
      <c r="F9" s="4"/>
    </row>
    <row r="10" customFormat="false" ht="21.75" hidden="false" customHeight="true" outlineLevel="0" collapsed="false">
      <c r="B10" s="15" t="s">
        <v>70</v>
      </c>
      <c r="C10" s="15" t="s">
        <v>176</v>
      </c>
      <c r="D10" s="15" t="s">
        <v>177</v>
      </c>
      <c r="E10" s="15" t="s">
        <v>178</v>
      </c>
      <c r="F10" s="4"/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B2:A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10" min="8" style="1" width="12"/>
    <col collapsed="false" customWidth="true" hidden="false" outlineLevel="0" max="11" min="11" style="1" width="10"/>
    <col collapsed="false" customWidth="true" hidden="false" outlineLevel="0" max="12" min="12" style="1" width="13"/>
    <col collapsed="false" customWidth="true" hidden="false" outlineLevel="0" max="15" min="13" style="1" width="12"/>
    <col collapsed="false" customWidth="true" hidden="false" outlineLevel="0" max="16" min="16" style="1" width="11"/>
    <col collapsed="false" customWidth="true" hidden="false" outlineLevel="0" max="18" min="17" style="1" width="12"/>
    <col collapsed="false" customWidth="true" hidden="false" outlineLevel="0" max="19" min="19" style="1" width="10"/>
    <col collapsed="false" customWidth="true" hidden="false" outlineLevel="0" max="22" min="20" style="1" width="12"/>
    <col collapsed="false" customWidth="true" hidden="false" outlineLevel="0" max="23" min="23" style="1" width="18"/>
    <col collapsed="false" customWidth="true" hidden="false" outlineLevel="0" max="26" min="24" style="1" width="11"/>
    <col collapsed="false" customWidth="true" hidden="false" outlineLevel="0" max="27" min="27" style="1" width="12"/>
    <col collapsed="false" customWidth="true" hidden="false" outlineLevel="0" max="30" min="28" style="1" width="16"/>
    <col collapsed="false" customWidth="true" hidden="false" outlineLevel="0" max="31" min="31" style="1" width="11"/>
    <col collapsed="false" customWidth="true" hidden="false" outlineLevel="0" max="32" min="32" style="1" width="22"/>
  </cols>
  <sheetData>
    <row r="2" customFormat="false" ht="31.5" hidden="false" customHeight="true" outlineLevel="0" collapsed="false">
      <c r="B2" s="2" t="s">
        <v>179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customFormat="false" ht="27.75" hidden="false" customHeight="true" outlineLevel="0" collapsed="false">
      <c r="B4" s="11" t="s">
        <v>37</v>
      </c>
      <c r="C4" s="11" t="s">
        <v>58</v>
      </c>
      <c r="D4" s="11" t="s">
        <v>180</v>
      </c>
      <c r="E4" s="11" t="s">
        <v>181</v>
      </c>
      <c r="F4" s="11" t="s">
        <v>182</v>
      </c>
      <c r="G4" s="11" t="s">
        <v>183</v>
      </c>
      <c r="H4" s="11" t="s">
        <v>184</v>
      </c>
      <c r="I4" s="11" t="s">
        <v>185</v>
      </c>
      <c r="J4" s="11" t="s">
        <v>186</v>
      </c>
      <c r="K4" s="11" t="s">
        <v>187</v>
      </c>
      <c r="L4" s="11" t="s">
        <v>188</v>
      </c>
      <c r="M4" s="11" t="s">
        <v>189</v>
      </c>
      <c r="N4" s="11" t="s">
        <v>190</v>
      </c>
      <c r="O4" s="11" t="s">
        <v>191</v>
      </c>
      <c r="P4" s="11" t="s">
        <v>192</v>
      </c>
      <c r="Q4" s="11" t="s">
        <v>193</v>
      </c>
      <c r="R4" s="11" t="s">
        <v>194</v>
      </c>
      <c r="S4" s="11" t="s">
        <v>195</v>
      </c>
      <c r="T4" s="11" t="s">
        <v>196</v>
      </c>
      <c r="U4" s="11" t="s">
        <v>197</v>
      </c>
      <c r="V4" s="11" t="s">
        <v>198</v>
      </c>
      <c r="W4" s="11" t="s">
        <v>199</v>
      </c>
      <c r="X4" s="11" t="s">
        <v>200</v>
      </c>
      <c r="Y4" s="11" t="s">
        <v>201</v>
      </c>
      <c r="Z4" s="11" t="s">
        <v>202</v>
      </c>
      <c r="AA4" s="11" t="s">
        <v>203</v>
      </c>
      <c r="AB4" s="11" t="s">
        <v>204</v>
      </c>
      <c r="AC4" s="11" t="s">
        <v>205</v>
      </c>
      <c r="AD4" s="11" t="s">
        <v>206</v>
      </c>
      <c r="AE4" s="11" t="s">
        <v>207</v>
      </c>
      <c r="AF4" s="11" t="s">
        <v>39</v>
      </c>
      <c r="AG4" s="11" t="s">
        <v>94</v>
      </c>
    </row>
    <row r="5" customFormat="false" ht="19.5" hidden="false" customHeight="true" outlineLevel="0" collapsed="false">
      <c r="B5" s="27" t="s">
        <v>208</v>
      </c>
      <c r="C5" s="28" t="s">
        <v>65</v>
      </c>
      <c r="D5" s="19"/>
      <c r="E5" s="23"/>
      <c r="F5" s="21"/>
      <c r="G5" s="23"/>
      <c r="H5" s="29"/>
      <c r="I5" s="21"/>
      <c r="J5" s="30" t="str">
        <f aca="false">IF(OR($H5="",$I5="",NOT(ISNUMBER($H5))),"",IF($I5="Maund",ROUND($H5*37.32,2),$H5))</f>
        <v/>
      </c>
      <c r="K5" s="23"/>
      <c r="L5" s="21"/>
      <c r="M5" s="29"/>
      <c r="N5" s="21"/>
      <c r="O5" s="21"/>
      <c r="P5" s="29"/>
      <c r="Q5" s="29"/>
      <c r="R5" s="21"/>
      <c r="S5" s="23"/>
      <c r="T5" s="29"/>
      <c r="U5" s="29"/>
      <c r="V5" s="21"/>
      <c r="W5" s="22"/>
      <c r="X5" s="29"/>
      <c r="Y5" s="31"/>
      <c r="Z5" s="31"/>
      <c r="AA5" s="31"/>
      <c r="AB5" s="21"/>
      <c r="AC5" s="22"/>
      <c r="AD5" s="22"/>
      <c r="AE5" s="22"/>
      <c r="AF5" s="21"/>
      <c r="AG5" s="22"/>
    </row>
    <row r="6" customFormat="false" ht="19.5" hidden="false" customHeight="true" outlineLevel="0" collapsed="false">
      <c r="B6" s="27" t="s">
        <v>209</v>
      </c>
      <c r="C6" s="28" t="s">
        <v>65</v>
      </c>
      <c r="D6" s="19"/>
      <c r="E6" s="23"/>
      <c r="F6" s="21"/>
      <c r="G6" s="23"/>
      <c r="H6" s="29"/>
      <c r="I6" s="21"/>
      <c r="J6" s="30" t="str">
        <f aca="false">IF(OR($H6="",$I6="",NOT(ISNUMBER($H6))),"",IF($I6="Maund",ROUND($H6*37.32,2),$H6))</f>
        <v/>
      </c>
      <c r="K6" s="23"/>
      <c r="L6" s="21"/>
      <c r="M6" s="29"/>
      <c r="N6" s="21"/>
      <c r="O6" s="21"/>
      <c r="P6" s="29"/>
      <c r="Q6" s="29"/>
      <c r="R6" s="21"/>
      <c r="S6" s="23"/>
      <c r="T6" s="29"/>
      <c r="U6" s="29"/>
      <c r="V6" s="21"/>
      <c r="W6" s="22"/>
      <c r="X6" s="29"/>
      <c r="Y6" s="31"/>
      <c r="Z6" s="31"/>
      <c r="AA6" s="31"/>
      <c r="AB6" s="21"/>
      <c r="AC6" s="22"/>
      <c r="AD6" s="22"/>
      <c r="AE6" s="22"/>
      <c r="AF6" s="21"/>
      <c r="AG6" s="22"/>
    </row>
    <row r="7" customFormat="false" ht="19.5" hidden="false" customHeight="true" outlineLevel="0" collapsed="false">
      <c r="B7" s="27" t="s">
        <v>210</v>
      </c>
      <c r="C7" s="28" t="s">
        <v>65</v>
      </c>
      <c r="D7" s="19"/>
      <c r="E7" s="23"/>
      <c r="F7" s="21"/>
      <c r="G7" s="23"/>
      <c r="H7" s="29"/>
      <c r="I7" s="21"/>
      <c r="J7" s="30" t="str">
        <f aca="false">IF(OR($H7="",$I7="",NOT(ISNUMBER($H7))),"",IF($I7="Maund",ROUND($H7*37.32,2),$H7))</f>
        <v/>
      </c>
      <c r="K7" s="23"/>
      <c r="L7" s="21"/>
      <c r="M7" s="29"/>
      <c r="N7" s="21"/>
      <c r="O7" s="21"/>
      <c r="P7" s="29"/>
      <c r="Q7" s="29"/>
      <c r="R7" s="21"/>
      <c r="S7" s="23"/>
      <c r="T7" s="29"/>
      <c r="U7" s="29"/>
      <c r="V7" s="21"/>
      <c r="W7" s="22"/>
      <c r="X7" s="29"/>
      <c r="Y7" s="31"/>
      <c r="Z7" s="31"/>
      <c r="AA7" s="31"/>
      <c r="AB7" s="21"/>
      <c r="AC7" s="22"/>
      <c r="AD7" s="22"/>
      <c r="AE7" s="22"/>
      <c r="AF7" s="21"/>
      <c r="AG7" s="22"/>
    </row>
    <row r="8" customFormat="false" ht="19.5" hidden="false" customHeight="true" outlineLevel="0" collapsed="false">
      <c r="B8" s="27" t="s">
        <v>211</v>
      </c>
      <c r="C8" s="28" t="s">
        <v>65</v>
      </c>
      <c r="D8" s="19"/>
      <c r="E8" s="23"/>
      <c r="F8" s="21"/>
      <c r="G8" s="23"/>
      <c r="H8" s="29"/>
      <c r="I8" s="21"/>
      <c r="J8" s="30" t="str">
        <f aca="false">IF(OR($H8="",$I8="",NOT(ISNUMBER($H8))),"",IF($I8="Maund",ROUND($H8*37.32,2),$H8))</f>
        <v/>
      </c>
      <c r="K8" s="23"/>
      <c r="L8" s="21"/>
      <c r="M8" s="29"/>
      <c r="N8" s="21"/>
      <c r="O8" s="21"/>
      <c r="P8" s="29"/>
      <c r="Q8" s="29"/>
      <c r="R8" s="21"/>
      <c r="S8" s="23"/>
      <c r="T8" s="29"/>
      <c r="U8" s="29"/>
      <c r="V8" s="21"/>
      <c r="W8" s="22"/>
      <c r="X8" s="29"/>
      <c r="Y8" s="31"/>
      <c r="Z8" s="31"/>
      <c r="AA8" s="31"/>
      <c r="AB8" s="21"/>
      <c r="AC8" s="22"/>
      <c r="AD8" s="22"/>
      <c r="AE8" s="22"/>
      <c r="AF8" s="21"/>
      <c r="AG8" s="22"/>
    </row>
    <row r="9" customFormat="false" ht="19.5" hidden="false" customHeight="true" outlineLevel="0" collapsed="false">
      <c r="B9" s="27" t="s">
        <v>212</v>
      </c>
      <c r="C9" s="28" t="s">
        <v>65</v>
      </c>
      <c r="D9" s="19"/>
      <c r="E9" s="23"/>
      <c r="F9" s="21"/>
      <c r="G9" s="23"/>
      <c r="H9" s="29"/>
      <c r="I9" s="21"/>
      <c r="J9" s="30" t="str">
        <f aca="false">IF(OR($H9="",$I9="",NOT(ISNUMBER($H9))),"",IF($I9="Maund",ROUND($H9*37.32,2),$H9))</f>
        <v/>
      </c>
      <c r="K9" s="23"/>
      <c r="L9" s="21"/>
      <c r="M9" s="29"/>
      <c r="N9" s="21"/>
      <c r="O9" s="21"/>
      <c r="P9" s="29"/>
      <c r="Q9" s="29"/>
      <c r="R9" s="21"/>
      <c r="S9" s="23"/>
      <c r="T9" s="29"/>
      <c r="U9" s="29"/>
      <c r="V9" s="21"/>
      <c r="W9" s="22"/>
      <c r="X9" s="29"/>
      <c r="Y9" s="31"/>
      <c r="Z9" s="31"/>
      <c r="AA9" s="31"/>
      <c r="AB9" s="21"/>
      <c r="AC9" s="22"/>
      <c r="AD9" s="22"/>
      <c r="AE9" s="22"/>
      <c r="AF9" s="21"/>
      <c r="AG9" s="22"/>
    </row>
    <row r="10" customFormat="false" ht="19.5" hidden="false" customHeight="true" outlineLevel="0" collapsed="false">
      <c r="B10" s="27" t="s">
        <v>213</v>
      </c>
      <c r="C10" s="28" t="s">
        <v>65</v>
      </c>
      <c r="D10" s="19"/>
      <c r="E10" s="23"/>
      <c r="F10" s="21"/>
      <c r="G10" s="23"/>
      <c r="H10" s="29"/>
      <c r="I10" s="21"/>
      <c r="J10" s="30" t="str">
        <f aca="false">IF(OR($H10="",$I10="",NOT(ISNUMBER($H10))),"",IF($I10="Maund",ROUND($H10*37.32,2),$H10))</f>
        <v/>
      </c>
      <c r="K10" s="23"/>
      <c r="L10" s="21"/>
      <c r="M10" s="29"/>
      <c r="N10" s="21"/>
      <c r="O10" s="21"/>
      <c r="P10" s="29"/>
      <c r="Q10" s="29"/>
      <c r="R10" s="21"/>
      <c r="S10" s="23"/>
      <c r="T10" s="29"/>
      <c r="U10" s="29"/>
      <c r="V10" s="21"/>
      <c r="W10" s="22"/>
      <c r="X10" s="29"/>
      <c r="Y10" s="31"/>
      <c r="Z10" s="31"/>
      <c r="AA10" s="31"/>
      <c r="AB10" s="21"/>
      <c r="AC10" s="22"/>
      <c r="AD10" s="22"/>
      <c r="AE10" s="22"/>
      <c r="AF10" s="21"/>
      <c r="AG10" s="22"/>
    </row>
    <row r="11" customFormat="false" ht="19.5" hidden="false" customHeight="true" outlineLevel="0" collapsed="false">
      <c r="B11" s="27" t="s">
        <v>214</v>
      </c>
      <c r="C11" s="28" t="s">
        <v>66</v>
      </c>
      <c r="D11" s="19"/>
      <c r="E11" s="23"/>
      <c r="F11" s="21"/>
      <c r="G11" s="23"/>
      <c r="H11" s="29"/>
      <c r="I11" s="21"/>
      <c r="J11" s="30" t="str">
        <f aca="false">IF(OR($H11="",$I11="",NOT(ISNUMBER($H11))),"",IF($I11="Maund",ROUND($H11*37.32,2),$H11))</f>
        <v/>
      </c>
      <c r="K11" s="23"/>
      <c r="L11" s="21"/>
      <c r="M11" s="29"/>
      <c r="N11" s="21"/>
      <c r="O11" s="21"/>
      <c r="P11" s="29"/>
      <c r="Q11" s="29"/>
      <c r="R11" s="21"/>
      <c r="S11" s="23"/>
      <c r="T11" s="29"/>
      <c r="U11" s="29"/>
      <c r="V11" s="21"/>
      <c r="W11" s="22"/>
      <c r="X11" s="29"/>
      <c r="Y11" s="31"/>
      <c r="Z11" s="31"/>
      <c r="AA11" s="31"/>
      <c r="AB11" s="21"/>
      <c r="AC11" s="22"/>
      <c r="AD11" s="22"/>
      <c r="AE11" s="22"/>
      <c r="AF11" s="21"/>
      <c r="AG11" s="22"/>
    </row>
    <row r="12" customFormat="false" ht="19.5" hidden="false" customHeight="true" outlineLevel="0" collapsed="false">
      <c r="B12" s="27" t="s">
        <v>215</v>
      </c>
      <c r="C12" s="28" t="s">
        <v>66</v>
      </c>
      <c r="D12" s="19"/>
      <c r="E12" s="23"/>
      <c r="F12" s="21"/>
      <c r="G12" s="23"/>
      <c r="H12" s="29"/>
      <c r="I12" s="21"/>
      <c r="J12" s="30" t="str">
        <f aca="false">IF(OR($H12="",$I12="",NOT(ISNUMBER($H12))),"",IF($I12="Maund",ROUND($H12*37.32,2),$H12))</f>
        <v/>
      </c>
      <c r="K12" s="23"/>
      <c r="L12" s="21"/>
      <c r="M12" s="29"/>
      <c r="N12" s="21"/>
      <c r="O12" s="21"/>
      <c r="P12" s="29"/>
      <c r="Q12" s="29"/>
      <c r="R12" s="21"/>
      <c r="S12" s="23"/>
      <c r="T12" s="29"/>
      <c r="U12" s="29"/>
      <c r="V12" s="21"/>
      <c r="W12" s="22"/>
      <c r="X12" s="29"/>
      <c r="Y12" s="31"/>
      <c r="Z12" s="31"/>
      <c r="AA12" s="31"/>
      <c r="AB12" s="21"/>
      <c r="AC12" s="22"/>
      <c r="AD12" s="22"/>
      <c r="AE12" s="22"/>
      <c r="AF12" s="21"/>
      <c r="AG12" s="22"/>
    </row>
    <row r="13" customFormat="false" ht="19.5" hidden="false" customHeight="true" outlineLevel="0" collapsed="false">
      <c r="B13" s="27" t="s">
        <v>216</v>
      </c>
      <c r="C13" s="28" t="s">
        <v>66</v>
      </c>
      <c r="D13" s="19"/>
      <c r="E13" s="23"/>
      <c r="F13" s="21"/>
      <c r="G13" s="23"/>
      <c r="H13" s="29"/>
      <c r="I13" s="21"/>
      <c r="J13" s="30" t="str">
        <f aca="false">IF(OR($H13="",$I13="",NOT(ISNUMBER($H13))),"",IF($I13="Maund",ROUND($H13*37.32,2),$H13))</f>
        <v/>
      </c>
      <c r="K13" s="23"/>
      <c r="L13" s="21"/>
      <c r="M13" s="29"/>
      <c r="N13" s="21"/>
      <c r="O13" s="21"/>
      <c r="P13" s="29"/>
      <c r="Q13" s="29"/>
      <c r="R13" s="21"/>
      <c r="S13" s="23"/>
      <c r="T13" s="29"/>
      <c r="U13" s="29"/>
      <c r="V13" s="21"/>
      <c r="W13" s="22"/>
      <c r="X13" s="29"/>
      <c r="Y13" s="31"/>
      <c r="Z13" s="31"/>
      <c r="AA13" s="31"/>
      <c r="AB13" s="21"/>
      <c r="AC13" s="22"/>
      <c r="AD13" s="22"/>
      <c r="AE13" s="22"/>
      <c r="AF13" s="21"/>
      <c r="AG13" s="22"/>
    </row>
    <row r="14" customFormat="false" ht="19.5" hidden="false" customHeight="true" outlineLevel="0" collapsed="false">
      <c r="B14" s="27" t="s">
        <v>217</v>
      </c>
      <c r="C14" s="28" t="s">
        <v>66</v>
      </c>
      <c r="D14" s="19"/>
      <c r="E14" s="23"/>
      <c r="F14" s="21"/>
      <c r="G14" s="23"/>
      <c r="H14" s="29"/>
      <c r="I14" s="21"/>
      <c r="J14" s="30" t="str">
        <f aca="false">IF(OR($H14="",$I14="",NOT(ISNUMBER($H14))),"",IF($I14="Maund",ROUND($H14*37.32,2),$H14))</f>
        <v/>
      </c>
      <c r="K14" s="23"/>
      <c r="L14" s="21"/>
      <c r="M14" s="29"/>
      <c r="N14" s="21"/>
      <c r="O14" s="21"/>
      <c r="P14" s="29"/>
      <c r="Q14" s="29"/>
      <c r="R14" s="21"/>
      <c r="S14" s="23"/>
      <c r="T14" s="29"/>
      <c r="U14" s="29"/>
      <c r="V14" s="21"/>
      <c r="W14" s="22"/>
      <c r="X14" s="29"/>
      <c r="Y14" s="31"/>
      <c r="Z14" s="31"/>
      <c r="AA14" s="31"/>
      <c r="AB14" s="21"/>
      <c r="AC14" s="22"/>
      <c r="AD14" s="22"/>
      <c r="AE14" s="22"/>
      <c r="AF14" s="21"/>
      <c r="AG14" s="22"/>
    </row>
    <row r="15" customFormat="false" ht="19.5" hidden="false" customHeight="true" outlineLevel="0" collapsed="false">
      <c r="B15" s="27" t="s">
        <v>218</v>
      </c>
      <c r="C15" s="28" t="s">
        <v>66</v>
      </c>
      <c r="D15" s="19"/>
      <c r="E15" s="23"/>
      <c r="F15" s="21"/>
      <c r="G15" s="23"/>
      <c r="H15" s="29"/>
      <c r="I15" s="21"/>
      <c r="J15" s="30" t="str">
        <f aca="false">IF(OR($H15="",$I15="",NOT(ISNUMBER($H15))),"",IF($I15="Maund",ROUND($H15*37.32,2),$H15))</f>
        <v/>
      </c>
      <c r="K15" s="23"/>
      <c r="L15" s="21"/>
      <c r="M15" s="29"/>
      <c r="N15" s="21"/>
      <c r="O15" s="21"/>
      <c r="P15" s="29"/>
      <c r="Q15" s="29"/>
      <c r="R15" s="21"/>
      <c r="S15" s="23"/>
      <c r="T15" s="29"/>
      <c r="U15" s="29"/>
      <c r="V15" s="21"/>
      <c r="W15" s="22"/>
      <c r="X15" s="29"/>
      <c r="Y15" s="31"/>
      <c r="Z15" s="31"/>
      <c r="AA15" s="31"/>
      <c r="AB15" s="21"/>
      <c r="AC15" s="22"/>
      <c r="AD15" s="22"/>
      <c r="AE15" s="22"/>
      <c r="AF15" s="21"/>
      <c r="AG15" s="22"/>
    </row>
    <row r="16" customFormat="false" ht="19.5" hidden="false" customHeight="true" outlineLevel="0" collapsed="false">
      <c r="B16" s="27" t="s">
        <v>219</v>
      </c>
      <c r="C16" s="28" t="s">
        <v>66</v>
      </c>
      <c r="D16" s="19"/>
      <c r="E16" s="23"/>
      <c r="F16" s="21"/>
      <c r="G16" s="23"/>
      <c r="H16" s="29"/>
      <c r="I16" s="21"/>
      <c r="J16" s="30" t="str">
        <f aca="false">IF(OR($H16="",$I16="",NOT(ISNUMBER($H16))),"",IF($I16="Maund",ROUND($H16*37.32,2),$H16))</f>
        <v/>
      </c>
      <c r="K16" s="23"/>
      <c r="L16" s="21"/>
      <c r="M16" s="29"/>
      <c r="N16" s="21"/>
      <c r="O16" s="21"/>
      <c r="P16" s="29"/>
      <c r="Q16" s="29"/>
      <c r="R16" s="21"/>
      <c r="S16" s="23"/>
      <c r="T16" s="29"/>
      <c r="U16" s="29"/>
      <c r="V16" s="21"/>
      <c r="W16" s="22"/>
      <c r="X16" s="29"/>
      <c r="Y16" s="31"/>
      <c r="Z16" s="31"/>
      <c r="AA16" s="31"/>
      <c r="AB16" s="21"/>
      <c r="AC16" s="22"/>
      <c r="AD16" s="22"/>
      <c r="AE16" s="22"/>
      <c r="AF16" s="21"/>
      <c r="AG16" s="22"/>
    </row>
    <row r="17" customFormat="false" ht="19.5" hidden="false" customHeight="true" outlineLevel="0" collapsed="false">
      <c r="B17" s="27" t="s">
        <v>220</v>
      </c>
      <c r="C17" s="28" t="s">
        <v>67</v>
      </c>
      <c r="D17" s="19"/>
      <c r="E17" s="23"/>
      <c r="F17" s="21"/>
      <c r="G17" s="23"/>
      <c r="H17" s="29"/>
      <c r="I17" s="21"/>
      <c r="J17" s="30" t="str">
        <f aca="false">IF(OR($H17="",$I17="",NOT(ISNUMBER($H17))),"",IF($I17="Maund",ROUND($H17*37.32,2),$H17))</f>
        <v/>
      </c>
      <c r="K17" s="23"/>
      <c r="L17" s="21"/>
      <c r="M17" s="29"/>
      <c r="N17" s="21"/>
      <c r="O17" s="21"/>
      <c r="P17" s="29"/>
      <c r="Q17" s="29"/>
      <c r="R17" s="21"/>
      <c r="S17" s="23"/>
      <c r="T17" s="29"/>
      <c r="U17" s="29"/>
      <c r="V17" s="21"/>
      <c r="W17" s="22"/>
      <c r="X17" s="29"/>
      <c r="Y17" s="31"/>
      <c r="Z17" s="31"/>
      <c r="AA17" s="31"/>
      <c r="AB17" s="21"/>
      <c r="AC17" s="22"/>
      <c r="AD17" s="22"/>
      <c r="AE17" s="22"/>
      <c r="AF17" s="21"/>
      <c r="AG17" s="22"/>
    </row>
    <row r="18" customFormat="false" ht="19.5" hidden="false" customHeight="true" outlineLevel="0" collapsed="false">
      <c r="B18" s="27" t="s">
        <v>221</v>
      </c>
      <c r="C18" s="28" t="s">
        <v>67</v>
      </c>
      <c r="D18" s="19"/>
      <c r="E18" s="23"/>
      <c r="F18" s="21"/>
      <c r="G18" s="23"/>
      <c r="H18" s="29"/>
      <c r="I18" s="21"/>
      <c r="J18" s="30" t="str">
        <f aca="false">IF(OR($H18="",$I18="",NOT(ISNUMBER($H18))),"",IF($I18="Maund",ROUND($H18*37.32,2),$H18))</f>
        <v/>
      </c>
      <c r="K18" s="23"/>
      <c r="L18" s="21"/>
      <c r="M18" s="29"/>
      <c r="N18" s="21"/>
      <c r="O18" s="21"/>
      <c r="P18" s="29"/>
      <c r="Q18" s="29"/>
      <c r="R18" s="21"/>
      <c r="S18" s="23"/>
      <c r="T18" s="29"/>
      <c r="U18" s="29"/>
      <c r="V18" s="21"/>
      <c r="W18" s="22"/>
      <c r="X18" s="29"/>
      <c r="Y18" s="31"/>
      <c r="Z18" s="31"/>
      <c r="AA18" s="31"/>
      <c r="AB18" s="21"/>
      <c r="AC18" s="22"/>
      <c r="AD18" s="22"/>
      <c r="AE18" s="22"/>
      <c r="AF18" s="21"/>
      <c r="AG18" s="22"/>
    </row>
    <row r="19" customFormat="false" ht="19.5" hidden="false" customHeight="true" outlineLevel="0" collapsed="false">
      <c r="B19" s="27" t="s">
        <v>222</v>
      </c>
      <c r="C19" s="28" t="s">
        <v>67</v>
      </c>
      <c r="D19" s="19"/>
      <c r="E19" s="23"/>
      <c r="F19" s="21"/>
      <c r="G19" s="23"/>
      <c r="H19" s="29"/>
      <c r="I19" s="21"/>
      <c r="J19" s="30" t="str">
        <f aca="false">IF(OR($H19="",$I19="",NOT(ISNUMBER($H19))),"",IF($I19="Maund",ROUND($H19*37.32,2),$H19))</f>
        <v/>
      </c>
      <c r="K19" s="23"/>
      <c r="L19" s="21"/>
      <c r="M19" s="29"/>
      <c r="N19" s="21"/>
      <c r="O19" s="21"/>
      <c r="P19" s="29"/>
      <c r="Q19" s="29"/>
      <c r="R19" s="21"/>
      <c r="S19" s="23"/>
      <c r="T19" s="29"/>
      <c r="U19" s="29"/>
      <c r="V19" s="21"/>
      <c r="W19" s="22"/>
      <c r="X19" s="29"/>
      <c r="Y19" s="31"/>
      <c r="Z19" s="31"/>
      <c r="AA19" s="31"/>
      <c r="AB19" s="21"/>
      <c r="AC19" s="22"/>
      <c r="AD19" s="22"/>
      <c r="AE19" s="22"/>
      <c r="AF19" s="21"/>
      <c r="AG19" s="22"/>
    </row>
    <row r="20" customFormat="false" ht="19.5" hidden="false" customHeight="true" outlineLevel="0" collapsed="false">
      <c r="B20" s="27" t="s">
        <v>223</v>
      </c>
      <c r="C20" s="28" t="s">
        <v>67</v>
      </c>
      <c r="D20" s="19"/>
      <c r="E20" s="23"/>
      <c r="F20" s="21"/>
      <c r="G20" s="23"/>
      <c r="H20" s="29"/>
      <c r="I20" s="21"/>
      <c r="J20" s="30" t="str">
        <f aca="false">IF(OR($H20="",$I20="",NOT(ISNUMBER($H20))),"",IF($I20="Maund",ROUND($H20*37.32,2),$H20))</f>
        <v/>
      </c>
      <c r="K20" s="23"/>
      <c r="L20" s="21"/>
      <c r="M20" s="29"/>
      <c r="N20" s="21"/>
      <c r="O20" s="21"/>
      <c r="P20" s="29"/>
      <c r="Q20" s="29"/>
      <c r="R20" s="21"/>
      <c r="S20" s="23"/>
      <c r="T20" s="29"/>
      <c r="U20" s="29"/>
      <c r="V20" s="21"/>
      <c r="W20" s="22"/>
      <c r="X20" s="29"/>
      <c r="Y20" s="31"/>
      <c r="Z20" s="31"/>
      <c r="AA20" s="31"/>
      <c r="AB20" s="21"/>
      <c r="AC20" s="22"/>
      <c r="AD20" s="22"/>
      <c r="AE20" s="22"/>
      <c r="AF20" s="21"/>
      <c r="AG20" s="22"/>
    </row>
    <row r="21" customFormat="false" ht="19.5" hidden="false" customHeight="true" outlineLevel="0" collapsed="false">
      <c r="B21" s="27" t="s">
        <v>224</v>
      </c>
      <c r="C21" s="28" t="s">
        <v>67</v>
      </c>
      <c r="D21" s="19"/>
      <c r="E21" s="23"/>
      <c r="F21" s="21"/>
      <c r="G21" s="23"/>
      <c r="H21" s="29"/>
      <c r="I21" s="21"/>
      <c r="J21" s="30" t="str">
        <f aca="false">IF(OR($H21="",$I21="",NOT(ISNUMBER($H21))),"",IF($I21="Maund",ROUND($H21*37.32,2),$H21))</f>
        <v/>
      </c>
      <c r="K21" s="23"/>
      <c r="L21" s="21"/>
      <c r="M21" s="29"/>
      <c r="N21" s="21"/>
      <c r="O21" s="21"/>
      <c r="P21" s="29"/>
      <c r="Q21" s="29"/>
      <c r="R21" s="21"/>
      <c r="S21" s="23"/>
      <c r="T21" s="29"/>
      <c r="U21" s="29"/>
      <c r="V21" s="21"/>
      <c r="W21" s="22"/>
      <c r="X21" s="29"/>
      <c r="Y21" s="31"/>
      <c r="Z21" s="31"/>
      <c r="AA21" s="31"/>
      <c r="AB21" s="21"/>
      <c r="AC21" s="22"/>
      <c r="AD21" s="22"/>
      <c r="AE21" s="22"/>
      <c r="AF21" s="21"/>
      <c r="AG21" s="22"/>
    </row>
    <row r="22" customFormat="false" ht="19.5" hidden="false" customHeight="true" outlineLevel="0" collapsed="false">
      <c r="B22" s="27" t="s">
        <v>225</v>
      </c>
      <c r="C22" s="28" t="s">
        <v>67</v>
      </c>
      <c r="D22" s="19"/>
      <c r="E22" s="23"/>
      <c r="F22" s="21"/>
      <c r="G22" s="23"/>
      <c r="H22" s="29"/>
      <c r="I22" s="21"/>
      <c r="J22" s="30" t="str">
        <f aca="false">IF(OR($H22="",$I22="",NOT(ISNUMBER($H22))),"",IF($I22="Maund",ROUND($H22*37.32,2),$H22))</f>
        <v/>
      </c>
      <c r="K22" s="23"/>
      <c r="L22" s="21"/>
      <c r="M22" s="29"/>
      <c r="N22" s="21"/>
      <c r="O22" s="21"/>
      <c r="P22" s="29"/>
      <c r="Q22" s="29"/>
      <c r="R22" s="21"/>
      <c r="S22" s="23"/>
      <c r="T22" s="29"/>
      <c r="U22" s="29"/>
      <c r="V22" s="21"/>
      <c r="W22" s="22"/>
      <c r="X22" s="29"/>
      <c r="Y22" s="31"/>
      <c r="Z22" s="31"/>
      <c r="AA22" s="31"/>
      <c r="AB22" s="21"/>
      <c r="AC22" s="22"/>
      <c r="AD22" s="22"/>
      <c r="AE22" s="22"/>
      <c r="AF22" s="21"/>
      <c r="AG22" s="22"/>
    </row>
    <row r="23" customFormat="false" ht="19.5" hidden="false" customHeight="true" outlineLevel="0" collapsed="false">
      <c r="B23" s="27" t="s">
        <v>226</v>
      </c>
      <c r="C23" s="28" t="s">
        <v>68</v>
      </c>
      <c r="D23" s="19"/>
      <c r="E23" s="23"/>
      <c r="F23" s="21"/>
      <c r="G23" s="23"/>
      <c r="H23" s="29"/>
      <c r="I23" s="21"/>
      <c r="J23" s="30" t="str">
        <f aca="false">IF(OR($H23="",$I23="",NOT(ISNUMBER($H23))),"",IF($I23="Maund",ROUND($H23*37.32,2),$H23))</f>
        <v/>
      </c>
      <c r="K23" s="23"/>
      <c r="L23" s="21"/>
      <c r="M23" s="29"/>
      <c r="N23" s="21"/>
      <c r="O23" s="21"/>
      <c r="P23" s="29"/>
      <c r="Q23" s="29"/>
      <c r="R23" s="21"/>
      <c r="S23" s="23"/>
      <c r="T23" s="29"/>
      <c r="U23" s="29"/>
      <c r="V23" s="21"/>
      <c r="W23" s="22"/>
      <c r="X23" s="29"/>
      <c r="Y23" s="31"/>
      <c r="Z23" s="31"/>
      <c r="AA23" s="31"/>
      <c r="AB23" s="21"/>
      <c r="AC23" s="22"/>
      <c r="AD23" s="22"/>
      <c r="AE23" s="22"/>
      <c r="AF23" s="21"/>
      <c r="AG23" s="22"/>
    </row>
    <row r="24" customFormat="false" ht="19.5" hidden="false" customHeight="true" outlineLevel="0" collapsed="false">
      <c r="B24" s="27" t="s">
        <v>227</v>
      </c>
      <c r="C24" s="28" t="s">
        <v>68</v>
      </c>
      <c r="D24" s="19"/>
      <c r="E24" s="23"/>
      <c r="F24" s="21"/>
      <c r="G24" s="23"/>
      <c r="H24" s="29"/>
      <c r="I24" s="21"/>
      <c r="J24" s="30" t="str">
        <f aca="false">IF(OR($H24="",$I24="",NOT(ISNUMBER($H24))),"",IF($I24="Maund",ROUND($H24*37.32,2),$H24))</f>
        <v/>
      </c>
      <c r="K24" s="23"/>
      <c r="L24" s="21"/>
      <c r="M24" s="29"/>
      <c r="N24" s="21"/>
      <c r="O24" s="21"/>
      <c r="P24" s="29"/>
      <c r="Q24" s="29"/>
      <c r="R24" s="21"/>
      <c r="S24" s="23"/>
      <c r="T24" s="29"/>
      <c r="U24" s="29"/>
      <c r="V24" s="21"/>
      <c r="W24" s="22"/>
      <c r="X24" s="29"/>
      <c r="Y24" s="31"/>
      <c r="Z24" s="31"/>
      <c r="AA24" s="31"/>
      <c r="AB24" s="21"/>
      <c r="AC24" s="22"/>
      <c r="AD24" s="22"/>
      <c r="AE24" s="22"/>
      <c r="AF24" s="21"/>
      <c r="AG24" s="22"/>
    </row>
    <row r="25" customFormat="false" ht="19.5" hidden="false" customHeight="true" outlineLevel="0" collapsed="false">
      <c r="B25" s="27" t="s">
        <v>228</v>
      </c>
      <c r="C25" s="28" t="s">
        <v>68</v>
      </c>
      <c r="D25" s="19"/>
      <c r="E25" s="23"/>
      <c r="F25" s="21"/>
      <c r="G25" s="23"/>
      <c r="H25" s="29"/>
      <c r="I25" s="21"/>
      <c r="J25" s="30" t="str">
        <f aca="false">IF(OR($H25="",$I25="",NOT(ISNUMBER($H25))),"",IF($I25="Maund",ROUND($H25*37.32,2),$H25))</f>
        <v/>
      </c>
      <c r="K25" s="23"/>
      <c r="L25" s="21"/>
      <c r="M25" s="29"/>
      <c r="N25" s="21"/>
      <c r="O25" s="21"/>
      <c r="P25" s="29"/>
      <c r="Q25" s="29"/>
      <c r="R25" s="21"/>
      <c r="S25" s="23"/>
      <c r="T25" s="29"/>
      <c r="U25" s="29"/>
      <c r="V25" s="21"/>
      <c r="W25" s="22"/>
      <c r="X25" s="29"/>
      <c r="Y25" s="31"/>
      <c r="Z25" s="31"/>
      <c r="AA25" s="31"/>
      <c r="AB25" s="21"/>
      <c r="AC25" s="22"/>
      <c r="AD25" s="22"/>
      <c r="AE25" s="22"/>
      <c r="AF25" s="21"/>
      <c r="AG25" s="22"/>
    </row>
    <row r="26" customFormat="false" ht="19.5" hidden="false" customHeight="true" outlineLevel="0" collapsed="false">
      <c r="B26" s="27" t="s">
        <v>229</v>
      </c>
      <c r="C26" s="28" t="s">
        <v>68</v>
      </c>
      <c r="D26" s="19"/>
      <c r="E26" s="23"/>
      <c r="F26" s="21"/>
      <c r="G26" s="23"/>
      <c r="H26" s="29"/>
      <c r="I26" s="21"/>
      <c r="J26" s="30" t="str">
        <f aca="false">IF(OR($H26="",$I26="",NOT(ISNUMBER($H26))),"",IF($I26="Maund",ROUND($H26*37.32,2),$H26))</f>
        <v/>
      </c>
      <c r="K26" s="23"/>
      <c r="L26" s="21"/>
      <c r="M26" s="29"/>
      <c r="N26" s="21"/>
      <c r="O26" s="21"/>
      <c r="P26" s="29"/>
      <c r="Q26" s="29"/>
      <c r="R26" s="21"/>
      <c r="S26" s="23"/>
      <c r="T26" s="29"/>
      <c r="U26" s="29"/>
      <c r="V26" s="21"/>
      <c r="W26" s="22"/>
      <c r="X26" s="29"/>
      <c r="Y26" s="31"/>
      <c r="Z26" s="31"/>
      <c r="AA26" s="31"/>
      <c r="AB26" s="21"/>
      <c r="AC26" s="22"/>
      <c r="AD26" s="22"/>
      <c r="AE26" s="22"/>
      <c r="AF26" s="21"/>
      <c r="AG26" s="22"/>
    </row>
    <row r="27" customFormat="false" ht="19.5" hidden="false" customHeight="true" outlineLevel="0" collapsed="false">
      <c r="B27" s="27" t="s">
        <v>230</v>
      </c>
      <c r="C27" s="28" t="s">
        <v>68</v>
      </c>
      <c r="D27" s="19"/>
      <c r="E27" s="23"/>
      <c r="F27" s="21"/>
      <c r="G27" s="23"/>
      <c r="H27" s="29"/>
      <c r="I27" s="21"/>
      <c r="J27" s="30" t="str">
        <f aca="false">IF(OR($H27="",$I27="",NOT(ISNUMBER($H27))),"",IF($I27="Maund",ROUND($H27*37.32,2),$H27))</f>
        <v/>
      </c>
      <c r="K27" s="23"/>
      <c r="L27" s="21"/>
      <c r="M27" s="29"/>
      <c r="N27" s="21"/>
      <c r="O27" s="21"/>
      <c r="P27" s="29"/>
      <c r="Q27" s="29"/>
      <c r="R27" s="21"/>
      <c r="S27" s="23"/>
      <c r="T27" s="29"/>
      <c r="U27" s="29"/>
      <c r="V27" s="21"/>
      <c r="W27" s="22"/>
      <c r="X27" s="29"/>
      <c r="Y27" s="31"/>
      <c r="Z27" s="31"/>
      <c r="AA27" s="31"/>
      <c r="AB27" s="21"/>
      <c r="AC27" s="22"/>
      <c r="AD27" s="22"/>
      <c r="AE27" s="22"/>
      <c r="AF27" s="21"/>
      <c r="AG27" s="22"/>
    </row>
    <row r="28" customFormat="false" ht="19.5" hidden="false" customHeight="true" outlineLevel="0" collapsed="false">
      <c r="B28" s="27" t="s">
        <v>231</v>
      </c>
      <c r="C28" s="28" t="s">
        <v>68</v>
      </c>
      <c r="D28" s="19"/>
      <c r="E28" s="23"/>
      <c r="F28" s="21"/>
      <c r="G28" s="23"/>
      <c r="H28" s="29"/>
      <c r="I28" s="21"/>
      <c r="J28" s="30" t="str">
        <f aca="false">IF(OR($H28="",$I28="",NOT(ISNUMBER($H28))),"",IF($I28="Maund",ROUND($H28*37.32,2),$H28))</f>
        <v/>
      </c>
      <c r="K28" s="23"/>
      <c r="L28" s="21"/>
      <c r="M28" s="29"/>
      <c r="N28" s="21"/>
      <c r="O28" s="21"/>
      <c r="P28" s="29"/>
      <c r="Q28" s="29"/>
      <c r="R28" s="21"/>
      <c r="S28" s="23"/>
      <c r="T28" s="29"/>
      <c r="U28" s="29"/>
      <c r="V28" s="21"/>
      <c r="W28" s="22"/>
      <c r="X28" s="29"/>
      <c r="Y28" s="31"/>
      <c r="Z28" s="31"/>
      <c r="AA28" s="31"/>
      <c r="AB28" s="21"/>
      <c r="AC28" s="22"/>
      <c r="AD28" s="22"/>
      <c r="AE28" s="22"/>
      <c r="AF28" s="21"/>
      <c r="AG28" s="22"/>
    </row>
    <row r="29" customFormat="false" ht="19.5" hidden="false" customHeight="true" outlineLevel="0" collapsed="false">
      <c r="B29" s="27" t="s">
        <v>232</v>
      </c>
      <c r="C29" s="28" t="s">
        <v>69</v>
      </c>
      <c r="D29" s="19"/>
      <c r="E29" s="23"/>
      <c r="F29" s="21"/>
      <c r="G29" s="23"/>
      <c r="H29" s="29"/>
      <c r="I29" s="21"/>
      <c r="J29" s="30" t="str">
        <f aca="false">IF(OR($H29="",$I29="",NOT(ISNUMBER($H29))),"",IF($I29="Maund",ROUND($H29*37.32,2),$H29))</f>
        <v/>
      </c>
      <c r="K29" s="23"/>
      <c r="L29" s="21"/>
      <c r="M29" s="29"/>
      <c r="N29" s="21"/>
      <c r="O29" s="21"/>
      <c r="P29" s="29"/>
      <c r="Q29" s="29"/>
      <c r="R29" s="21"/>
      <c r="S29" s="23"/>
      <c r="T29" s="29"/>
      <c r="U29" s="29"/>
      <c r="V29" s="21"/>
      <c r="W29" s="22"/>
      <c r="X29" s="29"/>
      <c r="Y29" s="31"/>
      <c r="Z29" s="31"/>
      <c r="AA29" s="31"/>
      <c r="AB29" s="21"/>
      <c r="AC29" s="22"/>
      <c r="AD29" s="22"/>
      <c r="AE29" s="22"/>
      <c r="AF29" s="21"/>
      <c r="AG29" s="22"/>
    </row>
    <row r="30" customFormat="false" ht="19.5" hidden="false" customHeight="true" outlineLevel="0" collapsed="false">
      <c r="B30" s="27" t="s">
        <v>233</v>
      </c>
      <c r="C30" s="28" t="s">
        <v>69</v>
      </c>
      <c r="D30" s="19"/>
      <c r="E30" s="23"/>
      <c r="F30" s="21"/>
      <c r="G30" s="23"/>
      <c r="H30" s="29"/>
      <c r="I30" s="21"/>
      <c r="J30" s="30" t="str">
        <f aca="false">IF(OR($H30="",$I30="",NOT(ISNUMBER($H30))),"",IF($I30="Maund",ROUND($H30*37.32,2),$H30))</f>
        <v/>
      </c>
      <c r="K30" s="23"/>
      <c r="L30" s="21"/>
      <c r="M30" s="29"/>
      <c r="N30" s="21"/>
      <c r="O30" s="21"/>
      <c r="P30" s="29"/>
      <c r="Q30" s="29"/>
      <c r="R30" s="21"/>
      <c r="S30" s="23"/>
      <c r="T30" s="29"/>
      <c r="U30" s="29"/>
      <c r="V30" s="21"/>
      <c r="W30" s="22"/>
      <c r="X30" s="29"/>
      <c r="Y30" s="31"/>
      <c r="Z30" s="31"/>
      <c r="AA30" s="31"/>
      <c r="AB30" s="21"/>
      <c r="AC30" s="22"/>
      <c r="AD30" s="22"/>
      <c r="AE30" s="22"/>
      <c r="AF30" s="21"/>
      <c r="AG30" s="22"/>
    </row>
    <row r="31" customFormat="false" ht="19.5" hidden="false" customHeight="true" outlineLevel="0" collapsed="false">
      <c r="B31" s="27" t="s">
        <v>234</v>
      </c>
      <c r="C31" s="28" t="s">
        <v>69</v>
      </c>
      <c r="D31" s="19"/>
      <c r="E31" s="23"/>
      <c r="F31" s="21"/>
      <c r="G31" s="23"/>
      <c r="H31" s="29"/>
      <c r="I31" s="21"/>
      <c r="J31" s="30" t="str">
        <f aca="false">IF(OR($H31="",$I31="",NOT(ISNUMBER($H31))),"",IF($I31="Maund",ROUND($H31*37.32,2),$H31))</f>
        <v/>
      </c>
      <c r="K31" s="23"/>
      <c r="L31" s="21"/>
      <c r="M31" s="29"/>
      <c r="N31" s="21"/>
      <c r="O31" s="21"/>
      <c r="P31" s="29"/>
      <c r="Q31" s="29"/>
      <c r="R31" s="21"/>
      <c r="S31" s="23"/>
      <c r="T31" s="29"/>
      <c r="U31" s="29"/>
      <c r="V31" s="21"/>
      <c r="W31" s="22"/>
      <c r="X31" s="29"/>
      <c r="Y31" s="31"/>
      <c r="Z31" s="31"/>
      <c r="AA31" s="31"/>
      <c r="AB31" s="21"/>
      <c r="AC31" s="22"/>
      <c r="AD31" s="22"/>
      <c r="AE31" s="22"/>
      <c r="AF31" s="21"/>
      <c r="AG31" s="22"/>
    </row>
    <row r="32" customFormat="false" ht="19.5" hidden="false" customHeight="true" outlineLevel="0" collapsed="false">
      <c r="B32" s="27" t="s">
        <v>235</v>
      </c>
      <c r="C32" s="28" t="s">
        <v>69</v>
      </c>
      <c r="D32" s="19"/>
      <c r="E32" s="23"/>
      <c r="F32" s="21"/>
      <c r="G32" s="23"/>
      <c r="H32" s="29"/>
      <c r="I32" s="21"/>
      <c r="J32" s="30" t="str">
        <f aca="false">IF(OR($H32="",$I32="",NOT(ISNUMBER($H32))),"",IF($I32="Maund",ROUND($H32*37.32,2),$H32))</f>
        <v/>
      </c>
      <c r="K32" s="23"/>
      <c r="L32" s="21"/>
      <c r="M32" s="29"/>
      <c r="N32" s="21"/>
      <c r="O32" s="21"/>
      <c r="P32" s="29"/>
      <c r="Q32" s="29"/>
      <c r="R32" s="21"/>
      <c r="S32" s="23"/>
      <c r="T32" s="29"/>
      <c r="U32" s="29"/>
      <c r="V32" s="21"/>
      <c r="W32" s="22"/>
      <c r="X32" s="29"/>
      <c r="Y32" s="31"/>
      <c r="Z32" s="31"/>
      <c r="AA32" s="31"/>
      <c r="AB32" s="21"/>
      <c r="AC32" s="22"/>
      <c r="AD32" s="22"/>
      <c r="AE32" s="22"/>
      <c r="AF32" s="21"/>
      <c r="AG32" s="22"/>
    </row>
    <row r="33" customFormat="false" ht="19.5" hidden="false" customHeight="true" outlineLevel="0" collapsed="false">
      <c r="B33" s="27" t="s">
        <v>236</v>
      </c>
      <c r="C33" s="28" t="s">
        <v>69</v>
      </c>
      <c r="D33" s="19"/>
      <c r="E33" s="23"/>
      <c r="F33" s="21"/>
      <c r="G33" s="23"/>
      <c r="H33" s="29"/>
      <c r="I33" s="21"/>
      <c r="J33" s="30" t="str">
        <f aca="false">IF(OR($H33="",$I33="",NOT(ISNUMBER($H33))),"",IF($I33="Maund",ROUND($H33*37.32,2),$H33))</f>
        <v/>
      </c>
      <c r="K33" s="23"/>
      <c r="L33" s="21"/>
      <c r="M33" s="29"/>
      <c r="N33" s="21"/>
      <c r="O33" s="21"/>
      <c r="P33" s="29"/>
      <c r="Q33" s="29"/>
      <c r="R33" s="21"/>
      <c r="S33" s="23"/>
      <c r="T33" s="29"/>
      <c r="U33" s="29"/>
      <c r="V33" s="21"/>
      <c r="W33" s="22"/>
      <c r="X33" s="29"/>
      <c r="Y33" s="31"/>
      <c r="Z33" s="31"/>
      <c r="AA33" s="31"/>
      <c r="AB33" s="21"/>
      <c r="AC33" s="22"/>
      <c r="AD33" s="22"/>
      <c r="AE33" s="22"/>
      <c r="AF33" s="21"/>
      <c r="AG33" s="22"/>
    </row>
    <row r="34" customFormat="false" ht="19.5" hidden="false" customHeight="true" outlineLevel="0" collapsed="false">
      <c r="B34" s="27" t="s">
        <v>237</v>
      </c>
      <c r="C34" s="28" t="s">
        <v>69</v>
      </c>
      <c r="D34" s="19"/>
      <c r="E34" s="23"/>
      <c r="F34" s="21"/>
      <c r="G34" s="23"/>
      <c r="H34" s="29"/>
      <c r="I34" s="21"/>
      <c r="J34" s="30" t="str">
        <f aca="false">IF(OR($H34="",$I34="",NOT(ISNUMBER($H34))),"",IF($I34="Maund",ROUND($H34*37.32,2),$H34))</f>
        <v/>
      </c>
      <c r="K34" s="23"/>
      <c r="L34" s="21"/>
      <c r="M34" s="29"/>
      <c r="N34" s="21"/>
      <c r="O34" s="21"/>
      <c r="P34" s="29"/>
      <c r="Q34" s="29"/>
      <c r="R34" s="21"/>
      <c r="S34" s="23"/>
      <c r="T34" s="29"/>
      <c r="U34" s="29"/>
      <c r="V34" s="21"/>
      <c r="W34" s="22"/>
      <c r="X34" s="29"/>
      <c r="Y34" s="31"/>
      <c r="Z34" s="31"/>
      <c r="AA34" s="31"/>
      <c r="AB34" s="21"/>
      <c r="AC34" s="22"/>
      <c r="AD34" s="22"/>
      <c r="AE34" s="22"/>
      <c r="AF34" s="21"/>
      <c r="AG34" s="22"/>
    </row>
    <row r="35" customFormat="false" ht="19.5" hidden="false" customHeight="true" outlineLevel="0" collapsed="false">
      <c r="B35" s="27" t="s">
        <v>238</v>
      </c>
      <c r="C35" s="28" t="s">
        <v>70</v>
      </c>
      <c r="D35" s="19"/>
      <c r="E35" s="23"/>
      <c r="F35" s="21"/>
      <c r="G35" s="23"/>
      <c r="H35" s="29"/>
      <c r="I35" s="21"/>
      <c r="J35" s="30" t="str">
        <f aca="false">IF(OR($H35="",$I35="",NOT(ISNUMBER($H35))),"",IF($I35="Maund",ROUND($H35*37.32,2),$H35))</f>
        <v/>
      </c>
      <c r="K35" s="23"/>
      <c r="L35" s="21"/>
      <c r="M35" s="29"/>
      <c r="N35" s="21"/>
      <c r="O35" s="21"/>
      <c r="P35" s="29"/>
      <c r="Q35" s="29"/>
      <c r="R35" s="21"/>
      <c r="S35" s="23"/>
      <c r="T35" s="29"/>
      <c r="U35" s="29"/>
      <c r="V35" s="21"/>
      <c r="W35" s="22"/>
      <c r="X35" s="29"/>
      <c r="Y35" s="31"/>
      <c r="Z35" s="31"/>
      <c r="AA35" s="31"/>
      <c r="AB35" s="21"/>
      <c r="AC35" s="22"/>
      <c r="AD35" s="22"/>
      <c r="AE35" s="22"/>
      <c r="AF35" s="21"/>
      <c r="AG35" s="22"/>
    </row>
    <row r="36" customFormat="false" ht="19.5" hidden="false" customHeight="true" outlineLevel="0" collapsed="false">
      <c r="B36" s="27" t="s">
        <v>239</v>
      </c>
      <c r="C36" s="28" t="s">
        <v>70</v>
      </c>
      <c r="D36" s="19"/>
      <c r="E36" s="23"/>
      <c r="F36" s="21"/>
      <c r="G36" s="23"/>
      <c r="H36" s="29"/>
      <c r="I36" s="21"/>
      <c r="J36" s="30" t="str">
        <f aca="false">IF(OR($H36="",$I36="",NOT(ISNUMBER($H36))),"",IF($I36="Maund",ROUND($H36*37.32,2),$H36))</f>
        <v/>
      </c>
      <c r="K36" s="23"/>
      <c r="L36" s="21"/>
      <c r="M36" s="29"/>
      <c r="N36" s="21"/>
      <c r="O36" s="21"/>
      <c r="P36" s="29"/>
      <c r="Q36" s="29"/>
      <c r="R36" s="21"/>
      <c r="S36" s="23"/>
      <c r="T36" s="29"/>
      <c r="U36" s="29"/>
      <c r="V36" s="21"/>
      <c r="W36" s="22"/>
      <c r="X36" s="29"/>
      <c r="Y36" s="31"/>
      <c r="Z36" s="31"/>
      <c r="AA36" s="31"/>
      <c r="AB36" s="21"/>
      <c r="AC36" s="22"/>
      <c r="AD36" s="22"/>
      <c r="AE36" s="22"/>
      <c r="AF36" s="21"/>
      <c r="AG36" s="22"/>
    </row>
    <row r="37" customFormat="false" ht="19.5" hidden="false" customHeight="true" outlineLevel="0" collapsed="false">
      <c r="B37" s="27" t="s">
        <v>240</v>
      </c>
      <c r="C37" s="28" t="s">
        <v>70</v>
      </c>
      <c r="D37" s="19"/>
      <c r="E37" s="23"/>
      <c r="F37" s="21"/>
      <c r="G37" s="23"/>
      <c r="H37" s="29"/>
      <c r="I37" s="21"/>
      <c r="J37" s="30" t="str">
        <f aca="false">IF(OR($H37="",$I37="",NOT(ISNUMBER($H37))),"",IF($I37="Maund",ROUND($H37*37.32,2),$H37))</f>
        <v/>
      </c>
      <c r="K37" s="23"/>
      <c r="L37" s="21"/>
      <c r="M37" s="29"/>
      <c r="N37" s="21"/>
      <c r="O37" s="21"/>
      <c r="P37" s="29"/>
      <c r="Q37" s="29"/>
      <c r="R37" s="21"/>
      <c r="S37" s="23"/>
      <c r="T37" s="29"/>
      <c r="U37" s="29"/>
      <c r="V37" s="21"/>
      <c r="W37" s="22"/>
      <c r="X37" s="29"/>
      <c r="Y37" s="31"/>
      <c r="Z37" s="31"/>
      <c r="AA37" s="31"/>
      <c r="AB37" s="21"/>
      <c r="AC37" s="22"/>
      <c r="AD37" s="22"/>
      <c r="AE37" s="22"/>
      <c r="AF37" s="21"/>
      <c r="AG37" s="22"/>
    </row>
    <row r="38" customFormat="false" ht="19.5" hidden="false" customHeight="true" outlineLevel="0" collapsed="false">
      <c r="B38" s="27" t="s">
        <v>241</v>
      </c>
      <c r="C38" s="28" t="s">
        <v>70</v>
      </c>
      <c r="D38" s="19"/>
      <c r="E38" s="23"/>
      <c r="F38" s="21"/>
      <c r="G38" s="23"/>
      <c r="H38" s="29"/>
      <c r="I38" s="21"/>
      <c r="J38" s="30" t="str">
        <f aca="false">IF(OR($H38="",$I38="",NOT(ISNUMBER($H38))),"",IF($I38="Maund",ROUND($H38*37.32,2),$H38))</f>
        <v/>
      </c>
      <c r="K38" s="23"/>
      <c r="L38" s="21"/>
      <c r="M38" s="29"/>
      <c r="N38" s="21"/>
      <c r="O38" s="21"/>
      <c r="P38" s="29"/>
      <c r="Q38" s="29"/>
      <c r="R38" s="21"/>
      <c r="S38" s="23"/>
      <c r="T38" s="29"/>
      <c r="U38" s="29"/>
      <c r="V38" s="21"/>
      <c r="W38" s="22"/>
      <c r="X38" s="29"/>
      <c r="Y38" s="31"/>
      <c r="Z38" s="31"/>
      <c r="AA38" s="31"/>
      <c r="AB38" s="21"/>
      <c r="AC38" s="22"/>
      <c r="AD38" s="22"/>
      <c r="AE38" s="22"/>
      <c r="AF38" s="21"/>
      <c r="AG38" s="22"/>
    </row>
    <row r="39" customFormat="false" ht="19.5" hidden="false" customHeight="true" outlineLevel="0" collapsed="false">
      <c r="B39" s="27" t="s">
        <v>242</v>
      </c>
      <c r="C39" s="28" t="s">
        <v>70</v>
      </c>
      <c r="D39" s="19"/>
      <c r="E39" s="23"/>
      <c r="F39" s="21"/>
      <c r="G39" s="23"/>
      <c r="H39" s="29"/>
      <c r="I39" s="21"/>
      <c r="J39" s="30" t="str">
        <f aca="false">IF(OR($H39="",$I39="",NOT(ISNUMBER($H39))),"",IF($I39="Maund",ROUND($H39*37.32,2),$H39))</f>
        <v/>
      </c>
      <c r="K39" s="23"/>
      <c r="L39" s="21"/>
      <c r="M39" s="29"/>
      <c r="N39" s="21"/>
      <c r="O39" s="21"/>
      <c r="P39" s="29"/>
      <c r="Q39" s="29"/>
      <c r="R39" s="21"/>
      <c r="S39" s="23"/>
      <c r="T39" s="29"/>
      <c r="U39" s="29"/>
      <c r="V39" s="21"/>
      <c r="W39" s="22"/>
      <c r="X39" s="29"/>
      <c r="Y39" s="31"/>
      <c r="Z39" s="31"/>
      <c r="AA39" s="31"/>
      <c r="AB39" s="21"/>
      <c r="AC39" s="22"/>
      <c r="AD39" s="22"/>
      <c r="AE39" s="22"/>
      <c r="AF39" s="21"/>
      <c r="AG39" s="22"/>
    </row>
    <row r="40" customFormat="false" ht="19.5" hidden="false" customHeight="true" outlineLevel="0" collapsed="false">
      <c r="B40" s="27" t="s">
        <v>243</v>
      </c>
      <c r="C40" s="28" t="s">
        <v>70</v>
      </c>
      <c r="D40" s="19"/>
      <c r="E40" s="23"/>
      <c r="F40" s="21"/>
      <c r="G40" s="23"/>
      <c r="H40" s="29"/>
      <c r="I40" s="21"/>
      <c r="J40" s="30" t="str">
        <f aca="false">IF(OR($H40="",$I40="",NOT(ISNUMBER($H40))),"",IF($I40="Maund",ROUND($H40*37.32,2),$H40))</f>
        <v/>
      </c>
      <c r="K40" s="23"/>
      <c r="L40" s="21"/>
      <c r="M40" s="29"/>
      <c r="N40" s="21"/>
      <c r="O40" s="21"/>
      <c r="P40" s="29"/>
      <c r="Q40" s="29"/>
      <c r="R40" s="21"/>
      <c r="S40" s="23"/>
      <c r="T40" s="29"/>
      <c r="U40" s="29"/>
      <c r="V40" s="21"/>
      <c r="W40" s="22"/>
      <c r="X40" s="29"/>
      <c r="Y40" s="31"/>
      <c r="Z40" s="31"/>
      <c r="AA40" s="31"/>
      <c r="AB40" s="21"/>
      <c r="AC40" s="22"/>
      <c r="AD40" s="22"/>
      <c r="AE40" s="22"/>
      <c r="AF40" s="21"/>
      <c r="AG40" s="22"/>
    </row>
  </sheetData>
  <autoFilter ref="B4:AG40"/>
  <mergeCells count="1">
    <mergeCell ref="B2:AG2"/>
  </mergeCells>
  <dataValidations count="12"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40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F5:F40" type="list">
      <formula1>"Illiterate,Primary,Secondary,Higher_Secondary"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I5:I40" type="list">
      <formula1>"Maund,Kg"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L5:L40" type="list">
      <formula1>"Pay,Receive"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N5:N40 R5:R40 V5:V40" type="list">
      <formula1>"Monthly,Yearly"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O5:O40" type="list">
      <formula1>"Lot,Kg,Percent"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AB5:AB40" type="list">
      <formula1>"Regular,Occasional,Never"</formula1>
      <formula2>0</formula2>
    </dataValidation>
    <dataValidation allowBlank="true" error="Enter a whole number between 15 and 100." errorStyle="stop" errorTitle="Out of range" operator="between" showDropDown="false" showErrorMessage="true" showInputMessage="false" sqref="E5:E40" type="whole">
      <formula1>15</formula1>
      <formula2>100</formula2>
    </dataValidation>
    <dataValidation allowBlank="true" error="Enter a whole number between 1 and 30." errorStyle="stop" errorTitle="Out of range" operator="between" showDropDown="false" showErrorMessage="true" showInputMessage="false" sqref="K5:K40" type="whole">
      <formula1>1</formula1>
      <formula2>30</formula2>
    </dataValidation>
    <dataValidation allowBlank="true" error="Enter a whole number between 0 and 200." errorStyle="stop" errorTitle="Out of range" operator="between" showDropDown="false" showErrorMessage="true" showInputMessage="false" sqref="S5:S40" type="whole">
      <formula1>0</formula1>
      <formula2>200</formula2>
    </dataValidation>
    <dataValidation allowBlank="true" error="Enter a whole number between 0 and 100." errorStyle="stop" errorTitle="Out of range" operator="between" showDropDown="false" showErrorMessage="true" showInputMessage="false" sqref="Y5:AA40" type="whole">
      <formula1>0</formula1>
      <formula2>100</formula2>
    </dataValidation>
    <dataValidation allowBlank="true" error="Enter a number between 0 and 1000000." errorStyle="stop" errorTitle="Out of range" operator="between" showDropDown="false" showErrorMessage="true" showInputMessage="false" sqref="H5:H40 M5:M40 P5:Q40 T5:U40 X5:X40" type="decimal">
      <formula1>0</formula1>
      <formula2>1000000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B2:A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6" min="4" style="1" width="14"/>
    <col collapsed="false" customWidth="true" hidden="false" outlineLevel="0" max="7" min="7" style="1" width="8"/>
    <col collapsed="false" customWidth="true" hidden="false" outlineLevel="0" max="9" min="8" style="1" width="12"/>
    <col collapsed="false" customWidth="true" hidden="false" outlineLevel="0" max="13" min="10" style="1" width="14"/>
    <col collapsed="false" customWidth="true" hidden="false" outlineLevel="0" max="14" min="14" style="1" width="22"/>
    <col collapsed="false" customWidth="true" hidden="false" outlineLevel="0" max="21" min="15" style="1" width="16"/>
    <col collapsed="false" customWidth="true" hidden="false" outlineLevel="0" max="22" min="22" style="1" width="18"/>
    <col collapsed="false" customWidth="true" hidden="false" outlineLevel="0" max="25" min="23" style="1" width="16"/>
    <col collapsed="false" customWidth="true" hidden="false" outlineLevel="0" max="27" min="26" style="1" width="12"/>
    <col collapsed="false" customWidth="true" hidden="false" outlineLevel="0" max="30" min="28" style="1" width="16"/>
    <col collapsed="false" customWidth="true" hidden="false" outlineLevel="0" max="32" min="31" style="1" width="22"/>
    <col collapsed="false" customWidth="true" hidden="false" outlineLevel="0" max="33" min="33" style="1" width="12"/>
    <col collapsed="false" customWidth="true" hidden="false" outlineLevel="0" max="34" min="34" style="1" width="22"/>
  </cols>
  <sheetData>
    <row r="2" customFormat="false" ht="31.5" hidden="false" customHeight="true" outlineLevel="0" collapsed="false">
      <c r="B2" s="2" t="s">
        <v>244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4"/>
      <c r="AH2" s="4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customFormat="false" ht="30" hidden="false" customHeight="true" outlineLevel="0" collapsed="false">
      <c r="B4" s="32" t="s">
        <v>37</v>
      </c>
      <c r="C4" s="32" t="s">
        <v>58</v>
      </c>
      <c r="D4" s="32" t="s">
        <v>180</v>
      </c>
      <c r="E4" s="32" t="s">
        <v>245</v>
      </c>
      <c r="F4" s="32" t="s">
        <v>246</v>
      </c>
      <c r="G4" s="32" t="s">
        <v>181</v>
      </c>
      <c r="H4" s="32" t="s">
        <v>182</v>
      </c>
      <c r="I4" s="32" t="s">
        <v>183</v>
      </c>
      <c r="J4" s="32" t="s">
        <v>184</v>
      </c>
      <c r="K4" s="32" t="s">
        <v>185</v>
      </c>
      <c r="L4" s="32" t="s">
        <v>186</v>
      </c>
      <c r="M4" s="32" t="s">
        <v>187</v>
      </c>
      <c r="N4" s="32" t="s">
        <v>247</v>
      </c>
      <c r="O4" s="32" t="s">
        <v>248</v>
      </c>
      <c r="P4" s="32" t="s">
        <v>249</v>
      </c>
      <c r="Q4" s="32" t="s">
        <v>250</v>
      </c>
      <c r="R4" s="32" t="s">
        <v>251</v>
      </c>
      <c r="S4" s="32" t="s">
        <v>252</v>
      </c>
      <c r="T4" s="32" t="s">
        <v>253</v>
      </c>
      <c r="U4" s="32" t="s">
        <v>254</v>
      </c>
      <c r="V4" s="32" t="s">
        <v>255</v>
      </c>
      <c r="W4" s="32" t="s">
        <v>256</v>
      </c>
      <c r="X4" s="32" t="s">
        <v>257</v>
      </c>
      <c r="Y4" s="32" t="s">
        <v>201</v>
      </c>
      <c r="Z4" s="32" t="s">
        <v>202</v>
      </c>
      <c r="AA4" s="32" t="s">
        <v>203</v>
      </c>
      <c r="AB4" s="32" t="s">
        <v>204</v>
      </c>
      <c r="AC4" s="32" t="s">
        <v>258</v>
      </c>
      <c r="AD4" s="32" t="s">
        <v>205</v>
      </c>
      <c r="AE4" s="32" t="s">
        <v>206</v>
      </c>
      <c r="AF4" s="32" t="s">
        <v>207</v>
      </c>
      <c r="AG4" s="32" t="s">
        <v>39</v>
      </c>
      <c r="AH4" s="32" t="s">
        <v>94</v>
      </c>
    </row>
    <row r="5" customFormat="false" ht="19.5" hidden="false" customHeight="true" outlineLevel="0" collapsed="false">
      <c r="B5" s="33" t="s">
        <v>259</v>
      </c>
      <c r="C5" s="34" t="s">
        <v>65</v>
      </c>
      <c r="D5" s="35"/>
      <c r="E5" s="34"/>
      <c r="F5" s="34"/>
      <c r="G5" s="36"/>
      <c r="H5" s="34"/>
      <c r="I5" s="36"/>
      <c r="J5" s="36"/>
      <c r="K5" s="33"/>
      <c r="L5" s="34" t="str">
        <f aca="false">IF(OR($J5="",$K5="",NOT(ISNUMBER($J5))),"",IF($K5="Maund",ROUND($J5*37.32,2),$J5))</f>
        <v/>
      </c>
      <c r="M5" s="37"/>
      <c r="N5" s="37"/>
      <c r="O5" s="37"/>
      <c r="P5" s="33"/>
      <c r="Q5" s="37"/>
      <c r="R5" s="37"/>
      <c r="S5" s="34"/>
      <c r="T5" s="38"/>
      <c r="U5" s="37"/>
      <c r="V5" s="37"/>
      <c r="W5" s="38"/>
      <c r="X5" s="38"/>
      <c r="Y5" s="38"/>
      <c r="Z5" s="34"/>
      <c r="AA5" s="34"/>
      <c r="AB5" s="33"/>
      <c r="AC5" s="33"/>
      <c r="AD5" s="33"/>
      <c r="AE5" s="34"/>
      <c r="AF5" s="33"/>
      <c r="AG5" s="39"/>
      <c r="AH5" s="39"/>
    </row>
    <row r="6" customFormat="false" ht="19.5" hidden="false" customHeight="true" outlineLevel="0" collapsed="false">
      <c r="B6" s="33" t="s">
        <v>260</v>
      </c>
      <c r="C6" s="34" t="s">
        <v>65</v>
      </c>
      <c r="D6" s="35"/>
      <c r="E6" s="34"/>
      <c r="F6" s="34"/>
      <c r="G6" s="36"/>
      <c r="H6" s="34"/>
      <c r="I6" s="36"/>
      <c r="J6" s="36"/>
      <c r="K6" s="33"/>
      <c r="L6" s="34" t="str">
        <f aca="false">IF(OR($J6="",$K6="",NOT(ISNUMBER($J6))),"",IF($K6="Maund",ROUND($J6*37.32,2),$J6))</f>
        <v/>
      </c>
      <c r="M6" s="37"/>
      <c r="N6" s="37"/>
      <c r="O6" s="37"/>
      <c r="P6" s="33"/>
      <c r="Q6" s="37"/>
      <c r="R6" s="37"/>
      <c r="S6" s="34"/>
      <c r="T6" s="38"/>
      <c r="U6" s="37"/>
      <c r="V6" s="37"/>
      <c r="W6" s="38"/>
      <c r="X6" s="38"/>
      <c r="Y6" s="38"/>
      <c r="Z6" s="34"/>
      <c r="AA6" s="34"/>
      <c r="AB6" s="33"/>
      <c r="AC6" s="33"/>
      <c r="AD6" s="33"/>
      <c r="AE6" s="34"/>
      <c r="AF6" s="33"/>
      <c r="AG6" s="39"/>
      <c r="AH6" s="39"/>
    </row>
    <row r="7" customFormat="false" ht="19.5" hidden="false" customHeight="true" outlineLevel="0" collapsed="false">
      <c r="B7" s="33" t="s">
        <v>261</v>
      </c>
      <c r="C7" s="34" t="s">
        <v>65</v>
      </c>
      <c r="D7" s="35"/>
      <c r="E7" s="34"/>
      <c r="F7" s="34"/>
      <c r="G7" s="36"/>
      <c r="H7" s="34"/>
      <c r="I7" s="36"/>
      <c r="J7" s="36"/>
      <c r="K7" s="33"/>
      <c r="L7" s="34" t="str">
        <f aca="false">IF(OR($J7="",$K7="",NOT(ISNUMBER($J7))),"",IF($K7="Maund",ROUND($J7*37.32,2),$J7))</f>
        <v/>
      </c>
      <c r="M7" s="37"/>
      <c r="N7" s="37"/>
      <c r="O7" s="37"/>
      <c r="P7" s="33"/>
      <c r="Q7" s="37"/>
      <c r="R7" s="37"/>
      <c r="S7" s="34"/>
      <c r="T7" s="38"/>
      <c r="U7" s="37"/>
      <c r="V7" s="37"/>
      <c r="W7" s="38"/>
      <c r="X7" s="38"/>
      <c r="Y7" s="38"/>
      <c r="Z7" s="34"/>
      <c r="AA7" s="34"/>
      <c r="AB7" s="33"/>
      <c r="AC7" s="33"/>
      <c r="AD7" s="33"/>
      <c r="AE7" s="34"/>
      <c r="AF7" s="33"/>
      <c r="AG7" s="39"/>
      <c r="AH7" s="39"/>
    </row>
    <row r="8" customFormat="false" ht="19.5" hidden="false" customHeight="true" outlineLevel="0" collapsed="false">
      <c r="B8" s="33" t="s">
        <v>262</v>
      </c>
      <c r="C8" s="34" t="s">
        <v>65</v>
      </c>
      <c r="D8" s="35"/>
      <c r="E8" s="34"/>
      <c r="F8" s="34"/>
      <c r="G8" s="36"/>
      <c r="H8" s="34"/>
      <c r="I8" s="36"/>
      <c r="J8" s="36"/>
      <c r="K8" s="33"/>
      <c r="L8" s="34" t="str">
        <f aca="false">IF(OR($J8="",$K8="",NOT(ISNUMBER($J8))),"",IF($K8="Maund",ROUND($J8*37.32,2),$J8))</f>
        <v/>
      </c>
      <c r="M8" s="37"/>
      <c r="N8" s="37"/>
      <c r="O8" s="37"/>
      <c r="P8" s="33"/>
      <c r="Q8" s="37"/>
      <c r="R8" s="37"/>
      <c r="S8" s="34"/>
      <c r="T8" s="38"/>
      <c r="U8" s="37"/>
      <c r="V8" s="37"/>
      <c r="W8" s="38"/>
      <c r="X8" s="38"/>
      <c r="Y8" s="38"/>
      <c r="Z8" s="34"/>
      <c r="AA8" s="34"/>
      <c r="AB8" s="33"/>
      <c r="AC8" s="33"/>
      <c r="AD8" s="33"/>
      <c r="AE8" s="34"/>
      <c r="AF8" s="33"/>
      <c r="AG8" s="39"/>
      <c r="AH8" s="39"/>
    </row>
    <row r="9" customFormat="false" ht="19.5" hidden="false" customHeight="true" outlineLevel="0" collapsed="false">
      <c r="B9" s="33" t="s">
        <v>263</v>
      </c>
      <c r="C9" s="34" t="s">
        <v>65</v>
      </c>
      <c r="D9" s="35"/>
      <c r="E9" s="34"/>
      <c r="F9" s="34"/>
      <c r="G9" s="36"/>
      <c r="H9" s="34"/>
      <c r="I9" s="36"/>
      <c r="J9" s="36"/>
      <c r="K9" s="33"/>
      <c r="L9" s="34" t="str">
        <f aca="false">IF(OR($J9="",$K9="",NOT(ISNUMBER($J9))),"",IF($K9="Maund",ROUND($J9*37.32,2),$J9))</f>
        <v/>
      </c>
      <c r="M9" s="37"/>
      <c r="N9" s="37"/>
      <c r="O9" s="37"/>
      <c r="P9" s="33"/>
      <c r="Q9" s="37"/>
      <c r="R9" s="37"/>
      <c r="S9" s="34"/>
      <c r="T9" s="38"/>
      <c r="U9" s="37"/>
      <c r="V9" s="37"/>
      <c r="W9" s="38"/>
      <c r="X9" s="38"/>
      <c r="Y9" s="38"/>
      <c r="Z9" s="34"/>
      <c r="AA9" s="34"/>
      <c r="AB9" s="33"/>
      <c r="AC9" s="33"/>
      <c r="AD9" s="33"/>
      <c r="AE9" s="34"/>
      <c r="AF9" s="33"/>
      <c r="AG9" s="39"/>
      <c r="AH9" s="39"/>
    </row>
    <row r="10" customFormat="false" ht="19.5" hidden="false" customHeight="true" outlineLevel="0" collapsed="false">
      <c r="B10" s="33" t="s">
        <v>264</v>
      </c>
      <c r="C10" s="34" t="s">
        <v>65</v>
      </c>
      <c r="D10" s="35"/>
      <c r="E10" s="34"/>
      <c r="F10" s="34"/>
      <c r="G10" s="36"/>
      <c r="H10" s="34"/>
      <c r="I10" s="36"/>
      <c r="J10" s="36"/>
      <c r="K10" s="33"/>
      <c r="L10" s="34" t="str">
        <f aca="false">IF(OR($J10="",$K10="",NOT(ISNUMBER($J10))),"",IF($K10="Maund",ROUND($J10*37.32,2),$J10))</f>
        <v/>
      </c>
      <c r="M10" s="37"/>
      <c r="N10" s="37"/>
      <c r="O10" s="37"/>
      <c r="P10" s="33"/>
      <c r="Q10" s="37"/>
      <c r="R10" s="37"/>
      <c r="S10" s="34"/>
      <c r="T10" s="38"/>
      <c r="U10" s="37"/>
      <c r="V10" s="37"/>
      <c r="W10" s="38"/>
      <c r="X10" s="38"/>
      <c r="Y10" s="38"/>
      <c r="Z10" s="34"/>
      <c r="AA10" s="34"/>
      <c r="AB10" s="33"/>
      <c r="AC10" s="33"/>
      <c r="AD10" s="33"/>
      <c r="AE10" s="34"/>
      <c r="AF10" s="33"/>
      <c r="AG10" s="39"/>
      <c r="AH10" s="39"/>
    </row>
    <row r="11" customFormat="false" ht="19.5" hidden="false" customHeight="true" outlineLevel="0" collapsed="false">
      <c r="B11" s="33" t="s">
        <v>265</v>
      </c>
      <c r="C11" s="34" t="s">
        <v>66</v>
      </c>
      <c r="D11" s="35"/>
      <c r="E11" s="34"/>
      <c r="F11" s="34"/>
      <c r="G11" s="36"/>
      <c r="H11" s="34"/>
      <c r="I11" s="36"/>
      <c r="J11" s="36"/>
      <c r="K11" s="33"/>
      <c r="L11" s="34" t="str">
        <f aca="false">IF(OR($J11="",$K11="",NOT(ISNUMBER($J11))),"",IF($K11="Maund",ROUND($J11*37.32,2),$J11))</f>
        <v/>
      </c>
      <c r="M11" s="37"/>
      <c r="N11" s="37"/>
      <c r="O11" s="37"/>
      <c r="P11" s="33"/>
      <c r="Q11" s="37"/>
      <c r="R11" s="37"/>
      <c r="S11" s="34"/>
      <c r="T11" s="38"/>
      <c r="U11" s="37"/>
      <c r="V11" s="37"/>
      <c r="W11" s="38"/>
      <c r="X11" s="38"/>
      <c r="Y11" s="38"/>
      <c r="Z11" s="34"/>
      <c r="AA11" s="34"/>
      <c r="AB11" s="33"/>
      <c r="AC11" s="33"/>
      <c r="AD11" s="33"/>
      <c r="AE11" s="34"/>
      <c r="AF11" s="33"/>
      <c r="AG11" s="39"/>
      <c r="AH11" s="39"/>
    </row>
    <row r="12" customFormat="false" ht="19.5" hidden="false" customHeight="true" outlineLevel="0" collapsed="false">
      <c r="B12" s="33" t="s">
        <v>266</v>
      </c>
      <c r="C12" s="34" t="s">
        <v>66</v>
      </c>
      <c r="D12" s="35"/>
      <c r="E12" s="34"/>
      <c r="F12" s="34"/>
      <c r="G12" s="36"/>
      <c r="H12" s="34"/>
      <c r="I12" s="36"/>
      <c r="J12" s="36"/>
      <c r="K12" s="33"/>
      <c r="L12" s="34" t="str">
        <f aca="false">IF(OR($J12="",$K12="",NOT(ISNUMBER($J12))),"",IF($K12="Maund",ROUND($J12*37.32,2),$J12))</f>
        <v/>
      </c>
      <c r="M12" s="37"/>
      <c r="N12" s="37"/>
      <c r="O12" s="37"/>
      <c r="P12" s="33"/>
      <c r="Q12" s="37"/>
      <c r="R12" s="37"/>
      <c r="S12" s="34"/>
      <c r="T12" s="38"/>
      <c r="U12" s="37"/>
      <c r="V12" s="37"/>
      <c r="W12" s="38"/>
      <c r="X12" s="38"/>
      <c r="Y12" s="38"/>
      <c r="Z12" s="34"/>
      <c r="AA12" s="34"/>
      <c r="AB12" s="33"/>
      <c r="AC12" s="33"/>
      <c r="AD12" s="33"/>
      <c r="AE12" s="34"/>
      <c r="AF12" s="33"/>
      <c r="AG12" s="39"/>
      <c r="AH12" s="39"/>
    </row>
    <row r="13" customFormat="false" ht="19.5" hidden="false" customHeight="true" outlineLevel="0" collapsed="false">
      <c r="B13" s="33" t="s">
        <v>267</v>
      </c>
      <c r="C13" s="34" t="s">
        <v>66</v>
      </c>
      <c r="D13" s="35"/>
      <c r="E13" s="34"/>
      <c r="F13" s="34"/>
      <c r="G13" s="36"/>
      <c r="H13" s="34"/>
      <c r="I13" s="36"/>
      <c r="J13" s="36"/>
      <c r="K13" s="33"/>
      <c r="L13" s="34" t="str">
        <f aca="false">IF(OR($J13="",$K13="",NOT(ISNUMBER($J13))),"",IF($K13="Maund",ROUND($J13*37.32,2),$J13))</f>
        <v/>
      </c>
      <c r="M13" s="37"/>
      <c r="N13" s="37"/>
      <c r="O13" s="37"/>
      <c r="P13" s="33"/>
      <c r="Q13" s="37"/>
      <c r="R13" s="37"/>
      <c r="S13" s="34"/>
      <c r="T13" s="38"/>
      <c r="U13" s="37"/>
      <c r="V13" s="37"/>
      <c r="W13" s="38"/>
      <c r="X13" s="38"/>
      <c r="Y13" s="38"/>
      <c r="Z13" s="34"/>
      <c r="AA13" s="34"/>
      <c r="AB13" s="33"/>
      <c r="AC13" s="33"/>
      <c r="AD13" s="33"/>
      <c r="AE13" s="34"/>
      <c r="AF13" s="33"/>
      <c r="AG13" s="39"/>
      <c r="AH13" s="39"/>
    </row>
    <row r="14" customFormat="false" ht="19.5" hidden="false" customHeight="true" outlineLevel="0" collapsed="false">
      <c r="B14" s="33" t="s">
        <v>268</v>
      </c>
      <c r="C14" s="34" t="s">
        <v>66</v>
      </c>
      <c r="D14" s="35"/>
      <c r="E14" s="34"/>
      <c r="F14" s="34"/>
      <c r="G14" s="36"/>
      <c r="H14" s="34"/>
      <c r="I14" s="36"/>
      <c r="J14" s="36"/>
      <c r="K14" s="33"/>
      <c r="L14" s="34" t="str">
        <f aca="false">IF(OR($J14="",$K14="",NOT(ISNUMBER($J14))),"",IF($K14="Maund",ROUND($J14*37.32,2),$J14))</f>
        <v/>
      </c>
      <c r="M14" s="37"/>
      <c r="N14" s="37"/>
      <c r="O14" s="37"/>
      <c r="P14" s="33"/>
      <c r="Q14" s="37"/>
      <c r="R14" s="37"/>
      <c r="S14" s="34"/>
      <c r="T14" s="38"/>
      <c r="U14" s="37"/>
      <c r="V14" s="37"/>
      <c r="W14" s="38"/>
      <c r="X14" s="38"/>
      <c r="Y14" s="38"/>
      <c r="Z14" s="34"/>
      <c r="AA14" s="34"/>
      <c r="AB14" s="33"/>
      <c r="AC14" s="33"/>
      <c r="AD14" s="33"/>
      <c r="AE14" s="34"/>
      <c r="AF14" s="33"/>
      <c r="AG14" s="39"/>
      <c r="AH14" s="39"/>
    </row>
    <row r="15" customFormat="false" ht="19.5" hidden="false" customHeight="true" outlineLevel="0" collapsed="false">
      <c r="B15" s="33" t="s">
        <v>269</v>
      </c>
      <c r="C15" s="34" t="s">
        <v>66</v>
      </c>
      <c r="D15" s="35"/>
      <c r="E15" s="34"/>
      <c r="F15" s="34"/>
      <c r="G15" s="36"/>
      <c r="H15" s="34"/>
      <c r="I15" s="36"/>
      <c r="J15" s="36"/>
      <c r="K15" s="33"/>
      <c r="L15" s="34" t="str">
        <f aca="false">IF(OR($J15="",$K15="",NOT(ISNUMBER($J15))),"",IF($K15="Maund",ROUND($J15*37.32,2),$J15))</f>
        <v/>
      </c>
      <c r="M15" s="37"/>
      <c r="N15" s="37"/>
      <c r="O15" s="37"/>
      <c r="P15" s="33"/>
      <c r="Q15" s="37"/>
      <c r="R15" s="37"/>
      <c r="S15" s="34"/>
      <c r="T15" s="38"/>
      <c r="U15" s="37"/>
      <c r="V15" s="37"/>
      <c r="W15" s="38"/>
      <c r="X15" s="38"/>
      <c r="Y15" s="38"/>
      <c r="Z15" s="34"/>
      <c r="AA15" s="34"/>
      <c r="AB15" s="33"/>
      <c r="AC15" s="33"/>
      <c r="AD15" s="33"/>
      <c r="AE15" s="34"/>
      <c r="AF15" s="33"/>
      <c r="AG15" s="39"/>
      <c r="AH15" s="39"/>
    </row>
    <row r="16" customFormat="false" ht="19.5" hidden="false" customHeight="true" outlineLevel="0" collapsed="false">
      <c r="B16" s="33" t="s">
        <v>270</v>
      </c>
      <c r="C16" s="34" t="s">
        <v>66</v>
      </c>
      <c r="D16" s="35"/>
      <c r="E16" s="34"/>
      <c r="F16" s="34"/>
      <c r="G16" s="36"/>
      <c r="H16" s="34"/>
      <c r="I16" s="36"/>
      <c r="J16" s="36"/>
      <c r="K16" s="33"/>
      <c r="L16" s="34" t="str">
        <f aca="false">IF(OR($J16="",$K16="",NOT(ISNUMBER($J16))),"",IF($K16="Maund",ROUND($J16*37.32,2),$J16))</f>
        <v/>
      </c>
      <c r="M16" s="37"/>
      <c r="N16" s="37"/>
      <c r="O16" s="37"/>
      <c r="P16" s="33"/>
      <c r="Q16" s="37"/>
      <c r="R16" s="37"/>
      <c r="S16" s="34"/>
      <c r="T16" s="38"/>
      <c r="U16" s="37"/>
      <c r="V16" s="37"/>
      <c r="W16" s="38"/>
      <c r="X16" s="38"/>
      <c r="Y16" s="38"/>
      <c r="Z16" s="34"/>
      <c r="AA16" s="34"/>
      <c r="AB16" s="33"/>
      <c r="AC16" s="33"/>
      <c r="AD16" s="33"/>
      <c r="AE16" s="34"/>
      <c r="AF16" s="33"/>
      <c r="AG16" s="39"/>
      <c r="AH16" s="39"/>
    </row>
    <row r="17" customFormat="false" ht="19.5" hidden="false" customHeight="true" outlineLevel="0" collapsed="false">
      <c r="B17" s="33" t="s">
        <v>271</v>
      </c>
      <c r="C17" s="34" t="s">
        <v>67</v>
      </c>
      <c r="D17" s="35"/>
      <c r="E17" s="34"/>
      <c r="F17" s="34"/>
      <c r="G17" s="36"/>
      <c r="H17" s="34"/>
      <c r="I17" s="36"/>
      <c r="J17" s="36"/>
      <c r="K17" s="33"/>
      <c r="L17" s="34" t="str">
        <f aca="false">IF(OR($J17="",$K17="",NOT(ISNUMBER($J17))),"",IF($K17="Maund",ROUND($J17*37.32,2),$J17))</f>
        <v/>
      </c>
      <c r="M17" s="37"/>
      <c r="N17" s="37"/>
      <c r="O17" s="37"/>
      <c r="P17" s="33"/>
      <c r="Q17" s="37"/>
      <c r="R17" s="37"/>
      <c r="S17" s="34"/>
      <c r="T17" s="38"/>
      <c r="U17" s="37"/>
      <c r="V17" s="37"/>
      <c r="W17" s="38"/>
      <c r="X17" s="38"/>
      <c r="Y17" s="38"/>
      <c r="Z17" s="34"/>
      <c r="AA17" s="34"/>
      <c r="AB17" s="33"/>
      <c r="AC17" s="33"/>
      <c r="AD17" s="33"/>
      <c r="AE17" s="34"/>
      <c r="AF17" s="33"/>
      <c r="AG17" s="39"/>
      <c r="AH17" s="39"/>
    </row>
    <row r="18" customFormat="false" ht="19.5" hidden="false" customHeight="true" outlineLevel="0" collapsed="false">
      <c r="B18" s="33" t="s">
        <v>272</v>
      </c>
      <c r="C18" s="34" t="s">
        <v>67</v>
      </c>
      <c r="D18" s="35"/>
      <c r="E18" s="34"/>
      <c r="F18" s="34"/>
      <c r="G18" s="36"/>
      <c r="H18" s="34"/>
      <c r="I18" s="36"/>
      <c r="J18" s="36"/>
      <c r="K18" s="33"/>
      <c r="L18" s="34" t="str">
        <f aca="false">IF(OR($J18="",$K18="",NOT(ISNUMBER($J18))),"",IF($K18="Maund",ROUND($J18*37.32,2),$J18))</f>
        <v/>
      </c>
      <c r="M18" s="37"/>
      <c r="N18" s="37"/>
      <c r="O18" s="37"/>
      <c r="P18" s="33"/>
      <c r="Q18" s="37"/>
      <c r="R18" s="37"/>
      <c r="S18" s="34"/>
      <c r="T18" s="38"/>
      <c r="U18" s="37"/>
      <c r="V18" s="37"/>
      <c r="W18" s="38"/>
      <c r="X18" s="38"/>
      <c r="Y18" s="38"/>
      <c r="Z18" s="34"/>
      <c r="AA18" s="34"/>
      <c r="AB18" s="33"/>
      <c r="AC18" s="33"/>
      <c r="AD18" s="33"/>
      <c r="AE18" s="34"/>
      <c r="AF18" s="33"/>
      <c r="AG18" s="39"/>
      <c r="AH18" s="39"/>
    </row>
    <row r="19" customFormat="false" ht="19.5" hidden="false" customHeight="true" outlineLevel="0" collapsed="false">
      <c r="B19" s="33" t="s">
        <v>273</v>
      </c>
      <c r="C19" s="34" t="s">
        <v>67</v>
      </c>
      <c r="D19" s="35"/>
      <c r="E19" s="34"/>
      <c r="F19" s="34"/>
      <c r="G19" s="36"/>
      <c r="H19" s="34"/>
      <c r="I19" s="36"/>
      <c r="J19" s="36"/>
      <c r="K19" s="33"/>
      <c r="L19" s="34" t="str">
        <f aca="false">IF(OR($J19="",$K19="",NOT(ISNUMBER($J19))),"",IF($K19="Maund",ROUND($J19*37.32,2),$J19))</f>
        <v/>
      </c>
      <c r="M19" s="37"/>
      <c r="N19" s="37"/>
      <c r="O19" s="37"/>
      <c r="P19" s="33"/>
      <c r="Q19" s="37"/>
      <c r="R19" s="37"/>
      <c r="S19" s="34"/>
      <c r="T19" s="38"/>
      <c r="U19" s="37"/>
      <c r="V19" s="37"/>
      <c r="W19" s="38"/>
      <c r="X19" s="38"/>
      <c r="Y19" s="38"/>
      <c r="Z19" s="34"/>
      <c r="AA19" s="34"/>
      <c r="AB19" s="33"/>
      <c r="AC19" s="33"/>
      <c r="AD19" s="33"/>
      <c r="AE19" s="34"/>
      <c r="AF19" s="33"/>
      <c r="AG19" s="39"/>
      <c r="AH19" s="39"/>
    </row>
    <row r="20" customFormat="false" ht="19.5" hidden="false" customHeight="true" outlineLevel="0" collapsed="false">
      <c r="B20" s="33" t="s">
        <v>274</v>
      </c>
      <c r="C20" s="34" t="s">
        <v>67</v>
      </c>
      <c r="D20" s="35"/>
      <c r="E20" s="34"/>
      <c r="F20" s="34"/>
      <c r="G20" s="36"/>
      <c r="H20" s="34"/>
      <c r="I20" s="36"/>
      <c r="J20" s="36"/>
      <c r="K20" s="33"/>
      <c r="L20" s="34" t="str">
        <f aca="false">IF(OR($J20="",$K20="",NOT(ISNUMBER($J20))),"",IF($K20="Maund",ROUND($J20*37.32,2),$J20))</f>
        <v/>
      </c>
      <c r="M20" s="37"/>
      <c r="N20" s="37"/>
      <c r="O20" s="37"/>
      <c r="P20" s="33"/>
      <c r="Q20" s="37"/>
      <c r="R20" s="37"/>
      <c r="S20" s="34"/>
      <c r="T20" s="38"/>
      <c r="U20" s="37"/>
      <c r="V20" s="37"/>
      <c r="W20" s="38"/>
      <c r="X20" s="38"/>
      <c r="Y20" s="38"/>
      <c r="Z20" s="34"/>
      <c r="AA20" s="34"/>
      <c r="AB20" s="33"/>
      <c r="AC20" s="33"/>
      <c r="AD20" s="33"/>
      <c r="AE20" s="34"/>
      <c r="AF20" s="33"/>
      <c r="AG20" s="39"/>
      <c r="AH20" s="39"/>
    </row>
    <row r="21" customFormat="false" ht="19.5" hidden="false" customHeight="true" outlineLevel="0" collapsed="false">
      <c r="B21" s="33" t="s">
        <v>275</v>
      </c>
      <c r="C21" s="34" t="s">
        <v>67</v>
      </c>
      <c r="D21" s="35"/>
      <c r="E21" s="34"/>
      <c r="F21" s="34"/>
      <c r="G21" s="36"/>
      <c r="H21" s="34"/>
      <c r="I21" s="36"/>
      <c r="J21" s="36"/>
      <c r="K21" s="33"/>
      <c r="L21" s="34" t="str">
        <f aca="false">IF(OR($J21="",$K21="",NOT(ISNUMBER($J21))),"",IF($K21="Maund",ROUND($J21*37.32,2),$J21))</f>
        <v/>
      </c>
      <c r="M21" s="37"/>
      <c r="N21" s="37"/>
      <c r="O21" s="37"/>
      <c r="P21" s="33"/>
      <c r="Q21" s="37"/>
      <c r="R21" s="37"/>
      <c r="S21" s="34"/>
      <c r="T21" s="38"/>
      <c r="U21" s="37"/>
      <c r="V21" s="37"/>
      <c r="W21" s="38"/>
      <c r="X21" s="38"/>
      <c r="Y21" s="38"/>
      <c r="Z21" s="34"/>
      <c r="AA21" s="34"/>
      <c r="AB21" s="33"/>
      <c r="AC21" s="33"/>
      <c r="AD21" s="33"/>
      <c r="AE21" s="34"/>
      <c r="AF21" s="33"/>
      <c r="AG21" s="39"/>
      <c r="AH21" s="39"/>
    </row>
    <row r="22" customFormat="false" ht="19.5" hidden="false" customHeight="true" outlineLevel="0" collapsed="false">
      <c r="B22" s="33" t="s">
        <v>276</v>
      </c>
      <c r="C22" s="34" t="s">
        <v>67</v>
      </c>
      <c r="D22" s="35"/>
      <c r="E22" s="34"/>
      <c r="F22" s="34"/>
      <c r="G22" s="36"/>
      <c r="H22" s="34"/>
      <c r="I22" s="36"/>
      <c r="J22" s="36"/>
      <c r="K22" s="33"/>
      <c r="L22" s="34" t="str">
        <f aca="false">IF(OR($J22="",$K22="",NOT(ISNUMBER($J22))),"",IF($K22="Maund",ROUND($J22*37.32,2),$J22))</f>
        <v/>
      </c>
      <c r="M22" s="37"/>
      <c r="N22" s="37"/>
      <c r="O22" s="37"/>
      <c r="P22" s="33"/>
      <c r="Q22" s="37"/>
      <c r="R22" s="37"/>
      <c r="S22" s="34"/>
      <c r="T22" s="38"/>
      <c r="U22" s="37"/>
      <c r="V22" s="37"/>
      <c r="W22" s="38"/>
      <c r="X22" s="38"/>
      <c r="Y22" s="38"/>
      <c r="Z22" s="34"/>
      <c r="AA22" s="34"/>
      <c r="AB22" s="33"/>
      <c r="AC22" s="33"/>
      <c r="AD22" s="33"/>
      <c r="AE22" s="34"/>
      <c r="AF22" s="33"/>
      <c r="AG22" s="39"/>
      <c r="AH22" s="39"/>
    </row>
    <row r="23" customFormat="false" ht="19.5" hidden="false" customHeight="true" outlineLevel="0" collapsed="false">
      <c r="B23" s="33" t="s">
        <v>277</v>
      </c>
      <c r="C23" s="34" t="s">
        <v>68</v>
      </c>
      <c r="D23" s="35"/>
      <c r="E23" s="34"/>
      <c r="F23" s="34"/>
      <c r="G23" s="36"/>
      <c r="H23" s="34"/>
      <c r="I23" s="36"/>
      <c r="J23" s="36"/>
      <c r="K23" s="33"/>
      <c r="L23" s="34" t="str">
        <f aca="false">IF(OR($J23="",$K23="",NOT(ISNUMBER($J23))),"",IF($K23="Maund",ROUND($J23*37.32,2),$J23))</f>
        <v/>
      </c>
      <c r="M23" s="37"/>
      <c r="N23" s="37"/>
      <c r="O23" s="37"/>
      <c r="P23" s="33"/>
      <c r="Q23" s="37"/>
      <c r="R23" s="37"/>
      <c r="S23" s="34"/>
      <c r="T23" s="38"/>
      <c r="U23" s="37"/>
      <c r="V23" s="37"/>
      <c r="W23" s="38"/>
      <c r="X23" s="38"/>
      <c r="Y23" s="38"/>
      <c r="Z23" s="34"/>
      <c r="AA23" s="34"/>
      <c r="AB23" s="33"/>
      <c r="AC23" s="33"/>
      <c r="AD23" s="33"/>
      <c r="AE23" s="34"/>
      <c r="AF23" s="33"/>
      <c r="AG23" s="39"/>
      <c r="AH23" s="39"/>
    </row>
    <row r="24" customFormat="false" ht="19.5" hidden="false" customHeight="true" outlineLevel="0" collapsed="false">
      <c r="B24" s="33" t="s">
        <v>278</v>
      </c>
      <c r="C24" s="34" t="s">
        <v>68</v>
      </c>
      <c r="D24" s="35"/>
      <c r="E24" s="34"/>
      <c r="F24" s="34"/>
      <c r="G24" s="36"/>
      <c r="H24" s="34"/>
      <c r="I24" s="36"/>
      <c r="J24" s="36"/>
      <c r="K24" s="33"/>
      <c r="L24" s="34" t="str">
        <f aca="false">IF(OR($J24="",$K24="",NOT(ISNUMBER($J24))),"",IF($K24="Maund",ROUND($J24*37.32,2),$J24))</f>
        <v/>
      </c>
      <c r="M24" s="37"/>
      <c r="N24" s="37"/>
      <c r="O24" s="37"/>
      <c r="P24" s="33"/>
      <c r="Q24" s="37"/>
      <c r="R24" s="37"/>
      <c r="S24" s="34"/>
      <c r="T24" s="38"/>
      <c r="U24" s="37"/>
      <c r="V24" s="37"/>
      <c r="W24" s="38"/>
      <c r="X24" s="38"/>
      <c r="Y24" s="38"/>
      <c r="Z24" s="34"/>
      <c r="AA24" s="34"/>
      <c r="AB24" s="33"/>
      <c r="AC24" s="33"/>
      <c r="AD24" s="33"/>
      <c r="AE24" s="34"/>
      <c r="AF24" s="33"/>
      <c r="AG24" s="39"/>
      <c r="AH24" s="39"/>
    </row>
    <row r="25" customFormat="false" ht="19.5" hidden="false" customHeight="true" outlineLevel="0" collapsed="false">
      <c r="B25" s="33" t="s">
        <v>279</v>
      </c>
      <c r="C25" s="34" t="s">
        <v>68</v>
      </c>
      <c r="D25" s="35"/>
      <c r="E25" s="34"/>
      <c r="F25" s="34"/>
      <c r="G25" s="36"/>
      <c r="H25" s="34"/>
      <c r="I25" s="36"/>
      <c r="J25" s="36"/>
      <c r="K25" s="33"/>
      <c r="L25" s="34" t="str">
        <f aca="false">IF(OR($J25="",$K25="",NOT(ISNUMBER($J25))),"",IF($K25="Maund",ROUND($J25*37.32,2),$J25))</f>
        <v/>
      </c>
      <c r="M25" s="37"/>
      <c r="N25" s="37"/>
      <c r="O25" s="37"/>
      <c r="P25" s="33"/>
      <c r="Q25" s="37"/>
      <c r="R25" s="37"/>
      <c r="S25" s="34"/>
      <c r="T25" s="38"/>
      <c r="U25" s="37"/>
      <c r="V25" s="37"/>
      <c r="W25" s="38"/>
      <c r="X25" s="38"/>
      <c r="Y25" s="38"/>
      <c r="Z25" s="34"/>
      <c r="AA25" s="34"/>
      <c r="AB25" s="33"/>
      <c r="AC25" s="33"/>
      <c r="AD25" s="33"/>
      <c r="AE25" s="34"/>
      <c r="AF25" s="33"/>
      <c r="AG25" s="39"/>
      <c r="AH25" s="39"/>
    </row>
    <row r="26" customFormat="false" ht="19.5" hidden="false" customHeight="true" outlineLevel="0" collapsed="false">
      <c r="B26" s="33" t="s">
        <v>280</v>
      </c>
      <c r="C26" s="34" t="s">
        <v>68</v>
      </c>
      <c r="D26" s="35"/>
      <c r="E26" s="34"/>
      <c r="F26" s="34"/>
      <c r="G26" s="36"/>
      <c r="H26" s="34"/>
      <c r="I26" s="36"/>
      <c r="J26" s="36"/>
      <c r="K26" s="33"/>
      <c r="L26" s="34" t="str">
        <f aca="false">IF(OR($J26="",$K26="",NOT(ISNUMBER($J26))),"",IF($K26="Maund",ROUND($J26*37.32,2),$J26))</f>
        <v/>
      </c>
      <c r="M26" s="37"/>
      <c r="N26" s="37"/>
      <c r="O26" s="37"/>
      <c r="P26" s="33"/>
      <c r="Q26" s="37"/>
      <c r="R26" s="37"/>
      <c r="S26" s="34"/>
      <c r="T26" s="38"/>
      <c r="U26" s="37"/>
      <c r="V26" s="37"/>
      <c r="W26" s="38"/>
      <c r="X26" s="38"/>
      <c r="Y26" s="38"/>
      <c r="Z26" s="34"/>
      <c r="AA26" s="34"/>
      <c r="AB26" s="33"/>
      <c r="AC26" s="33"/>
      <c r="AD26" s="33"/>
      <c r="AE26" s="34"/>
      <c r="AF26" s="33"/>
      <c r="AG26" s="39"/>
      <c r="AH26" s="39"/>
    </row>
    <row r="27" customFormat="false" ht="19.5" hidden="false" customHeight="true" outlineLevel="0" collapsed="false">
      <c r="B27" s="33" t="s">
        <v>281</v>
      </c>
      <c r="C27" s="34" t="s">
        <v>68</v>
      </c>
      <c r="D27" s="35"/>
      <c r="E27" s="34"/>
      <c r="F27" s="34"/>
      <c r="G27" s="36"/>
      <c r="H27" s="34"/>
      <c r="I27" s="36"/>
      <c r="J27" s="36"/>
      <c r="K27" s="33"/>
      <c r="L27" s="34" t="str">
        <f aca="false">IF(OR($J27="",$K27="",NOT(ISNUMBER($J27))),"",IF($K27="Maund",ROUND($J27*37.32,2),$J27))</f>
        <v/>
      </c>
      <c r="M27" s="37"/>
      <c r="N27" s="37"/>
      <c r="O27" s="37"/>
      <c r="P27" s="33"/>
      <c r="Q27" s="37"/>
      <c r="R27" s="37"/>
      <c r="S27" s="34"/>
      <c r="T27" s="38"/>
      <c r="U27" s="37"/>
      <c r="V27" s="37"/>
      <c r="W27" s="38"/>
      <c r="X27" s="38"/>
      <c r="Y27" s="38"/>
      <c r="Z27" s="34"/>
      <c r="AA27" s="34"/>
      <c r="AB27" s="33"/>
      <c r="AC27" s="33"/>
      <c r="AD27" s="33"/>
      <c r="AE27" s="34"/>
      <c r="AF27" s="33"/>
      <c r="AG27" s="39"/>
      <c r="AH27" s="39"/>
    </row>
    <row r="28" customFormat="false" ht="19.5" hidden="false" customHeight="true" outlineLevel="0" collapsed="false">
      <c r="B28" s="33" t="s">
        <v>282</v>
      </c>
      <c r="C28" s="34" t="s">
        <v>68</v>
      </c>
      <c r="D28" s="35"/>
      <c r="E28" s="34"/>
      <c r="F28" s="34"/>
      <c r="G28" s="36"/>
      <c r="H28" s="34"/>
      <c r="I28" s="36"/>
      <c r="J28" s="36"/>
      <c r="K28" s="33"/>
      <c r="L28" s="34" t="str">
        <f aca="false">IF(OR($J28="",$K28="",NOT(ISNUMBER($J28))),"",IF($K28="Maund",ROUND($J28*37.32,2),$J28))</f>
        <v/>
      </c>
      <c r="M28" s="37"/>
      <c r="N28" s="37"/>
      <c r="O28" s="37"/>
      <c r="P28" s="33"/>
      <c r="Q28" s="37"/>
      <c r="R28" s="37"/>
      <c r="S28" s="34"/>
      <c r="T28" s="38"/>
      <c r="U28" s="37"/>
      <c r="V28" s="37"/>
      <c r="W28" s="38"/>
      <c r="X28" s="38"/>
      <c r="Y28" s="38"/>
      <c r="Z28" s="34"/>
      <c r="AA28" s="34"/>
      <c r="AB28" s="33"/>
      <c r="AC28" s="33"/>
      <c r="AD28" s="33"/>
      <c r="AE28" s="34"/>
      <c r="AF28" s="33"/>
      <c r="AG28" s="39"/>
      <c r="AH28" s="39"/>
    </row>
    <row r="29" customFormat="false" ht="19.5" hidden="false" customHeight="true" outlineLevel="0" collapsed="false">
      <c r="B29" s="33" t="s">
        <v>283</v>
      </c>
      <c r="C29" s="34" t="s">
        <v>69</v>
      </c>
      <c r="D29" s="35"/>
      <c r="E29" s="34"/>
      <c r="F29" s="34"/>
      <c r="G29" s="36"/>
      <c r="H29" s="34"/>
      <c r="I29" s="36"/>
      <c r="J29" s="36"/>
      <c r="K29" s="33"/>
      <c r="L29" s="34" t="str">
        <f aca="false">IF(OR($J29="",$K29="",NOT(ISNUMBER($J29))),"",IF($K29="Maund",ROUND($J29*37.32,2),$J29))</f>
        <v/>
      </c>
      <c r="M29" s="37"/>
      <c r="N29" s="37"/>
      <c r="O29" s="37"/>
      <c r="P29" s="33"/>
      <c r="Q29" s="37"/>
      <c r="R29" s="37"/>
      <c r="S29" s="34"/>
      <c r="T29" s="38"/>
      <c r="U29" s="37"/>
      <c r="V29" s="37"/>
      <c r="W29" s="38"/>
      <c r="X29" s="38"/>
      <c r="Y29" s="38"/>
      <c r="Z29" s="34"/>
      <c r="AA29" s="34"/>
      <c r="AB29" s="33"/>
      <c r="AC29" s="33"/>
      <c r="AD29" s="33"/>
      <c r="AE29" s="34"/>
      <c r="AF29" s="33"/>
      <c r="AG29" s="39"/>
      <c r="AH29" s="39"/>
    </row>
    <row r="30" customFormat="false" ht="19.5" hidden="false" customHeight="true" outlineLevel="0" collapsed="false">
      <c r="B30" s="33" t="s">
        <v>284</v>
      </c>
      <c r="C30" s="34" t="s">
        <v>69</v>
      </c>
      <c r="D30" s="35"/>
      <c r="E30" s="34"/>
      <c r="F30" s="34"/>
      <c r="G30" s="36"/>
      <c r="H30" s="34"/>
      <c r="I30" s="36"/>
      <c r="J30" s="36"/>
      <c r="K30" s="33"/>
      <c r="L30" s="34" t="str">
        <f aca="false">IF(OR($J30="",$K30="",NOT(ISNUMBER($J30))),"",IF($K30="Maund",ROUND($J30*37.32,2),$J30))</f>
        <v/>
      </c>
      <c r="M30" s="37"/>
      <c r="N30" s="37"/>
      <c r="O30" s="37"/>
      <c r="P30" s="33"/>
      <c r="Q30" s="37"/>
      <c r="R30" s="37"/>
      <c r="S30" s="34"/>
      <c r="T30" s="38"/>
      <c r="U30" s="37"/>
      <c r="V30" s="37"/>
      <c r="W30" s="38"/>
      <c r="X30" s="38"/>
      <c r="Y30" s="38"/>
      <c r="Z30" s="34"/>
      <c r="AA30" s="34"/>
      <c r="AB30" s="33"/>
      <c r="AC30" s="33"/>
      <c r="AD30" s="33"/>
      <c r="AE30" s="34"/>
      <c r="AF30" s="33"/>
      <c r="AG30" s="39"/>
      <c r="AH30" s="39"/>
    </row>
    <row r="31" customFormat="false" ht="19.5" hidden="false" customHeight="true" outlineLevel="0" collapsed="false">
      <c r="B31" s="33" t="s">
        <v>285</v>
      </c>
      <c r="C31" s="34" t="s">
        <v>69</v>
      </c>
      <c r="D31" s="35"/>
      <c r="E31" s="34"/>
      <c r="F31" s="34"/>
      <c r="G31" s="36"/>
      <c r="H31" s="34"/>
      <c r="I31" s="36"/>
      <c r="J31" s="36"/>
      <c r="K31" s="33"/>
      <c r="L31" s="34" t="str">
        <f aca="false">IF(OR($J31="",$K31="",NOT(ISNUMBER($J31))),"",IF($K31="Maund",ROUND($J31*37.32,2),$J31))</f>
        <v/>
      </c>
      <c r="M31" s="37"/>
      <c r="N31" s="37"/>
      <c r="O31" s="37"/>
      <c r="P31" s="33"/>
      <c r="Q31" s="37"/>
      <c r="R31" s="37"/>
      <c r="S31" s="34"/>
      <c r="T31" s="38"/>
      <c r="U31" s="37"/>
      <c r="V31" s="37"/>
      <c r="W31" s="38"/>
      <c r="X31" s="38"/>
      <c r="Y31" s="38"/>
      <c r="Z31" s="34"/>
      <c r="AA31" s="34"/>
      <c r="AB31" s="33"/>
      <c r="AC31" s="33"/>
      <c r="AD31" s="33"/>
      <c r="AE31" s="34"/>
      <c r="AF31" s="33"/>
      <c r="AG31" s="39"/>
      <c r="AH31" s="39"/>
    </row>
    <row r="32" customFormat="false" ht="19.5" hidden="false" customHeight="true" outlineLevel="0" collapsed="false">
      <c r="B32" s="33" t="s">
        <v>286</v>
      </c>
      <c r="C32" s="34" t="s">
        <v>69</v>
      </c>
      <c r="D32" s="35"/>
      <c r="E32" s="34"/>
      <c r="F32" s="34"/>
      <c r="G32" s="36"/>
      <c r="H32" s="34"/>
      <c r="I32" s="36"/>
      <c r="J32" s="36"/>
      <c r="K32" s="33"/>
      <c r="L32" s="34" t="str">
        <f aca="false">IF(OR($J32="",$K32="",NOT(ISNUMBER($J32))),"",IF($K32="Maund",ROUND($J32*37.32,2),$J32))</f>
        <v/>
      </c>
      <c r="M32" s="37"/>
      <c r="N32" s="37"/>
      <c r="O32" s="37"/>
      <c r="P32" s="33"/>
      <c r="Q32" s="37"/>
      <c r="R32" s="37"/>
      <c r="S32" s="34"/>
      <c r="T32" s="38"/>
      <c r="U32" s="37"/>
      <c r="V32" s="37"/>
      <c r="W32" s="38"/>
      <c r="X32" s="38"/>
      <c r="Y32" s="38"/>
      <c r="Z32" s="34"/>
      <c r="AA32" s="34"/>
      <c r="AB32" s="33"/>
      <c r="AC32" s="33"/>
      <c r="AD32" s="33"/>
      <c r="AE32" s="34"/>
      <c r="AF32" s="33"/>
      <c r="AG32" s="39"/>
      <c r="AH32" s="39"/>
    </row>
    <row r="33" customFormat="false" ht="19.5" hidden="false" customHeight="true" outlineLevel="0" collapsed="false">
      <c r="B33" s="33" t="s">
        <v>287</v>
      </c>
      <c r="C33" s="34" t="s">
        <v>69</v>
      </c>
      <c r="D33" s="35"/>
      <c r="E33" s="34"/>
      <c r="F33" s="34"/>
      <c r="G33" s="36"/>
      <c r="H33" s="34"/>
      <c r="I33" s="36"/>
      <c r="J33" s="36"/>
      <c r="K33" s="33"/>
      <c r="L33" s="34" t="str">
        <f aca="false">IF(OR($J33="",$K33="",NOT(ISNUMBER($J33))),"",IF($K33="Maund",ROUND($J33*37.32,2),$J33))</f>
        <v/>
      </c>
      <c r="M33" s="37"/>
      <c r="N33" s="37"/>
      <c r="O33" s="37"/>
      <c r="P33" s="33"/>
      <c r="Q33" s="37"/>
      <c r="R33" s="37"/>
      <c r="S33" s="34"/>
      <c r="T33" s="38"/>
      <c r="U33" s="37"/>
      <c r="V33" s="37"/>
      <c r="W33" s="38"/>
      <c r="X33" s="38"/>
      <c r="Y33" s="38"/>
      <c r="Z33" s="34"/>
      <c r="AA33" s="34"/>
      <c r="AB33" s="33"/>
      <c r="AC33" s="33"/>
      <c r="AD33" s="33"/>
      <c r="AE33" s="34"/>
      <c r="AF33" s="33"/>
      <c r="AG33" s="39"/>
      <c r="AH33" s="39"/>
    </row>
    <row r="34" customFormat="false" ht="19.5" hidden="false" customHeight="true" outlineLevel="0" collapsed="false">
      <c r="B34" s="33" t="s">
        <v>288</v>
      </c>
      <c r="C34" s="34" t="s">
        <v>69</v>
      </c>
      <c r="D34" s="35"/>
      <c r="E34" s="34"/>
      <c r="F34" s="34"/>
      <c r="G34" s="36"/>
      <c r="H34" s="34"/>
      <c r="I34" s="36"/>
      <c r="J34" s="36"/>
      <c r="K34" s="33"/>
      <c r="L34" s="34" t="str">
        <f aca="false">IF(OR($J34="",$K34="",NOT(ISNUMBER($J34))),"",IF($K34="Maund",ROUND($J34*37.32,2),$J34))</f>
        <v/>
      </c>
      <c r="M34" s="37"/>
      <c r="N34" s="37"/>
      <c r="O34" s="37"/>
      <c r="P34" s="33"/>
      <c r="Q34" s="37"/>
      <c r="R34" s="37"/>
      <c r="S34" s="34"/>
      <c r="T34" s="38"/>
      <c r="U34" s="37"/>
      <c r="V34" s="37"/>
      <c r="W34" s="38"/>
      <c r="X34" s="38"/>
      <c r="Y34" s="38"/>
      <c r="Z34" s="34"/>
      <c r="AA34" s="34"/>
      <c r="AB34" s="33"/>
      <c r="AC34" s="33"/>
      <c r="AD34" s="33"/>
      <c r="AE34" s="34"/>
      <c r="AF34" s="33"/>
      <c r="AG34" s="39"/>
      <c r="AH34" s="39"/>
    </row>
    <row r="35" customFormat="false" ht="19.5" hidden="false" customHeight="true" outlineLevel="0" collapsed="false">
      <c r="B35" s="33" t="s">
        <v>289</v>
      </c>
      <c r="C35" s="34" t="s">
        <v>70</v>
      </c>
      <c r="D35" s="35"/>
      <c r="E35" s="34"/>
      <c r="F35" s="34"/>
      <c r="G35" s="36"/>
      <c r="H35" s="34"/>
      <c r="I35" s="36"/>
      <c r="J35" s="36"/>
      <c r="K35" s="33"/>
      <c r="L35" s="34" t="str">
        <f aca="false">IF(OR($J35="",$K35="",NOT(ISNUMBER($J35))),"",IF($K35="Maund",ROUND($J35*37.32,2),$J35))</f>
        <v/>
      </c>
      <c r="M35" s="37"/>
      <c r="N35" s="37"/>
      <c r="O35" s="37"/>
      <c r="P35" s="33"/>
      <c r="Q35" s="37"/>
      <c r="R35" s="37"/>
      <c r="S35" s="34"/>
      <c r="T35" s="38"/>
      <c r="U35" s="37"/>
      <c r="V35" s="37"/>
      <c r="W35" s="38"/>
      <c r="X35" s="38"/>
      <c r="Y35" s="38"/>
      <c r="Z35" s="34"/>
      <c r="AA35" s="34"/>
      <c r="AB35" s="33"/>
      <c r="AC35" s="33"/>
      <c r="AD35" s="33"/>
      <c r="AE35" s="34"/>
      <c r="AF35" s="33"/>
      <c r="AG35" s="39"/>
      <c r="AH35" s="39"/>
    </row>
    <row r="36" customFormat="false" ht="19.5" hidden="false" customHeight="true" outlineLevel="0" collapsed="false">
      <c r="B36" s="33" t="s">
        <v>290</v>
      </c>
      <c r="C36" s="34" t="s">
        <v>70</v>
      </c>
      <c r="D36" s="35"/>
      <c r="E36" s="34"/>
      <c r="F36" s="34"/>
      <c r="G36" s="36"/>
      <c r="H36" s="34"/>
      <c r="I36" s="36"/>
      <c r="J36" s="36"/>
      <c r="K36" s="33"/>
      <c r="L36" s="34" t="str">
        <f aca="false">IF(OR($J36="",$K36="",NOT(ISNUMBER($J36))),"",IF($K36="Maund",ROUND($J36*37.32,2),$J36))</f>
        <v/>
      </c>
      <c r="M36" s="37"/>
      <c r="N36" s="37"/>
      <c r="O36" s="37"/>
      <c r="P36" s="33"/>
      <c r="Q36" s="37"/>
      <c r="R36" s="37"/>
      <c r="S36" s="34"/>
      <c r="T36" s="38"/>
      <c r="U36" s="37"/>
      <c r="V36" s="37"/>
      <c r="W36" s="38"/>
      <c r="X36" s="38"/>
      <c r="Y36" s="38"/>
      <c r="Z36" s="34"/>
      <c r="AA36" s="34"/>
      <c r="AB36" s="33"/>
      <c r="AC36" s="33"/>
      <c r="AD36" s="33"/>
      <c r="AE36" s="34"/>
      <c r="AF36" s="33"/>
      <c r="AG36" s="39"/>
      <c r="AH36" s="39"/>
    </row>
    <row r="37" customFormat="false" ht="19.5" hidden="false" customHeight="true" outlineLevel="0" collapsed="false">
      <c r="B37" s="33" t="s">
        <v>291</v>
      </c>
      <c r="C37" s="34" t="s">
        <v>70</v>
      </c>
      <c r="D37" s="35"/>
      <c r="E37" s="34"/>
      <c r="F37" s="34"/>
      <c r="G37" s="36"/>
      <c r="H37" s="34"/>
      <c r="I37" s="36"/>
      <c r="J37" s="36"/>
      <c r="K37" s="33"/>
      <c r="L37" s="34" t="str">
        <f aca="false">IF(OR($J37="",$K37="",NOT(ISNUMBER($J37))),"",IF($K37="Maund",ROUND($J37*37.32,2),$J37))</f>
        <v/>
      </c>
      <c r="M37" s="37"/>
      <c r="N37" s="37"/>
      <c r="O37" s="37"/>
      <c r="P37" s="33"/>
      <c r="Q37" s="37"/>
      <c r="R37" s="37"/>
      <c r="S37" s="34"/>
      <c r="T37" s="38"/>
      <c r="U37" s="37"/>
      <c r="V37" s="37"/>
      <c r="W37" s="38"/>
      <c r="X37" s="38"/>
      <c r="Y37" s="38"/>
      <c r="Z37" s="34"/>
      <c r="AA37" s="34"/>
      <c r="AB37" s="33"/>
      <c r="AC37" s="33"/>
      <c r="AD37" s="33"/>
      <c r="AE37" s="34"/>
      <c r="AF37" s="33"/>
      <c r="AG37" s="39"/>
      <c r="AH37" s="39"/>
    </row>
    <row r="38" customFormat="false" ht="19.5" hidden="false" customHeight="true" outlineLevel="0" collapsed="false">
      <c r="B38" s="33" t="s">
        <v>292</v>
      </c>
      <c r="C38" s="34" t="s">
        <v>70</v>
      </c>
      <c r="D38" s="35"/>
      <c r="E38" s="34"/>
      <c r="F38" s="34"/>
      <c r="G38" s="36"/>
      <c r="H38" s="34"/>
      <c r="I38" s="36"/>
      <c r="J38" s="36"/>
      <c r="K38" s="33"/>
      <c r="L38" s="34" t="str">
        <f aca="false">IF(OR($J38="",$K38="",NOT(ISNUMBER($J38))),"",IF($K38="Maund",ROUND($J38*37.32,2),$J38))</f>
        <v/>
      </c>
      <c r="M38" s="37"/>
      <c r="N38" s="37"/>
      <c r="O38" s="37"/>
      <c r="P38" s="33"/>
      <c r="Q38" s="37"/>
      <c r="R38" s="37"/>
      <c r="S38" s="34"/>
      <c r="T38" s="38"/>
      <c r="U38" s="37"/>
      <c r="V38" s="37"/>
      <c r="W38" s="38"/>
      <c r="X38" s="38"/>
      <c r="Y38" s="38"/>
      <c r="Z38" s="34"/>
      <c r="AA38" s="34"/>
      <c r="AB38" s="33"/>
      <c r="AC38" s="33"/>
      <c r="AD38" s="33"/>
      <c r="AE38" s="34"/>
      <c r="AF38" s="33"/>
      <c r="AG38" s="39"/>
      <c r="AH38" s="39"/>
    </row>
    <row r="39" customFormat="false" ht="19.5" hidden="false" customHeight="true" outlineLevel="0" collapsed="false">
      <c r="B39" s="33" t="s">
        <v>293</v>
      </c>
      <c r="C39" s="34" t="s">
        <v>70</v>
      </c>
      <c r="D39" s="35"/>
      <c r="E39" s="34"/>
      <c r="F39" s="34"/>
      <c r="G39" s="36"/>
      <c r="H39" s="34"/>
      <c r="I39" s="36"/>
      <c r="J39" s="36"/>
      <c r="K39" s="33"/>
      <c r="L39" s="34" t="str">
        <f aca="false">IF(OR($J39="",$K39="",NOT(ISNUMBER($J39))),"",IF($K39="Maund",ROUND($J39*37.32,2),$J39))</f>
        <v/>
      </c>
      <c r="M39" s="37"/>
      <c r="N39" s="37"/>
      <c r="O39" s="37"/>
      <c r="P39" s="33"/>
      <c r="Q39" s="37"/>
      <c r="R39" s="37"/>
      <c r="S39" s="34"/>
      <c r="T39" s="38"/>
      <c r="U39" s="37"/>
      <c r="V39" s="37"/>
      <c r="W39" s="38"/>
      <c r="X39" s="38"/>
      <c r="Y39" s="38"/>
      <c r="Z39" s="34"/>
      <c r="AA39" s="34"/>
      <c r="AB39" s="33"/>
      <c r="AC39" s="33"/>
      <c r="AD39" s="33"/>
      <c r="AE39" s="34"/>
      <c r="AF39" s="33"/>
      <c r="AG39" s="39"/>
      <c r="AH39" s="39"/>
    </row>
    <row r="40" customFormat="false" ht="19.5" hidden="false" customHeight="true" outlineLevel="0" collapsed="false">
      <c r="B40" s="33" t="s">
        <v>294</v>
      </c>
      <c r="C40" s="34" t="s">
        <v>70</v>
      </c>
      <c r="D40" s="35"/>
      <c r="E40" s="34"/>
      <c r="F40" s="34"/>
      <c r="G40" s="36"/>
      <c r="H40" s="34"/>
      <c r="I40" s="36"/>
      <c r="J40" s="36"/>
      <c r="K40" s="33"/>
      <c r="L40" s="34" t="str">
        <f aca="false">IF(OR($J40="",$K40="",NOT(ISNUMBER($J40))),"",IF($K40="Maund",ROUND($J40*37.32,2),$J40))</f>
        <v/>
      </c>
      <c r="M40" s="37"/>
      <c r="N40" s="37"/>
      <c r="O40" s="37"/>
      <c r="P40" s="33"/>
      <c r="Q40" s="37"/>
      <c r="R40" s="37"/>
      <c r="S40" s="34"/>
      <c r="T40" s="38"/>
      <c r="U40" s="37"/>
      <c r="V40" s="37"/>
      <c r="W40" s="38"/>
      <c r="X40" s="38"/>
      <c r="Y40" s="38"/>
      <c r="Z40" s="34"/>
      <c r="AA40" s="34"/>
      <c r="AB40" s="33"/>
      <c r="AC40" s="33"/>
      <c r="AD40" s="33"/>
      <c r="AE40" s="34"/>
      <c r="AF40" s="33"/>
      <c r="AG40" s="39"/>
      <c r="AH40" s="39"/>
    </row>
  </sheetData>
  <autoFilter ref="B4:AF40"/>
  <mergeCells count="1">
    <mergeCell ref="B2:AF2"/>
  </mergeCells>
  <dataValidations count="13"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C5:C40" type="list">
      <formula1>"M1,M2,M3,M4,M5,M6"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E5:E40" type="list">
      <formula1>"Faria,Bepari"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F5:F40" type="list">
      <formula1>"Year_round,Seasonal"</formula1>
      <formula2>0</formula2>
    </dataValidation>
    <dataValidation allowBlank="true" errorStyle="stop" operator="greaterThanOrEqual" showDropDown="false" showErrorMessage="true" showInputMessage="false" sqref="G5:G40" type="whole">
      <formula1>15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H5:H40" type="list">
      <formula1>"Illiterate,Primary,Secondary,Higher_Secondary"</formula1>
      <formula2>0</formula2>
    </dataValidation>
    <dataValidation allowBlank="true" errorStyle="stop" operator="greaterThanOrEqual" showDropDown="false" showErrorMessage="true" showInputMessage="false" sqref="M5:M40 Q5:Q40" type="whole">
      <formula1>1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K5:K40" type="list">
      <formula1>"Maund,Kg"</formula1>
      <formula2>0</formula2>
    </dataValidation>
    <dataValidation allowBlank="true" errorStyle="stop" operator="greaterThanOrEqual" showDropDown="false" showErrorMessage="true" showInputMessage="false" sqref="J5:J40 P5:P40 S5:V40" type="decimal">
      <formula1>0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O5:O40" type="list">
      <formula1>"Fisherman,Faria,Aratdar,Other"</formula1>
      <formula2>0</formula2>
    </dataValidation>
    <dataValidation allowBlank="true" errorStyle="stop" operator="greaterThanOrEqual" showDropDown="false" showErrorMessage="true" showInputMessage="false" sqref="R5:R40 X5:AA40" type="whole">
      <formula1>0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W5:W40" type="list">
      <formula1>"Percent_of_lot,BDT_per_lot"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AB5:AB40" type="list">
      <formula1>"Regular,Occasional,Never"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AC5:AC40" type="list">
      <formula1>"Almost_all,Some,None"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B2:AA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7" min="6" style="1" width="12"/>
    <col collapsed="false" customWidth="true" hidden="false" outlineLevel="0" max="10" min="8" style="1" width="14"/>
    <col collapsed="false" customWidth="true" hidden="false" outlineLevel="0" max="11" min="11" style="1" width="10"/>
    <col collapsed="false" customWidth="true" hidden="false" outlineLevel="0" max="12" min="12" style="1" width="16"/>
    <col collapsed="false" customWidth="true" hidden="false" outlineLevel="0" max="16" min="13" style="1" width="14"/>
    <col collapsed="false" customWidth="true" hidden="false" outlineLevel="0" max="17" min="17" style="1" width="20"/>
    <col collapsed="false" customWidth="true" hidden="false" outlineLevel="0" max="20" min="18" style="1" width="12"/>
    <col collapsed="false" customWidth="true" hidden="false" outlineLevel="0" max="22" min="21" style="1" width="16"/>
    <col collapsed="false" customWidth="true" hidden="false" outlineLevel="0" max="25" min="23" style="1" width="22"/>
    <col collapsed="false" customWidth="true" hidden="false" outlineLevel="0" max="26" min="26" style="1" width="12"/>
    <col collapsed="false" customWidth="true" hidden="false" outlineLevel="0" max="27" min="27" style="1" width="22"/>
  </cols>
  <sheetData>
    <row r="2" customFormat="false" ht="31.5" hidden="false" customHeight="true" outlineLevel="0" collapsed="false">
      <c r="B2" s="2" t="s">
        <v>295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30" hidden="false" customHeight="true" outlineLevel="0" collapsed="false">
      <c r="B4" s="32" t="s">
        <v>37</v>
      </c>
      <c r="C4" s="32" t="s">
        <v>58</v>
      </c>
      <c r="D4" s="32" t="s">
        <v>180</v>
      </c>
      <c r="E4" s="32" t="s">
        <v>181</v>
      </c>
      <c r="F4" s="32" t="s">
        <v>182</v>
      </c>
      <c r="G4" s="32" t="s">
        <v>183</v>
      </c>
      <c r="H4" s="32" t="s">
        <v>184</v>
      </c>
      <c r="I4" s="32" t="s">
        <v>185</v>
      </c>
      <c r="J4" s="32" t="s">
        <v>186</v>
      </c>
      <c r="K4" s="32" t="s">
        <v>187</v>
      </c>
      <c r="L4" s="32" t="s">
        <v>296</v>
      </c>
      <c r="M4" s="32" t="s">
        <v>254</v>
      </c>
      <c r="N4" s="32" t="s">
        <v>297</v>
      </c>
      <c r="O4" s="32" t="s">
        <v>298</v>
      </c>
      <c r="P4" s="32" t="s">
        <v>299</v>
      </c>
      <c r="Q4" s="32" t="s">
        <v>300</v>
      </c>
      <c r="R4" s="32" t="s">
        <v>201</v>
      </c>
      <c r="S4" s="32" t="s">
        <v>202</v>
      </c>
      <c r="T4" s="32" t="s">
        <v>203</v>
      </c>
      <c r="U4" s="32" t="s">
        <v>204</v>
      </c>
      <c r="V4" s="32" t="s">
        <v>301</v>
      </c>
      <c r="W4" s="32" t="s">
        <v>205</v>
      </c>
      <c r="X4" s="32" t="s">
        <v>206</v>
      </c>
      <c r="Y4" s="32" t="s">
        <v>207</v>
      </c>
      <c r="Z4" s="32" t="s">
        <v>39</v>
      </c>
      <c r="AA4" s="32" t="s">
        <v>94</v>
      </c>
    </row>
    <row r="5" customFormat="false" ht="19.5" hidden="false" customHeight="true" outlineLevel="0" collapsed="false">
      <c r="B5" s="33" t="s">
        <v>302</v>
      </c>
      <c r="C5" s="34" t="s">
        <v>65</v>
      </c>
      <c r="D5" s="35"/>
      <c r="E5" s="36"/>
      <c r="F5" s="34"/>
      <c r="G5" s="36"/>
      <c r="H5" s="36"/>
      <c r="I5" s="37"/>
      <c r="J5" s="37" t="str">
        <f aca="false">IF(OR($H5="",$I5="",NOT(ISNUMBER($H5))),"",IF($I5="Maund",ROUND($H5*37.32,2),$H5))</f>
        <v/>
      </c>
      <c r="K5" s="37"/>
      <c r="L5" s="38"/>
      <c r="M5" s="37"/>
      <c r="N5" s="34"/>
      <c r="O5" s="37"/>
      <c r="P5" s="34"/>
      <c r="Q5" s="34"/>
      <c r="R5" s="38"/>
      <c r="S5" s="38"/>
      <c r="T5" s="38"/>
      <c r="U5" s="34"/>
      <c r="V5" s="34"/>
      <c r="W5" s="33"/>
      <c r="X5" s="33"/>
      <c r="Y5" s="33"/>
      <c r="Z5" s="34"/>
      <c r="AA5" s="33"/>
    </row>
    <row r="6" customFormat="false" ht="19.5" hidden="false" customHeight="true" outlineLevel="0" collapsed="false">
      <c r="B6" s="33" t="s">
        <v>303</v>
      </c>
      <c r="C6" s="34" t="s">
        <v>65</v>
      </c>
      <c r="D6" s="35"/>
      <c r="E6" s="36"/>
      <c r="F6" s="34"/>
      <c r="G6" s="36"/>
      <c r="H6" s="36"/>
      <c r="I6" s="37"/>
      <c r="J6" s="37" t="str">
        <f aca="false">IF(OR($H6="",$I6="",NOT(ISNUMBER($H6))),"",IF($I6="Maund",ROUND($H6*37.32,2),$H6))</f>
        <v/>
      </c>
      <c r="K6" s="37"/>
      <c r="L6" s="38"/>
      <c r="M6" s="37"/>
      <c r="N6" s="34"/>
      <c r="O6" s="37"/>
      <c r="P6" s="34"/>
      <c r="Q6" s="34"/>
      <c r="R6" s="38"/>
      <c r="S6" s="38"/>
      <c r="T6" s="38"/>
      <c r="U6" s="34"/>
      <c r="V6" s="34"/>
      <c r="W6" s="33"/>
      <c r="X6" s="33"/>
      <c r="Y6" s="33"/>
      <c r="Z6" s="34"/>
      <c r="AA6" s="33"/>
    </row>
    <row r="7" customFormat="false" ht="19.5" hidden="false" customHeight="true" outlineLevel="0" collapsed="false">
      <c r="B7" s="33" t="s">
        <v>304</v>
      </c>
      <c r="C7" s="34" t="s">
        <v>65</v>
      </c>
      <c r="D7" s="35"/>
      <c r="E7" s="36"/>
      <c r="F7" s="34"/>
      <c r="G7" s="36"/>
      <c r="H7" s="36"/>
      <c r="I7" s="37"/>
      <c r="J7" s="37" t="str">
        <f aca="false">IF(OR($H7="",$I7="",NOT(ISNUMBER($H7))),"",IF($I7="Maund",ROUND($H7*37.32,2),$H7))</f>
        <v/>
      </c>
      <c r="K7" s="37"/>
      <c r="L7" s="38"/>
      <c r="M7" s="37"/>
      <c r="N7" s="34"/>
      <c r="O7" s="37"/>
      <c r="P7" s="34"/>
      <c r="Q7" s="34"/>
      <c r="R7" s="38"/>
      <c r="S7" s="38"/>
      <c r="T7" s="38"/>
      <c r="U7" s="34"/>
      <c r="V7" s="34"/>
      <c r="W7" s="33"/>
      <c r="X7" s="33"/>
      <c r="Y7" s="33"/>
      <c r="Z7" s="34"/>
      <c r="AA7" s="33"/>
    </row>
    <row r="8" customFormat="false" ht="19.5" hidden="false" customHeight="true" outlineLevel="0" collapsed="false">
      <c r="B8" s="33" t="s">
        <v>305</v>
      </c>
      <c r="C8" s="34" t="s">
        <v>65</v>
      </c>
      <c r="D8" s="35"/>
      <c r="E8" s="36"/>
      <c r="F8" s="34"/>
      <c r="G8" s="36"/>
      <c r="H8" s="36"/>
      <c r="I8" s="37"/>
      <c r="J8" s="37" t="str">
        <f aca="false">IF(OR($H8="",$I8="",NOT(ISNUMBER($H8))),"",IF($I8="Maund",ROUND($H8*37.32,2),$H8))</f>
        <v/>
      </c>
      <c r="K8" s="37"/>
      <c r="L8" s="38"/>
      <c r="M8" s="37"/>
      <c r="N8" s="34"/>
      <c r="O8" s="37"/>
      <c r="P8" s="34"/>
      <c r="Q8" s="34"/>
      <c r="R8" s="38"/>
      <c r="S8" s="38"/>
      <c r="T8" s="38"/>
      <c r="U8" s="34"/>
      <c r="V8" s="34"/>
      <c r="W8" s="33"/>
      <c r="X8" s="33"/>
      <c r="Y8" s="33"/>
      <c r="Z8" s="34"/>
      <c r="AA8" s="33"/>
    </row>
    <row r="9" customFormat="false" ht="19.5" hidden="false" customHeight="true" outlineLevel="0" collapsed="false">
      <c r="B9" s="33" t="s">
        <v>306</v>
      </c>
      <c r="C9" s="34" t="s">
        <v>65</v>
      </c>
      <c r="D9" s="35"/>
      <c r="E9" s="36"/>
      <c r="F9" s="34"/>
      <c r="G9" s="36"/>
      <c r="H9" s="36"/>
      <c r="I9" s="37"/>
      <c r="J9" s="37" t="str">
        <f aca="false">IF(OR($H9="",$I9="",NOT(ISNUMBER($H9))),"",IF($I9="Maund",ROUND($H9*37.32,2),$H9))</f>
        <v/>
      </c>
      <c r="K9" s="37"/>
      <c r="L9" s="38"/>
      <c r="M9" s="37"/>
      <c r="N9" s="34"/>
      <c r="O9" s="37"/>
      <c r="P9" s="34"/>
      <c r="Q9" s="34"/>
      <c r="R9" s="38"/>
      <c r="S9" s="38"/>
      <c r="T9" s="38"/>
      <c r="U9" s="34"/>
      <c r="V9" s="34"/>
      <c r="W9" s="33"/>
      <c r="X9" s="33"/>
      <c r="Y9" s="33"/>
      <c r="Z9" s="34"/>
      <c r="AA9" s="33"/>
    </row>
    <row r="10" customFormat="false" ht="19.5" hidden="false" customHeight="true" outlineLevel="0" collapsed="false">
      <c r="B10" s="33" t="s">
        <v>307</v>
      </c>
      <c r="C10" s="34" t="s">
        <v>65</v>
      </c>
      <c r="D10" s="35"/>
      <c r="E10" s="36"/>
      <c r="F10" s="34"/>
      <c r="G10" s="36"/>
      <c r="H10" s="36"/>
      <c r="I10" s="37"/>
      <c r="J10" s="37" t="str">
        <f aca="false">IF(OR($H10="",$I10="",NOT(ISNUMBER($H10))),"",IF($I10="Maund",ROUND($H10*37.32,2),$H10))</f>
        <v/>
      </c>
      <c r="K10" s="37"/>
      <c r="L10" s="38"/>
      <c r="M10" s="37"/>
      <c r="N10" s="34"/>
      <c r="O10" s="37"/>
      <c r="P10" s="34"/>
      <c r="Q10" s="34"/>
      <c r="R10" s="38"/>
      <c r="S10" s="38"/>
      <c r="T10" s="38"/>
      <c r="U10" s="34"/>
      <c r="V10" s="34"/>
      <c r="W10" s="33"/>
      <c r="X10" s="33"/>
      <c r="Y10" s="33"/>
      <c r="Z10" s="34"/>
      <c r="AA10" s="33"/>
    </row>
    <row r="11" customFormat="false" ht="19.5" hidden="false" customHeight="true" outlineLevel="0" collapsed="false">
      <c r="B11" s="33" t="s">
        <v>308</v>
      </c>
      <c r="C11" s="34" t="s">
        <v>66</v>
      </c>
      <c r="D11" s="35"/>
      <c r="E11" s="36"/>
      <c r="F11" s="34"/>
      <c r="G11" s="36"/>
      <c r="H11" s="36"/>
      <c r="I11" s="37"/>
      <c r="J11" s="37" t="str">
        <f aca="false">IF(OR($H11="",$I11="",NOT(ISNUMBER($H11))),"",IF($I11="Maund",ROUND($H11*37.32,2),$H11))</f>
        <v/>
      </c>
      <c r="K11" s="37"/>
      <c r="L11" s="38"/>
      <c r="M11" s="37"/>
      <c r="N11" s="34"/>
      <c r="O11" s="37"/>
      <c r="P11" s="34"/>
      <c r="Q11" s="34"/>
      <c r="R11" s="38"/>
      <c r="S11" s="38"/>
      <c r="T11" s="38"/>
      <c r="U11" s="34"/>
      <c r="V11" s="34"/>
      <c r="W11" s="33"/>
      <c r="X11" s="33"/>
      <c r="Y11" s="33"/>
      <c r="Z11" s="34"/>
      <c r="AA11" s="33"/>
    </row>
    <row r="12" customFormat="false" ht="19.5" hidden="false" customHeight="true" outlineLevel="0" collapsed="false">
      <c r="B12" s="33" t="s">
        <v>309</v>
      </c>
      <c r="C12" s="34" t="s">
        <v>66</v>
      </c>
      <c r="D12" s="35"/>
      <c r="E12" s="36"/>
      <c r="F12" s="34"/>
      <c r="G12" s="36"/>
      <c r="H12" s="36"/>
      <c r="I12" s="37"/>
      <c r="J12" s="37" t="str">
        <f aca="false">IF(OR($H12="",$I12="",NOT(ISNUMBER($H12))),"",IF($I12="Maund",ROUND($H12*37.32,2),$H12))</f>
        <v/>
      </c>
      <c r="K12" s="37"/>
      <c r="L12" s="38"/>
      <c r="M12" s="37"/>
      <c r="N12" s="34"/>
      <c r="O12" s="37"/>
      <c r="P12" s="34"/>
      <c r="Q12" s="34"/>
      <c r="R12" s="38"/>
      <c r="S12" s="38"/>
      <c r="T12" s="38"/>
      <c r="U12" s="34"/>
      <c r="V12" s="34"/>
      <c r="W12" s="33"/>
      <c r="X12" s="33"/>
      <c r="Y12" s="33"/>
      <c r="Z12" s="34"/>
      <c r="AA12" s="33"/>
    </row>
    <row r="13" customFormat="false" ht="19.5" hidden="false" customHeight="true" outlineLevel="0" collapsed="false">
      <c r="B13" s="33" t="s">
        <v>310</v>
      </c>
      <c r="C13" s="34" t="s">
        <v>66</v>
      </c>
      <c r="D13" s="35"/>
      <c r="E13" s="36"/>
      <c r="F13" s="34"/>
      <c r="G13" s="36"/>
      <c r="H13" s="36"/>
      <c r="I13" s="37"/>
      <c r="J13" s="37" t="str">
        <f aca="false">IF(OR($H13="",$I13="",NOT(ISNUMBER($H13))),"",IF($I13="Maund",ROUND($H13*37.32,2),$H13))</f>
        <v/>
      </c>
      <c r="K13" s="37"/>
      <c r="L13" s="38"/>
      <c r="M13" s="37"/>
      <c r="N13" s="34"/>
      <c r="O13" s="37"/>
      <c r="P13" s="34"/>
      <c r="Q13" s="34"/>
      <c r="R13" s="38"/>
      <c r="S13" s="38"/>
      <c r="T13" s="38"/>
      <c r="U13" s="34"/>
      <c r="V13" s="34"/>
      <c r="W13" s="33"/>
      <c r="X13" s="33"/>
      <c r="Y13" s="33"/>
      <c r="Z13" s="34"/>
      <c r="AA13" s="33"/>
    </row>
    <row r="14" customFormat="false" ht="19.5" hidden="false" customHeight="true" outlineLevel="0" collapsed="false">
      <c r="B14" s="33" t="s">
        <v>311</v>
      </c>
      <c r="C14" s="34" t="s">
        <v>66</v>
      </c>
      <c r="D14" s="35"/>
      <c r="E14" s="36"/>
      <c r="F14" s="34"/>
      <c r="G14" s="36"/>
      <c r="H14" s="36"/>
      <c r="I14" s="37"/>
      <c r="J14" s="37" t="str">
        <f aca="false">IF(OR($H14="",$I14="",NOT(ISNUMBER($H14))),"",IF($I14="Maund",ROUND($H14*37.32,2),$H14))</f>
        <v/>
      </c>
      <c r="K14" s="37"/>
      <c r="L14" s="38"/>
      <c r="M14" s="37"/>
      <c r="N14" s="34"/>
      <c r="O14" s="37"/>
      <c r="P14" s="34"/>
      <c r="Q14" s="34"/>
      <c r="R14" s="38"/>
      <c r="S14" s="38"/>
      <c r="T14" s="38"/>
      <c r="U14" s="34"/>
      <c r="V14" s="34"/>
      <c r="W14" s="33"/>
      <c r="X14" s="33"/>
      <c r="Y14" s="33"/>
      <c r="Z14" s="34"/>
      <c r="AA14" s="33"/>
    </row>
    <row r="15" customFormat="false" ht="19.5" hidden="false" customHeight="true" outlineLevel="0" collapsed="false">
      <c r="B15" s="33" t="s">
        <v>312</v>
      </c>
      <c r="C15" s="34" t="s">
        <v>66</v>
      </c>
      <c r="D15" s="35"/>
      <c r="E15" s="36"/>
      <c r="F15" s="34"/>
      <c r="G15" s="36"/>
      <c r="H15" s="36"/>
      <c r="I15" s="37"/>
      <c r="J15" s="37" t="str">
        <f aca="false">IF(OR($H15="",$I15="",NOT(ISNUMBER($H15))),"",IF($I15="Maund",ROUND($H15*37.32,2),$H15))</f>
        <v/>
      </c>
      <c r="K15" s="37"/>
      <c r="L15" s="38"/>
      <c r="M15" s="37"/>
      <c r="N15" s="34"/>
      <c r="O15" s="37"/>
      <c r="P15" s="34"/>
      <c r="Q15" s="34"/>
      <c r="R15" s="38"/>
      <c r="S15" s="38"/>
      <c r="T15" s="38"/>
      <c r="U15" s="34"/>
      <c r="V15" s="34"/>
      <c r="W15" s="33"/>
      <c r="X15" s="33"/>
      <c r="Y15" s="33"/>
      <c r="Z15" s="34"/>
      <c r="AA15" s="33"/>
    </row>
    <row r="16" customFormat="false" ht="19.5" hidden="false" customHeight="true" outlineLevel="0" collapsed="false">
      <c r="B16" s="33" t="s">
        <v>313</v>
      </c>
      <c r="C16" s="34" t="s">
        <v>66</v>
      </c>
      <c r="D16" s="35"/>
      <c r="E16" s="36"/>
      <c r="F16" s="34"/>
      <c r="G16" s="36"/>
      <c r="H16" s="36"/>
      <c r="I16" s="37"/>
      <c r="J16" s="37" t="str">
        <f aca="false">IF(OR($H16="",$I16="",NOT(ISNUMBER($H16))),"",IF($I16="Maund",ROUND($H16*37.32,2),$H16))</f>
        <v/>
      </c>
      <c r="K16" s="37"/>
      <c r="L16" s="38"/>
      <c r="M16" s="37"/>
      <c r="N16" s="34"/>
      <c r="O16" s="37"/>
      <c r="P16" s="34"/>
      <c r="Q16" s="34"/>
      <c r="R16" s="38"/>
      <c r="S16" s="38"/>
      <c r="T16" s="38"/>
      <c r="U16" s="34"/>
      <c r="V16" s="34"/>
      <c r="W16" s="33"/>
      <c r="X16" s="33"/>
      <c r="Y16" s="33"/>
      <c r="Z16" s="34"/>
      <c r="AA16" s="33"/>
    </row>
    <row r="17" customFormat="false" ht="19.5" hidden="false" customHeight="true" outlineLevel="0" collapsed="false">
      <c r="B17" s="33" t="s">
        <v>314</v>
      </c>
      <c r="C17" s="34" t="s">
        <v>67</v>
      </c>
      <c r="D17" s="35"/>
      <c r="E17" s="36"/>
      <c r="F17" s="34"/>
      <c r="G17" s="36"/>
      <c r="H17" s="36"/>
      <c r="I17" s="37"/>
      <c r="J17" s="37" t="str">
        <f aca="false">IF(OR($H17="",$I17="",NOT(ISNUMBER($H17))),"",IF($I17="Maund",ROUND($H17*37.32,2),$H17))</f>
        <v/>
      </c>
      <c r="K17" s="37"/>
      <c r="L17" s="38"/>
      <c r="M17" s="37"/>
      <c r="N17" s="34"/>
      <c r="O17" s="37"/>
      <c r="P17" s="34"/>
      <c r="Q17" s="34"/>
      <c r="R17" s="38"/>
      <c r="S17" s="38"/>
      <c r="T17" s="38"/>
      <c r="U17" s="34"/>
      <c r="V17" s="34"/>
      <c r="W17" s="33"/>
      <c r="X17" s="33"/>
      <c r="Y17" s="33"/>
      <c r="Z17" s="34"/>
      <c r="AA17" s="33"/>
    </row>
    <row r="18" customFormat="false" ht="19.5" hidden="false" customHeight="true" outlineLevel="0" collapsed="false">
      <c r="B18" s="33" t="s">
        <v>315</v>
      </c>
      <c r="C18" s="34" t="s">
        <v>67</v>
      </c>
      <c r="D18" s="35"/>
      <c r="E18" s="36"/>
      <c r="F18" s="34"/>
      <c r="G18" s="36"/>
      <c r="H18" s="36"/>
      <c r="I18" s="37"/>
      <c r="J18" s="37" t="str">
        <f aca="false">IF(OR($H18="",$I18="",NOT(ISNUMBER($H18))),"",IF($I18="Maund",ROUND($H18*37.32,2),$H18))</f>
        <v/>
      </c>
      <c r="K18" s="37"/>
      <c r="L18" s="38"/>
      <c r="M18" s="37"/>
      <c r="N18" s="34"/>
      <c r="O18" s="37"/>
      <c r="P18" s="34"/>
      <c r="Q18" s="34"/>
      <c r="R18" s="38"/>
      <c r="S18" s="38"/>
      <c r="T18" s="38"/>
      <c r="U18" s="34"/>
      <c r="V18" s="34"/>
      <c r="W18" s="33"/>
      <c r="X18" s="33"/>
      <c r="Y18" s="33"/>
      <c r="Z18" s="34"/>
      <c r="AA18" s="33"/>
    </row>
    <row r="19" customFormat="false" ht="19.5" hidden="false" customHeight="true" outlineLevel="0" collapsed="false">
      <c r="B19" s="33" t="s">
        <v>316</v>
      </c>
      <c r="C19" s="34" t="s">
        <v>67</v>
      </c>
      <c r="D19" s="35"/>
      <c r="E19" s="36"/>
      <c r="F19" s="34"/>
      <c r="G19" s="36"/>
      <c r="H19" s="36"/>
      <c r="I19" s="37"/>
      <c r="J19" s="37" t="str">
        <f aca="false">IF(OR($H19="",$I19="",NOT(ISNUMBER($H19))),"",IF($I19="Maund",ROUND($H19*37.32,2),$H19))</f>
        <v/>
      </c>
      <c r="K19" s="37"/>
      <c r="L19" s="38"/>
      <c r="M19" s="37"/>
      <c r="N19" s="34"/>
      <c r="O19" s="37"/>
      <c r="P19" s="34"/>
      <c r="Q19" s="34"/>
      <c r="R19" s="38"/>
      <c r="S19" s="38"/>
      <c r="T19" s="38"/>
      <c r="U19" s="34"/>
      <c r="V19" s="34"/>
      <c r="W19" s="33"/>
      <c r="X19" s="33"/>
      <c r="Y19" s="33"/>
      <c r="Z19" s="34"/>
      <c r="AA19" s="33"/>
    </row>
    <row r="20" customFormat="false" ht="19.5" hidden="false" customHeight="true" outlineLevel="0" collapsed="false">
      <c r="B20" s="33" t="s">
        <v>317</v>
      </c>
      <c r="C20" s="34" t="s">
        <v>67</v>
      </c>
      <c r="D20" s="35"/>
      <c r="E20" s="36"/>
      <c r="F20" s="34"/>
      <c r="G20" s="36"/>
      <c r="H20" s="36"/>
      <c r="I20" s="37"/>
      <c r="J20" s="37" t="str">
        <f aca="false">IF(OR($H20="",$I20="",NOT(ISNUMBER($H20))),"",IF($I20="Maund",ROUND($H20*37.32,2),$H20))</f>
        <v/>
      </c>
      <c r="K20" s="37"/>
      <c r="L20" s="38"/>
      <c r="M20" s="37"/>
      <c r="N20" s="34"/>
      <c r="O20" s="37"/>
      <c r="P20" s="34"/>
      <c r="Q20" s="34"/>
      <c r="R20" s="38"/>
      <c r="S20" s="38"/>
      <c r="T20" s="38"/>
      <c r="U20" s="34"/>
      <c r="V20" s="34"/>
      <c r="W20" s="33"/>
      <c r="X20" s="33"/>
      <c r="Y20" s="33"/>
      <c r="Z20" s="34"/>
      <c r="AA20" s="33"/>
    </row>
    <row r="21" customFormat="false" ht="19.5" hidden="false" customHeight="true" outlineLevel="0" collapsed="false">
      <c r="B21" s="33" t="s">
        <v>318</v>
      </c>
      <c r="C21" s="34" t="s">
        <v>67</v>
      </c>
      <c r="D21" s="35"/>
      <c r="E21" s="36"/>
      <c r="F21" s="34"/>
      <c r="G21" s="36"/>
      <c r="H21" s="36"/>
      <c r="I21" s="37"/>
      <c r="J21" s="37" t="str">
        <f aca="false">IF(OR($H21="",$I21="",NOT(ISNUMBER($H21))),"",IF($I21="Maund",ROUND($H21*37.32,2),$H21))</f>
        <v/>
      </c>
      <c r="K21" s="37"/>
      <c r="L21" s="38"/>
      <c r="M21" s="37"/>
      <c r="N21" s="34"/>
      <c r="O21" s="37"/>
      <c r="P21" s="34"/>
      <c r="Q21" s="34"/>
      <c r="R21" s="38"/>
      <c r="S21" s="38"/>
      <c r="T21" s="38"/>
      <c r="U21" s="34"/>
      <c r="V21" s="34"/>
      <c r="W21" s="33"/>
      <c r="X21" s="33"/>
      <c r="Y21" s="33"/>
      <c r="Z21" s="34"/>
      <c r="AA21" s="33"/>
    </row>
    <row r="22" customFormat="false" ht="19.5" hidden="false" customHeight="true" outlineLevel="0" collapsed="false">
      <c r="B22" s="33" t="s">
        <v>319</v>
      </c>
      <c r="C22" s="34" t="s">
        <v>67</v>
      </c>
      <c r="D22" s="35"/>
      <c r="E22" s="36"/>
      <c r="F22" s="34"/>
      <c r="G22" s="36"/>
      <c r="H22" s="36"/>
      <c r="I22" s="37"/>
      <c r="J22" s="37" t="str">
        <f aca="false">IF(OR($H22="",$I22="",NOT(ISNUMBER($H22))),"",IF($I22="Maund",ROUND($H22*37.32,2),$H22))</f>
        <v/>
      </c>
      <c r="K22" s="37"/>
      <c r="L22" s="38"/>
      <c r="M22" s="37"/>
      <c r="N22" s="34"/>
      <c r="O22" s="37"/>
      <c r="P22" s="34"/>
      <c r="Q22" s="34"/>
      <c r="R22" s="38"/>
      <c r="S22" s="38"/>
      <c r="T22" s="38"/>
      <c r="U22" s="34"/>
      <c r="V22" s="34"/>
      <c r="W22" s="33"/>
      <c r="X22" s="33"/>
      <c r="Y22" s="33"/>
      <c r="Z22" s="34"/>
      <c r="AA22" s="33"/>
    </row>
    <row r="23" customFormat="false" ht="19.5" hidden="false" customHeight="true" outlineLevel="0" collapsed="false">
      <c r="B23" s="33" t="s">
        <v>320</v>
      </c>
      <c r="C23" s="34" t="s">
        <v>68</v>
      </c>
      <c r="D23" s="35"/>
      <c r="E23" s="36"/>
      <c r="F23" s="34"/>
      <c r="G23" s="36"/>
      <c r="H23" s="36"/>
      <c r="I23" s="37"/>
      <c r="J23" s="37" t="str">
        <f aca="false">IF(OR($H23="",$I23="",NOT(ISNUMBER($H23))),"",IF($I23="Maund",ROUND($H23*37.32,2),$H23))</f>
        <v/>
      </c>
      <c r="K23" s="37"/>
      <c r="L23" s="38"/>
      <c r="M23" s="37"/>
      <c r="N23" s="34"/>
      <c r="O23" s="37"/>
      <c r="P23" s="34"/>
      <c r="Q23" s="34"/>
      <c r="R23" s="38"/>
      <c r="S23" s="38"/>
      <c r="T23" s="38"/>
      <c r="U23" s="34"/>
      <c r="V23" s="34"/>
      <c r="W23" s="33"/>
      <c r="X23" s="33"/>
      <c r="Y23" s="33"/>
      <c r="Z23" s="34"/>
      <c r="AA23" s="33"/>
    </row>
    <row r="24" customFormat="false" ht="19.5" hidden="false" customHeight="true" outlineLevel="0" collapsed="false">
      <c r="B24" s="33" t="s">
        <v>321</v>
      </c>
      <c r="C24" s="34" t="s">
        <v>68</v>
      </c>
      <c r="D24" s="35"/>
      <c r="E24" s="36"/>
      <c r="F24" s="34"/>
      <c r="G24" s="36"/>
      <c r="H24" s="36"/>
      <c r="I24" s="37"/>
      <c r="J24" s="37" t="str">
        <f aca="false">IF(OR($H24="",$I24="",NOT(ISNUMBER($H24))),"",IF($I24="Maund",ROUND($H24*37.32,2),$H24))</f>
        <v/>
      </c>
      <c r="K24" s="37"/>
      <c r="L24" s="38"/>
      <c r="M24" s="37"/>
      <c r="N24" s="34"/>
      <c r="O24" s="37"/>
      <c r="P24" s="34"/>
      <c r="Q24" s="34"/>
      <c r="R24" s="38"/>
      <c r="S24" s="38"/>
      <c r="T24" s="38"/>
      <c r="U24" s="34"/>
      <c r="V24" s="34"/>
      <c r="W24" s="33"/>
      <c r="X24" s="33"/>
      <c r="Y24" s="33"/>
      <c r="Z24" s="34"/>
      <c r="AA24" s="33"/>
    </row>
    <row r="25" customFormat="false" ht="19.5" hidden="false" customHeight="true" outlineLevel="0" collapsed="false">
      <c r="B25" s="33" t="s">
        <v>322</v>
      </c>
      <c r="C25" s="34" t="s">
        <v>68</v>
      </c>
      <c r="D25" s="35"/>
      <c r="E25" s="36"/>
      <c r="F25" s="34"/>
      <c r="G25" s="36"/>
      <c r="H25" s="36"/>
      <c r="I25" s="37"/>
      <c r="J25" s="37" t="str">
        <f aca="false">IF(OR($H25="",$I25="",NOT(ISNUMBER($H25))),"",IF($I25="Maund",ROUND($H25*37.32,2),$H25))</f>
        <v/>
      </c>
      <c r="K25" s="37"/>
      <c r="L25" s="38"/>
      <c r="M25" s="37"/>
      <c r="N25" s="34"/>
      <c r="O25" s="37"/>
      <c r="P25" s="34"/>
      <c r="Q25" s="34"/>
      <c r="R25" s="38"/>
      <c r="S25" s="38"/>
      <c r="T25" s="38"/>
      <c r="U25" s="34"/>
      <c r="V25" s="34"/>
      <c r="W25" s="33"/>
      <c r="X25" s="33"/>
      <c r="Y25" s="33"/>
      <c r="Z25" s="34"/>
      <c r="AA25" s="33"/>
    </row>
    <row r="26" customFormat="false" ht="19.5" hidden="false" customHeight="true" outlineLevel="0" collapsed="false">
      <c r="B26" s="33" t="s">
        <v>323</v>
      </c>
      <c r="C26" s="34" t="s">
        <v>68</v>
      </c>
      <c r="D26" s="35"/>
      <c r="E26" s="36"/>
      <c r="F26" s="34"/>
      <c r="G26" s="36"/>
      <c r="H26" s="36"/>
      <c r="I26" s="37"/>
      <c r="J26" s="37" t="str">
        <f aca="false">IF(OR($H26="",$I26="",NOT(ISNUMBER($H26))),"",IF($I26="Maund",ROUND($H26*37.32,2),$H26))</f>
        <v/>
      </c>
      <c r="K26" s="37"/>
      <c r="L26" s="38"/>
      <c r="M26" s="37"/>
      <c r="N26" s="34"/>
      <c r="O26" s="37"/>
      <c r="P26" s="34"/>
      <c r="Q26" s="34"/>
      <c r="R26" s="38"/>
      <c r="S26" s="38"/>
      <c r="T26" s="38"/>
      <c r="U26" s="34"/>
      <c r="V26" s="34"/>
      <c r="W26" s="33"/>
      <c r="X26" s="33"/>
      <c r="Y26" s="33"/>
      <c r="Z26" s="34"/>
      <c r="AA26" s="33"/>
    </row>
    <row r="27" customFormat="false" ht="19.5" hidden="false" customHeight="true" outlineLevel="0" collapsed="false">
      <c r="B27" s="33" t="s">
        <v>324</v>
      </c>
      <c r="C27" s="34" t="s">
        <v>68</v>
      </c>
      <c r="D27" s="35"/>
      <c r="E27" s="36"/>
      <c r="F27" s="34"/>
      <c r="G27" s="36"/>
      <c r="H27" s="36"/>
      <c r="I27" s="37"/>
      <c r="J27" s="37" t="str">
        <f aca="false">IF(OR($H27="",$I27="",NOT(ISNUMBER($H27))),"",IF($I27="Maund",ROUND($H27*37.32,2),$H27))</f>
        <v/>
      </c>
      <c r="K27" s="37"/>
      <c r="L27" s="38"/>
      <c r="M27" s="37"/>
      <c r="N27" s="34"/>
      <c r="O27" s="37"/>
      <c r="P27" s="34"/>
      <c r="Q27" s="34"/>
      <c r="R27" s="38"/>
      <c r="S27" s="38"/>
      <c r="T27" s="38"/>
      <c r="U27" s="34"/>
      <c r="V27" s="34"/>
      <c r="W27" s="33"/>
      <c r="X27" s="33"/>
      <c r="Y27" s="33"/>
      <c r="Z27" s="34"/>
      <c r="AA27" s="33"/>
    </row>
    <row r="28" customFormat="false" ht="19.5" hidden="false" customHeight="true" outlineLevel="0" collapsed="false">
      <c r="B28" s="33" t="s">
        <v>325</v>
      </c>
      <c r="C28" s="34" t="s">
        <v>68</v>
      </c>
      <c r="D28" s="35"/>
      <c r="E28" s="36"/>
      <c r="F28" s="34"/>
      <c r="G28" s="36"/>
      <c r="H28" s="36"/>
      <c r="I28" s="37"/>
      <c r="J28" s="37" t="str">
        <f aca="false">IF(OR($H28="",$I28="",NOT(ISNUMBER($H28))),"",IF($I28="Maund",ROUND($H28*37.32,2),$H28))</f>
        <v/>
      </c>
      <c r="K28" s="37"/>
      <c r="L28" s="38"/>
      <c r="M28" s="37"/>
      <c r="N28" s="34"/>
      <c r="O28" s="37"/>
      <c r="P28" s="34"/>
      <c r="Q28" s="34"/>
      <c r="R28" s="38"/>
      <c r="S28" s="38"/>
      <c r="T28" s="38"/>
      <c r="U28" s="34"/>
      <c r="V28" s="34"/>
      <c r="W28" s="33"/>
      <c r="X28" s="33"/>
      <c r="Y28" s="33"/>
      <c r="Z28" s="34"/>
      <c r="AA28" s="33"/>
    </row>
    <row r="29" customFormat="false" ht="19.5" hidden="false" customHeight="true" outlineLevel="0" collapsed="false">
      <c r="B29" s="33" t="s">
        <v>326</v>
      </c>
      <c r="C29" s="34" t="s">
        <v>69</v>
      </c>
      <c r="D29" s="35"/>
      <c r="E29" s="36"/>
      <c r="F29" s="34"/>
      <c r="G29" s="36"/>
      <c r="H29" s="36"/>
      <c r="I29" s="37"/>
      <c r="J29" s="37" t="str">
        <f aca="false">IF(OR($H29="",$I29="",NOT(ISNUMBER($H29))),"",IF($I29="Maund",ROUND($H29*37.32,2),$H29))</f>
        <v/>
      </c>
      <c r="K29" s="37"/>
      <c r="L29" s="38"/>
      <c r="M29" s="37"/>
      <c r="N29" s="34"/>
      <c r="O29" s="37"/>
      <c r="P29" s="34"/>
      <c r="Q29" s="34"/>
      <c r="R29" s="38"/>
      <c r="S29" s="38"/>
      <c r="T29" s="38"/>
      <c r="U29" s="34"/>
      <c r="V29" s="34"/>
      <c r="W29" s="33"/>
      <c r="X29" s="33"/>
      <c r="Y29" s="33"/>
      <c r="Z29" s="34"/>
      <c r="AA29" s="33"/>
    </row>
    <row r="30" customFormat="false" ht="19.5" hidden="false" customHeight="true" outlineLevel="0" collapsed="false">
      <c r="B30" s="33" t="s">
        <v>327</v>
      </c>
      <c r="C30" s="34" t="s">
        <v>69</v>
      </c>
      <c r="D30" s="35"/>
      <c r="E30" s="36"/>
      <c r="F30" s="34"/>
      <c r="G30" s="36"/>
      <c r="H30" s="36"/>
      <c r="I30" s="37"/>
      <c r="J30" s="37" t="str">
        <f aca="false">IF(OR($H30="",$I30="",NOT(ISNUMBER($H30))),"",IF($I30="Maund",ROUND($H30*37.32,2),$H30))</f>
        <v/>
      </c>
      <c r="K30" s="37"/>
      <c r="L30" s="38"/>
      <c r="M30" s="37"/>
      <c r="N30" s="34"/>
      <c r="O30" s="37"/>
      <c r="P30" s="34"/>
      <c r="Q30" s="34"/>
      <c r="R30" s="38"/>
      <c r="S30" s="38"/>
      <c r="T30" s="38"/>
      <c r="U30" s="34"/>
      <c r="V30" s="34"/>
      <c r="W30" s="33"/>
      <c r="X30" s="33"/>
      <c r="Y30" s="33"/>
      <c r="Z30" s="34"/>
      <c r="AA30" s="33"/>
    </row>
    <row r="31" customFormat="false" ht="19.5" hidden="false" customHeight="true" outlineLevel="0" collapsed="false">
      <c r="B31" s="33" t="s">
        <v>328</v>
      </c>
      <c r="C31" s="34" t="s">
        <v>69</v>
      </c>
      <c r="D31" s="35"/>
      <c r="E31" s="36"/>
      <c r="F31" s="34"/>
      <c r="G31" s="36"/>
      <c r="H31" s="36"/>
      <c r="I31" s="37"/>
      <c r="J31" s="37" t="str">
        <f aca="false">IF(OR($H31="",$I31="",NOT(ISNUMBER($H31))),"",IF($I31="Maund",ROUND($H31*37.32,2),$H31))</f>
        <v/>
      </c>
      <c r="K31" s="37"/>
      <c r="L31" s="38"/>
      <c r="M31" s="37"/>
      <c r="N31" s="34"/>
      <c r="O31" s="37"/>
      <c r="P31" s="34"/>
      <c r="Q31" s="34"/>
      <c r="R31" s="38"/>
      <c r="S31" s="38"/>
      <c r="T31" s="38"/>
      <c r="U31" s="34"/>
      <c r="V31" s="34"/>
      <c r="W31" s="33"/>
      <c r="X31" s="33"/>
      <c r="Y31" s="33"/>
      <c r="Z31" s="34"/>
      <c r="AA31" s="33"/>
    </row>
    <row r="32" customFormat="false" ht="19.5" hidden="false" customHeight="true" outlineLevel="0" collapsed="false">
      <c r="B32" s="33" t="s">
        <v>329</v>
      </c>
      <c r="C32" s="34" t="s">
        <v>69</v>
      </c>
      <c r="D32" s="35"/>
      <c r="E32" s="36"/>
      <c r="F32" s="34"/>
      <c r="G32" s="36"/>
      <c r="H32" s="36"/>
      <c r="I32" s="37"/>
      <c r="J32" s="37" t="str">
        <f aca="false">IF(OR($H32="",$I32="",NOT(ISNUMBER($H32))),"",IF($I32="Maund",ROUND($H32*37.32,2),$H32))</f>
        <v/>
      </c>
      <c r="K32" s="37"/>
      <c r="L32" s="38"/>
      <c r="M32" s="37"/>
      <c r="N32" s="34"/>
      <c r="O32" s="37"/>
      <c r="P32" s="34"/>
      <c r="Q32" s="34"/>
      <c r="R32" s="38"/>
      <c r="S32" s="38"/>
      <c r="T32" s="38"/>
      <c r="U32" s="34"/>
      <c r="V32" s="34"/>
      <c r="W32" s="33"/>
      <c r="X32" s="33"/>
      <c r="Y32" s="33"/>
      <c r="Z32" s="34"/>
      <c r="AA32" s="33"/>
    </row>
    <row r="33" customFormat="false" ht="19.5" hidden="false" customHeight="true" outlineLevel="0" collapsed="false">
      <c r="B33" s="33" t="s">
        <v>330</v>
      </c>
      <c r="C33" s="34" t="s">
        <v>69</v>
      </c>
      <c r="D33" s="35"/>
      <c r="E33" s="36"/>
      <c r="F33" s="34"/>
      <c r="G33" s="36"/>
      <c r="H33" s="36"/>
      <c r="I33" s="37"/>
      <c r="J33" s="37" t="str">
        <f aca="false">IF(OR($H33="",$I33="",NOT(ISNUMBER($H33))),"",IF($I33="Maund",ROUND($H33*37.32,2),$H33))</f>
        <v/>
      </c>
      <c r="K33" s="37"/>
      <c r="L33" s="38"/>
      <c r="M33" s="37"/>
      <c r="N33" s="34"/>
      <c r="O33" s="37"/>
      <c r="P33" s="34"/>
      <c r="Q33" s="34"/>
      <c r="R33" s="38"/>
      <c r="S33" s="38"/>
      <c r="T33" s="38"/>
      <c r="U33" s="34"/>
      <c r="V33" s="34"/>
      <c r="W33" s="33"/>
      <c r="X33" s="33"/>
      <c r="Y33" s="33"/>
      <c r="Z33" s="34"/>
      <c r="AA33" s="33"/>
    </row>
    <row r="34" customFormat="false" ht="19.5" hidden="false" customHeight="true" outlineLevel="0" collapsed="false">
      <c r="B34" s="33" t="s">
        <v>331</v>
      </c>
      <c r="C34" s="34" t="s">
        <v>69</v>
      </c>
      <c r="D34" s="35"/>
      <c r="E34" s="36"/>
      <c r="F34" s="34"/>
      <c r="G34" s="36"/>
      <c r="H34" s="36"/>
      <c r="I34" s="37"/>
      <c r="J34" s="37" t="str">
        <f aca="false">IF(OR($H34="",$I34="",NOT(ISNUMBER($H34))),"",IF($I34="Maund",ROUND($H34*37.32,2),$H34))</f>
        <v/>
      </c>
      <c r="K34" s="37"/>
      <c r="L34" s="38"/>
      <c r="M34" s="37"/>
      <c r="N34" s="34"/>
      <c r="O34" s="37"/>
      <c r="P34" s="34"/>
      <c r="Q34" s="34"/>
      <c r="R34" s="38"/>
      <c r="S34" s="38"/>
      <c r="T34" s="38"/>
      <c r="U34" s="34"/>
      <c r="V34" s="34"/>
      <c r="W34" s="33"/>
      <c r="X34" s="33"/>
      <c r="Y34" s="33"/>
      <c r="Z34" s="34"/>
      <c r="AA34" s="33"/>
    </row>
    <row r="35" customFormat="false" ht="19.5" hidden="false" customHeight="true" outlineLevel="0" collapsed="false">
      <c r="B35" s="33" t="s">
        <v>332</v>
      </c>
      <c r="C35" s="34" t="s">
        <v>70</v>
      </c>
      <c r="D35" s="35"/>
      <c r="E35" s="36"/>
      <c r="F35" s="34"/>
      <c r="G35" s="36"/>
      <c r="H35" s="36"/>
      <c r="I35" s="37"/>
      <c r="J35" s="37" t="str">
        <f aca="false">IF(OR($H35="",$I35="",NOT(ISNUMBER($H35))),"",IF($I35="Maund",ROUND($H35*37.32,2),$H35))</f>
        <v/>
      </c>
      <c r="K35" s="37"/>
      <c r="L35" s="38"/>
      <c r="M35" s="37"/>
      <c r="N35" s="34"/>
      <c r="O35" s="37"/>
      <c r="P35" s="34"/>
      <c r="Q35" s="34"/>
      <c r="R35" s="38"/>
      <c r="S35" s="38"/>
      <c r="T35" s="38"/>
      <c r="U35" s="34"/>
      <c r="V35" s="34"/>
      <c r="W35" s="33"/>
      <c r="X35" s="33"/>
      <c r="Y35" s="33"/>
      <c r="Z35" s="34"/>
      <c r="AA35" s="33"/>
    </row>
    <row r="36" customFormat="false" ht="19.5" hidden="false" customHeight="true" outlineLevel="0" collapsed="false">
      <c r="B36" s="33" t="s">
        <v>333</v>
      </c>
      <c r="C36" s="34" t="s">
        <v>70</v>
      </c>
      <c r="D36" s="35"/>
      <c r="E36" s="36"/>
      <c r="F36" s="34"/>
      <c r="G36" s="36"/>
      <c r="H36" s="36"/>
      <c r="I36" s="37"/>
      <c r="J36" s="37" t="str">
        <f aca="false">IF(OR($H36="",$I36="",NOT(ISNUMBER($H36))),"",IF($I36="Maund",ROUND($H36*37.32,2),$H36))</f>
        <v/>
      </c>
      <c r="K36" s="37"/>
      <c r="L36" s="38"/>
      <c r="M36" s="37"/>
      <c r="N36" s="34"/>
      <c r="O36" s="37"/>
      <c r="P36" s="34"/>
      <c r="Q36" s="34"/>
      <c r="R36" s="38"/>
      <c r="S36" s="38"/>
      <c r="T36" s="38"/>
      <c r="U36" s="34"/>
      <c r="V36" s="34"/>
      <c r="W36" s="33"/>
      <c r="X36" s="33"/>
      <c r="Y36" s="33"/>
      <c r="Z36" s="34"/>
      <c r="AA36" s="33"/>
    </row>
    <row r="37" customFormat="false" ht="19.5" hidden="false" customHeight="true" outlineLevel="0" collapsed="false">
      <c r="B37" s="33" t="s">
        <v>334</v>
      </c>
      <c r="C37" s="34" t="s">
        <v>70</v>
      </c>
      <c r="D37" s="35"/>
      <c r="E37" s="36"/>
      <c r="F37" s="34"/>
      <c r="G37" s="36"/>
      <c r="H37" s="36"/>
      <c r="I37" s="37"/>
      <c r="J37" s="37" t="str">
        <f aca="false">IF(OR($H37="",$I37="",NOT(ISNUMBER($H37))),"",IF($I37="Maund",ROUND($H37*37.32,2),$H37))</f>
        <v/>
      </c>
      <c r="K37" s="37"/>
      <c r="L37" s="38"/>
      <c r="M37" s="37"/>
      <c r="N37" s="34"/>
      <c r="O37" s="37"/>
      <c r="P37" s="34"/>
      <c r="Q37" s="34"/>
      <c r="R37" s="38"/>
      <c r="S37" s="38"/>
      <c r="T37" s="38"/>
      <c r="U37" s="34"/>
      <c r="V37" s="34"/>
      <c r="W37" s="33"/>
      <c r="X37" s="33"/>
      <c r="Y37" s="33"/>
      <c r="Z37" s="34"/>
      <c r="AA37" s="33"/>
    </row>
    <row r="38" customFormat="false" ht="19.5" hidden="false" customHeight="true" outlineLevel="0" collapsed="false">
      <c r="B38" s="33" t="s">
        <v>335</v>
      </c>
      <c r="C38" s="34" t="s">
        <v>70</v>
      </c>
      <c r="D38" s="35"/>
      <c r="E38" s="36"/>
      <c r="F38" s="34"/>
      <c r="G38" s="36"/>
      <c r="H38" s="36"/>
      <c r="I38" s="37"/>
      <c r="J38" s="37" t="str">
        <f aca="false">IF(OR($H38="",$I38="",NOT(ISNUMBER($H38))),"",IF($I38="Maund",ROUND($H38*37.32,2),$H38))</f>
        <v/>
      </c>
      <c r="K38" s="37"/>
      <c r="L38" s="38"/>
      <c r="M38" s="37"/>
      <c r="N38" s="34"/>
      <c r="O38" s="37"/>
      <c r="P38" s="34"/>
      <c r="Q38" s="34"/>
      <c r="R38" s="38"/>
      <c r="S38" s="38"/>
      <c r="T38" s="38"/>
      <c r="U38" s="34"/>
      <c r="V38" s="34"/>
      <c r="W38" s="33"/>
      <c r="X38" s="33"/>
      <c r="Y38" s="33"/>
      <c r="Z38" s="34"/>
      <c r="AA38" s="33"/>
    </row>
    <row r="39" customFormat="false" ht="19.5" hidden="false" customHeight="true" outlineLevel="0" collapsed="false">
      <c r="B39" s="33" t="s">
        <v>336</v>
      </c>
      <c r="C39" s="34" t="s">
        <v>70</v>
      </c>
      <c r="D39" s="35"/>
      <c r="E39" s="36"/>
      <c r="F39" s="34"/>
      <c r="G39" s="36"/>
      <c r="H39" s="36"/>
      <c r="I39" s="37"/>
      <c r="J39" s="37" t="str">
        <f aca="false">IF(OR($H39="",$I39="",NOT(ISNUMBER($H39))),"",IF($I39="Maund",ROUND($H39*37.32,2),$H39))</f>
        <v/>
      </c>
      <c r="K39" s="37"/>
      <c r="L39" s="38"/>
      <c r="M39" s="37"/>
      <c r="N39" s="34"/>
      <c r="O39" s="37"/>
      <c r="P39" s="34"/>
      <c r="Q39" s="34"/>
      <c r="R39" s="38"/>
      <c r="S39" s="38"/>
      <c r="T39" s="38"/>
      <c r="U39" s="34"/>
      <c r="V39" s="34"/>
      <c r="W39" s="33"/>
      <c r="X39" s="33"/>
      <c r="Y39" s="33"/>
      <c r="Z39" s="34"/>
      <c r="AA39" s="33"/>
    </row>
    <row r="40" customFormat="false" ht="19.5" hidden="false" customHeight="true" outlineLevel="0" collapsed="false">
      <c r="B40" s="33" t="s">
        <v>337</v>
      </c>
      <c r="C40" s="34" t="s">
        <v>70</v>
      </c>
      <c r="D40" s="35"/>
      <c r="E40" s="36"/>
      <c r="F40" s="34"/>
      <c r="G40" s="36"/>
      <c r="H40" s="36"/>
      <c r="I40" s="37"/>
      <c r="J40" s="37" t="str">
        <f aca="false">IF(OR($H40="",$I40="",NOT(ISNUMBER($H40))),"",IF($I40="Maund",ROUND($H40*37.32,2),$H40))</f>
        <v/>
      </c>
      <c r="K40" s="37"/>
      <c r="L40" s="38"/>
      <c r="M40" s="37"/>
      <c r="N40" s="34"/>
      <c r="O40" s="37"/>
      <c r="P40" s="34"/>
      <c r="Q40" s="34"/>
      <c r="R40" s="38"/>
      <c r="S40" s="38"/>
      <c r="T40" s="38"/>
      <c r="U40" s="34"/>
      <c r="V40" s="34"/>
      <c r="W40" s="33"/>
      <c r="X40" s="33"/>
      <c r="Y40" s="33"/>
      <c r="Z40" s="34"/>
      <c r="AA40" s="33"/>
    </row>
  </sheetData>
  <autoFilter ref="B4:AA40"/>
  <mergeCells count="1">
    <mergeCell ref="B2:AA2"/>
  </mergeCells>
  <dataValidations count="11">
    <dataValidation allowBlank="true" errorStyle="stop" operator="greaterThanOrEqual" showDropDown="false" showErrorMessage="true" showInputMessage="false" sqref="E5:E40" type="whole">
      <formula1>15</formula1>
      <formula2>0</formula2>
    </dataValidation>
    <dataValidation allowBlank="true" errorStyle="stop" operator="greaterThanOrEqual" showDropDown="false" showErrorMessage="true" showInputMessage="false" sqref="K5:K40" type="whole">
      <formula1>1</formula1>
      <formula2>0</formula2>
    </dataValidation>
    <dataValidation allowBlank="true" errorStyle="stop" operator="greaterThanOrEqual" showDropDown="false" showErrorMessage="true" showInputMessage="false" sqref="H5:H40 L5:N40" type="decimal">
      <formula1>0</formula1>
      <formula2>0</formula2>
    </dataValidation>
    <dataValidation allowBlank="true" errorStyle="stop" operator="greaterThanOrEqual" showDropDown="false" showErrorMessage="true" showInputMessage="false" sqref="O5:O40 R5:T40" type="whole">
      <formula1>0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C5:C40" type="list">
      <formula1>"M1,M2,M3,M4,M5,M6"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F5:F40" type="list">
      <formula1>"Illiterate,Primary,Secondary,Higher_Secondary"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I5:I40" type="list">
      <formula1>"Maund,Kg"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P5:P40" type="list">
      <formula1>"Fisherman,Faria,Aratdar,Other"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Q5:Q40" type="list">
      <formula1>"Household,Hawker,Hotel,Institutional,Other"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U5:U40" type="list">
      <formula1>"Regular,Occasional,Never"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V5:V40" type="list">
      <formula1>"Almost_all,Some,No"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B2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3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0" min="10" style="1" width="22"/>
    <col collapsed="false" customWidth="true" hidden="false" outlineLevel="0" max="11" min="11" style="1" width="11"/>
    <col collapsed="false" customWidth="true" hidden="false" outlineLevel="0" max="12" min="12" style="1" width="24"/>
  </cols>
  <sheetData>
    <row r="2" customFormat="false" ht="31.5" hidden="false" customHeight="true" outlineLevel="0" collapsed="false">
      <c r="B2" s="2" t="s">
        <v>338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7.75" hidden="false" customHeight="true" outlineLevel="0" collapsed="false">
      <c r="B4" s="11" t="s">
        <v>37</v>
      </c>
      <c r="C4" s="11" t="s">
        <v>58</v>
      </c>
      <c r="D4" s="11" t="s">
        <v>180</v>
      </c>
      <c r="E4" s="11" t="s">
        <v>339</v>
      </c>
      <c r="F4" s="11" t="s">
        <v>340</v>
      </c>
      <c r="G4" s="11" t="s">
        <v>341</v>
      </c>
      <c r="H4" s="11" t="s">
        <v>342</v>
      </c>
      <c r="I4" s="11" t="s">
        <v>343</v>
      </c>
      <c r="J4" s="11" t="s">
        <v>344</v>
      </c>
      <c r="K4" s="11" t="s">
        <v>39</v>
      </c>
      <c r="L4" s="11" t="s">
        <v>94</v>
      </c>
    </row>
    <row r="5" customFormat="false" ht="19.5" hidden="false" customHeight="true" outlineLevel="0" collapsed="false">
      <c r="B5" s="27" t="s">
        <v>345</v>
      </c>
      <c r="C5" s="28" t="s">
        <v>65</v>
      </c>
      <c r="D5" s="19"/>
      <c r="E5" s="21"/>
      <c r="F5" s="21"/>
      <c r="G5" s="21"/>
      <c r="H5" s="23"/>
      <c r="I5" s="21"/>
      <c r="J5" s="21"/>
      <c r="K5" s="21"/>
      <c r="L5" s="22"/>
    </row>
    <row r="6" customFormat="false" ht="19.5" hidden="false" customHeight="true" outlineLevel="0" collapsed="false">
      <c r="B6" s="27" t="s">
        <v>346</v>
      </c>
      <c r="C6" s="28" t="s">
        <v>65</v>
      </c>
      <c r="D6" s="19"/>
      <c r="E6" s="21"/>
      <c r="F6" s="21"/>
      <c r="G6" s="21"/>
      <c r="H6" s="23"/>
      <c r="I6" s="21"/>
      <c r="J6" s="21"/>
      <c r="K6" s="21"/>
      <c r="L6" s="22"/>
    </row>
    <row r="7" customFormat="false" ht="19.5" hidden="false" customHeight="true" outlineLevel="0" collapsed="false">
      <c r="B7" s="27" t="s">
        <v>347</v>
      </c>
      <c r="C7" s="28" t="s">
        <v>65</v>
      </c>
      <c r="D7" s="19"/>
      <c r="E7" s="21"/>
      <c r="F7" s="21"/>
      <c r="G7" s="21"/>
      <c r="H7" s="23"/>
      <c r="I7" s="21"/>
      <c r="J7" s="21"/>
      <c r="K7" s="21"/>
      <c r="L7" s="22"/>
    </row>
    <row r="8" customFormat="false" ht="19.5" hidden="false" customHeight="true" outlineLevel="0" collapsed="false">
      <c r="B8" s="27" t="s">
        <v>348</v>
      </c>
      <c r="C8" s="28" t="s">
        <v>65</v>
      </c>
      <c r="D8" s="19"/>
      <c r="E8" s="21"/>
      <c r="F8" s="21"/>
      <c r="G8" s="21"/>
      <c r="H8" s="23"/>
      <c r="I8" s="21"/>
      <c r="J8" s="21"/>
      <c r="K8" s="21"/>
      <c r="L8" s="22"/>
    </row>
    <row r="9" customFormat="false" ht="19.5" hidden="false" customHeight="true" outlineLevel="0" collapsed="false">
      <c r="B9" s="27" t="s">
        <v>349</v>
      </c>
      <c r="C9" s="28" t="s">
        <v>65</v>
      </c>
      <c r="D9" s="19"/>
      <c r="E9" s="21"/>
      <c r="F9" s="21"/>
      <c r="G9" s="21"/>
      <c r="H9" s="23"/>
      <c r="I9" s="21"/>
      <c r="J9" s="21"/>
      <c r="K9" s="21"/>
      <c r="L9" s="22"/>
    </row>
    <row r="10" customFormat="false" ht="19.5" hidden="false" customHeight="true" outlineLevel="0" collapsed="false">
      <c r="B10" s="27" t="s">
        <v>350</v>
      </c>
      <c r="C10" s="28" t="s">
        <v>65</v>
      </c>
      <c r="D10" s="19"/>
      <c r="E10" s="21"/>
      <c r="F10" s="21"/>
      <c r="G10" s="21"/>
      <c r="H10" s="23"/>
      <c r="I10" s="21"/>
      <c r="J10" s="21"/>
      <c r="K10" s="21"/>
      <c r="L10" s="22"/>
    </row>
    <row r="11" customFormat="false" ht="19.5" hidden="false" customHeight="true" outlineLevel="0" collapsed="false">
      <c r="B11" s="27" t="s">
        <v>351</v>
      </c>
      <c r="C11" s="28" t="s">
        <v>66</v>
      </c>
      <c r="D11" s="19"/>
      <c r="E11" s="21"/>
      <c r="F11" s="21"/>
      <c r="G11" s="21"/>
      <c r="H11" s="23"/>
      <c r="I11" s="21"/>
      <c r="J11" s="21"/>
      <c r="K11" s="21"/>
      <c r="L11" s="22"/>
    </row>
    <row r="12" customFormat="false" ht="19.5" hidden="false" customHeight="true" outlineLevel="0" collapsed="false">
      <c r="B12" s="27" t="s">
        <v>352</v>
      </c>
      <c r="C12" s="28" t="s">
        <v>66</v>
      </c>
      <c r="D12" s="19"/>
      <c r="E12" s="21"/>
      <c r="F12" s="21"/>
      <c r="G12" s="21"/>
      <c r="H12" s="23"/>
      <c r="I12" s="21"/>
      <c r="J12" s="21"/>
      <c r="K12" s="21"/>
      <c r="L12" s="22"/>
    </row>
    <row r="13" customFormat="false" ht="19.5" hidden="false" customHeight="true" outlineLevel="0" collapsed="false">
      <c r="B13" s="27" t="s">
        <v>353</v>
      </c>
      <c r="C13" s="28" t="s">
        <v>66</v>
      </c>
      <c r="D13" s="19"/>
      <c r="E13" s="21"/>
      <c r="F13" s="21"/>
      <c r="G13" s="21"/>
      <c r="H13" s="23"/>
      <c r="I13" s="21"/>
      <c r="J13" s="21"/>
      <c r="K13" s="21"/>
      <c r="L13" s="22"/>
    </row>
    <row r="14" customFormat="false" ht="19.5" hidden="false" customHeight="true" outlineLevel="0" collapsed="false">
      <c r="B14" s="27" t="s">
        <v>354</v>
      </c>
      <c r="C14" s="28" t="s">
        <v>66</v>
      </c>
      <c r="D14" s="19"/>
      <c r="E14" s="21"/>
      <c r="F14" s="21"/>
      <c r="G14" s="21"/>
      <c r="H14" s="23"/>
      <c r="I14" s="21"/>
      <c r="J14" s="21"/>
      <c r="K14" s="21"/>
      <c r="L14" s="22"/>
    </row>
    <row r="15" customFormat="false" ht="19.5" hidden="false" customHeight="true" outlineLevel="0" collapsed="false">
      <c r="B15" s="27" t="s">
        <v>355</v>
      </c>
      <c r="C15" s="28" t="s">
        <v>66</v>
      </c>
      <c r="D15" s="19"/>
      <c r="E15" s="21"/>
      <c r="F15" s="21"/>
      <c r="G15" s="21"/>
      <c r="H15" s="23"/>
      <c r="I15" s="21"/>
      <c r="J15" s="21"/>
      <c r="K15" s="21"/>
      <c r="L15" s="22"/>
    </row>
    <row r="16" customFormat="false" ht="19.5" hidden="false" customHeight="true" outlineLevel="0" collapsed="false">
      <c r="B16" s="27" t="s">
        <v>356</v>
      </c>
      <c r="C16" s="28" t="s">
        <v>66</v>
      </c>
      <c r="D16" s="19"/>
      <c r="E16" s="21"/>
      <c r="F16" s="21"/>
      <c r="G16" s="21"/>
      <c r="H16" s="23"/>
      <c r="I16" s="21"/>
      <c r="J16" s="21"/>
      <c r="K16" s="21"/>
      <c r="L16" s="22"/>
    </row>
    <row r="17" customFormat="false" ht="19.5" hidden="false" customHeight="true" outlineLevel="0" collapsed="false">
      <c r="B17" s="27" t="s">
        <v>357</v>
      </c>
      <c r="C17" s="28" t="s">
        <v>67</v>
      </c>
      <c r="D17" s="19"/>
      <c r="E17" s="21"/>
      <c r="F17" s="21"/>
      <c r="G17" s="21"/>
      <c r="H17" s="23"/>
      <c r="I17" s="21"/>
      <c r="J17" s="21"/>
      <c r="K17" s="21"/>
      <c r="L17" s="22"/>
    </row>
    <row r="18" customFormat="false" ht="19.5" hidden="false" customHeight="true" outlineLevel="0" collapsed="false">
      <c r="B18" s="27" t="s">
        <v>358</v>
      </c>
      <c r="C18" s="28" t="s">
        <v>67</v>
      </c>
      <c r="D18" s="19"/>
      <c r="E18" s="21"/>
      <c r="F18" s="21"/>
      <c r="G18" s="21"/>
      <c r="H18" s="23"/>
      <c r="I18" s="21"/>
      <c r="J18" s="21"/>
      <c r="K18" s="21"/>
      <c r="L18" s="22"/>
    </row>
    <row r="19" customFormat="false" ht="19.5" hidden="false" customHeight="true" outlineLevel="0" collapsed="false">
      <c r="B19" s="27" t="s">
        <v>359</v>
      </c>
      <c r="C19" s="28" t="s">
        <v>67</v>
      </c>
      <c r="D19" s="19"/>
      <c r="E19" s="21"/>
      <c r="F19" s="21"/>
      <c r="G19" s="21"/>
      <c r="H19" s="23"/>
      <c r="I19" s="21"/>
      <c r="J19" s="21"/>
      <c r="K19" s="21"/>
      <c r="L19" s="22"/>
    </row>
    <row r="20" customFormat="false" ht="19.5" hidden="false" customHeight="true" outlineLevel="0" collapsed="false">
      <c r="B20" s="27" t="s">
        <v>360</v>
      </c>
      <c r="C20" s="28" t="s">
        <v>67</v>
      </c>
      <c r="D20" s="19"/>
      <c r="E20" s="21"/>
      <c r="F20" s="21"/>
      <c r="G20" s="21"/>
      <c r="H20" s="23"/>
      <c r="I20" s="21"/>
      <c r="J20" s="21"/>
      <c r="K20" s="21"/>
      <c r="L20" s="22"/>
    </row>
    <row r="21" customFormat="false" ht="19.5" hidden="false" customHeight="true" outlineLevel="0" collapsed="false">
      <c r="B21" s="27" t="s">
        <v>361</v>
      </c>
      <c r="C21" s="28" t="s">
        <v>67</v>
      </c>
      <c r="D21" s="19"/>
      <c r="E21" s="21"/>
      <c r="F21" s="21"/>
      <c r="G21" s="21"/>
      <c r="H21" s="23"/>
      <c r="I21" s="21"/>
      <c r="J21" s="21"/>
      <c r="K21" s="21"/>
      <c r="L21" s="22"/>
    </row>
    <row r="22" customFormat="false" ht="19.5" hidden="false" customHeight="true" outlineLevel="0" collapsed="false">
      <c r="B22" s="27" t="s">
        <v>362</v>
      </c>
      <c r="C22" s="28" t="s">
        <v>67</v>
      </c>
      <c r="D22" s="19"/>
      <c r="E22" s="21"/>
      <c r="F22" s="21"/>
      <c r="G22" s="21"/>
      <c r="H22" s="23"/>
      <c r="I22" s="21"/>
      <c r="J22" s="21"/>
      <c r="K22" s="21"/>
      <c r="L22" s="22"/>
    </row>
    <row r="23" customFormat="false" ht="19.5" hidden="false" customHeight="true" outlineLevel="0" collapsed="false">
      <c r="B23" s="27" t="s">
        <v>363</v>
      </c>
      <c r="C23" s="28" t="s">
        <v>68</v>
      </c>
      <c r="D23" s="19"/>
      <c r="E23" s="21"/>
      <c r="F23" s="21"/>
      <c r="G23" s="21"/>
      <c r="H23" s="23"/>
      <c r="I23" s="21"/>
      <c r="J23" s="21"/>
      <c r="K23" s="21"/>
      <c r="L23" s="22"/>
    </row>
    <row r="24" customFormat="false" ht="19.5" hidden="false" customHeight="true" outlineLevel="0" collapsed="false">
      <c r="B24" s="27" t="s">
        <v>364</v>
      </c>
      <c r="C24" s="28" t="s">
        <v>68</v>
      </c>
      <c r="D24" s="19"/>
      <c r="E24" s="21"/>
      <c r="F24" s="21"/>
      <c r="G24" s="21"/>
      <c r="H24" s="23"/>
      <c r="I24" s="21"/>
      <c r="J24" s="21"/>
      <c r="K24" s="21"/>
      <c r="L24" s="22"/>
    </row>
    <row r="25" customFormat="false" ht="19.5" hidden="false" customHeight="true" outlineLevel="0" collapsed="false">
      <c r="B25" s="27" t="s">
        <v>365</v>
      </c>
      <c r="C25" s="28" t="s">
        <v>68</v>
      </c>
      <c r="D25" s="19"/>
      <c r="E25" s="21"/>
      <c r="F25" s="21"/>
      <c r="G25" s="21"/>
      <c r="H25" s="23"/>
      <c r="I25" s="21"/>
      <c r="J25" s="21"/>
      <c r="K25" s="21"/>
      <c r="L25" s="22"/>
    </row>
    <row r="26" customFormat="false" ht="19.5" hidden="false" customHeight="true" outlineLevel="0" collapsed="false">
      <c r="B26" s="27" t="s">
        <v>366</v>
      </c>
      <c r="C26" s="28" t="s">
        <v>68</v>
      </c>
      <c r="D26" s="19"/>
      <c r="E26" s="21"/>
      <c r="F26" s="21"/>
      <c r="G26" s="21"/>
      <c r="H26" s="23"/>
      <c r="I26" s="21"/>
      <c r="J26" s="21"/>
      <c r="K26" s="21"/>
      <c r="L26" s="22"/>
    </row>
    <row r="27" customFormat="false" ht="19.5" hidden="false" customHeight="true" outlineLevel="0" collapsed="false">
      <c r="B27" s="27" t="s">
        <v>367</v>
      </c>
      <c r="C27" s="28" t="s">
        <v>68</v>
      </c>
      <c r="D27" s="19"/>
      <c r="E27" s="21"/>
      <c r="F27" s="21"/>
      <c r="G27" s="21"/>
      <c r="H27" s="23"/>
      <c r="I27" s="21"/>
      <c r="J27" s="21"/>
      <c r="K27" s="21"/>
      <c r="L27" s="22"/>
    </row>
    <row r="28" customFormat="false" ht="19.5" hidden="false" customHeight="true" outlineLevel="0" collapsed="false">
      <c r="B28" s="27" t="s">
        <v>368</v>
      </c>
      <c r="C28" s="28" t="s">
        <v>68</v>
      </c>
      <c r="D28" s="19"/>
      <c r="E28" s="21"/>
      <c r="F28" s="21"/>
      <c r="G28" s="21"/>
      <c r="H28" s="23"/>
      <c r="I28" s="21"/>
      <c r="J28" s="21"/>
      <c r="K28" s="21"/>
      <c r="L28" s="22"/>
    </row>
    <row r="29" customFormat="false" ht="19.5" hidden="false" customHeight="true" outlineLevel="0" collapsed="false">
      <c r="B29" s="27" t="s">
        <v>369</v>
      </c>
      <c r="C29" s="28" t="s">
        <v>69</v>
      </c>
      <c r="D29" s="19"/>
      <c r="E29" s="21"/>
      <c r="F29" s="21"/>
      <c r="G29" s="21"/>
      <c r="H29" s="23"/>
      <c r="I29" s="21"/>
      <c r="J29" s="21"/>
      <c r="K29" s="21"/>
      <c r="L29" s="22"/>
    </row>
    <row r="30" customFormat="false" ht="19.5" hidden="false" customHeight="true" outlineLevel="0" collapsed="false">
      <c r="B30" s="27" t="s">
        <v>370</v>
      </c>
      <c r="C30" s="28" t="s">
        <v>69</v>
      </c>
      <c r="D30" s="19"/>
      <c r="E30" s="21"/>
      <c r="F30" s="21"/>
      <c r="G30" s="21"/>
      <c r="H30" s="23"/>
      <c r="I30" s="21"/>
      <c r="J30" s="21"/>
      <c r="K30" s="21"/>
      <c r="L30" s="22"/>
    </row>
    <row r="31" customFormat="false" ht="19.5" hidden="false" customHeight="true" outlineLevel="0" collapsed="false">
      <c r="B31" s="27" t="s">
        <v>371</v>
      </c>
      <c r="C31" s="28" t="s">
        <v>69</v>
      </c>
      <c r="D31" s="19"/>
      <c r="E31" s="21"/>
      <c r="F31" s="21"/>
      <c r="G31" s="21"/>
      <c r="H31" s="23"/>
      <c r="I31" s="21"/>
      <c r="J31" s="21"/>
      <c r="K31" s="21"/>
      <c r="L31" s="22"/>
    </row>
    <row r="32" customFormat="false" ht="19.5" hidden="false" customHeight="true" outlineLevel="0" collapsed="false">
      <c r="B32" s="27" t="s">
        <v>372</v>
      </c>
      <c r="C32" s="28" t="s">
        <v>69</v>
      </c>
      <c r="D32" s="19"/>
      <c r="E32" s="21"/>
      <c r="F32" s="21"/>
      <c r="G32" s="21"/>
      <c r="H32" s="23"/>
      <c r="I32" s="21"/>
      <c r="J32" s="21"/>
      <c r="K32" s="21"/>
      <c r="L32" s="22"/>
    </row>
    <row r="33" customFormat="false" ht="19.5" hidden="false" customHeight="true" outlineLevel="0" collapsed="false">
      <c r="B33" s="27" t="s">
        <v>373</v>
      </c>
      <c r="C33" s="28" t="s">
        <v>69</v>
      </c>
      <c r="D33" s="19"/>
      <c r="E33" s="21"/>
      <c r="F33" s="21"/>
      <c r="G33" s="21"/>
      <c r="H33" s="23"/>
      <c r="I33" s="21"/>
      <c r="J33" s="21"/>
      <c r="K33" s="21"/>
      <c r="L33" s="22"/>
    </row>
    <row r="34" customFormat="false" ht="19.5" hidden="false" customHeight="true" outlineLevel="0" collapsed="false">
      <c r="B34" s="27" t="s">
        <v>374</v>
      </c>
      <c r="C34" s="28" t="s">
        <v>69</v>
      </c>
      <c r="D34" s="19"/>
      <c r="E34" s="21"/>
      <c r="F34" s="21"/>
      <c r="G34" s="21"/>
      <c r="H34" s="23"/>
      <c r="I34" s="21"/>
      <c r="J34" s="21"/>
      <c r="K34" s="21"/>
      <c r="L34" s="22"/>
    </row>
    <row r="35" customFormat="false" ht="19.5" hidden="false" customHeight="true" outlineLevel="0" collapsed="false">
      <c r="B35" s="27" t="s">
        <v>375</v>
      </c>
      <c r="C35" s="28" t="s">
        <v>70</v>
      </c>
      <c r="D35" s="19"/>
      <c r="E35" s="21"/>
      <c r="F35" s="21"/>
      <c r="G35" s="21"/>
      <c r="H35" s="23"/>
      <c r="I35" s="21"/>
      <c r="J35" s="21"/>
      <c r="K35" s="21"/>
      <c r="L35" s="22"/>
    </row>
    <row r="36" customFormat="false" ht="19.5" hidden="false" customHeight="true" outlineLevel="0" collapsed="false">
      <c r="B36" s="27" t="s">
        <v>376</v>
      </c>
      <c r="C36" s="28" t="s">
        <v>70</v>
      </c>
      <c r="D36" s="19"/>
      <c r="E36" s="21"/>
      <c r="F36" s="21"/>
      <c r="G36" s="21"/>
      <c r="H36" s="23"/>
      <c r="I36" s="21"/>
      <c r="J36" s="21"/>
      <c r="K36" s="21"/>
      <c r="L36" s="22"/>
    </row>
    <row r="37" customFormat="false" ht="19.5" hidden="false" customHeight="true" outlineLevel="0" collapsed="false">
      <c r="B37" s="27" t="s">
        <v>377</v>
      </c>
      <c r="C37" s="28" t="s">
        <v>70</v>
      </c>
      <c r="D37" s="19"/>
      <c r="E37" s="21"/>
      <c r="F37" s="21"/>
      <c r="G37" s="21"/>
      <c r="H37" s="23"/>
      <c r="I37" s="21"/>
      <c r="J37" s="21"/>
      <c r="K37" s="21"/>
      <c r="L37" s="22"/>
    </row>
    <row r="38" customFormat="false" ht="19.5" hidden="false" customHeight="true" outlineLevel="0" collapsed="false">
      <c r="B38" s="27" t="s">
        <v>378</v>
      </c>
      <c r="C38" s="28" t="s">
        <v>70</v>
      </c>
      <c r="D38" s="19"/>
      <c r="E38" s="21"/>
      <c r="F38" s="21"/>
      <c r="G38" s="21"/>
      <c r="H38" s="23"/>
      <c r="I38" s="21"/>
      <c r="J38" s="21"/>
      <c r="K38" s="21"/>
      <c r="L38" s="22"/>
    </row>
    <row r="39" customFormat="false" ht="19.5" hidden="false" customHeight="true" outlineLevel="0" collapsed="false">
      <c r="B39" s="27" t="s">
        <v>379</v>
      </c>
      <c r="C39" s="28" t="s">
        <v>70</v>
      </c>
      <c r="D39" s="19"/>
      <c r="E39" s="21"/>
      <c r="F39" s="21"/>
      <c r="G39" s="21"/>
      <c r="H39" s="23"/>
      <c r="I39" s="21"/>
      <c r="J39" s="21"/>
      <c r="K39" s="21"/>
      <c r="L39" s="22"/>
    </row>
    <row r="40" customFormat="false" ht="19.5" hidden="false" customHeight="true" outlineLevel="0" collapsed="false">
      <c r="B40" s="27" t="s">
        <v>380</v>
      </c>
      <c r="C40" s="28" t="s">
        <v>70</v>
      </c>
      <c r="D40" s="19"/>
      <c r="E40" s="21"/>
      <c r="F40" s="21"/>
      <c r="G40" s="21"/>
      <c r="H40" s="23"/>
      <c r="I40" s="21"/>
      <c r="J40" s="21"/>
      <c r="K40" s="21"/>
      <c r="L40" s="22"/>
    </row>
  </sheetData>
  <autoFilter ref="B4:L40"/>
  <mergeCells count="1">
    <mergeCell ref="B2:L2"/>
  </mergeCells>
  <dataValidations count="6"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40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F5:F40" type="list">
      <formula1>"Yes,No"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G5:G40" type="list">
      <formula1>"Daily,Weekly"</formula1>
      <formula2>0</formula2>
    </dataValidation>
    <dataValidation allowBlank="true" error="Enter a whole number between 1 and 60." errorStyle="stop" errorTitle="Out of range" operator="between" showDropDown="false" showErrorMessage="true" showInputMessage="false" sqref="H5:H40" type="whole">
      <formula1>1</formula1>
      <formula2>60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I5:I40" type="list">
      <formula1>"Cash,bKash,Nagad_app,Credit"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J5:J40" type="list">
      <formula1>"Price,Variety,Proximity,Purity,Familiar_shop,Other"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B2:P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3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8" min="6" style="1" width="12"/>
    <col collapsed="false" customWidth="true" hidden="false" outlineLevel="0" max="9" min="9" style="1" width="9"/>
    <col collapsed="false" customWidth="true" hidden="false" outlineLevel="0" max="11" min="10" style="1" width="13"/>
    <col collapsed="false" customWidth="true" hidden="false" outlineLevel="0" max="15" min="12" style="1" width="11"/>
    <col collapsed="false" customWidth="true" hidden="false" outlineLevel="0" max="16" min="16" style="1" width="24"/>
  </cols>
  <sheetData>
    <row r="2" customFormat="false" ht="31.5" hidden="false" customHeight="true" outlineLevel="0" collapsed="false">
      <c r="B2" s="2" t="s">
        <v>381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27.75" hidden="false" customHeight="true" outlineLevel="0" collapsed="false">
      <c r="B4" s="11" t="s">
        <v>382</v>
      </c>
      <c r="C4" s="11" t="s">
        <v>37</v>
      </c>
      <c r="D4" s="11" t="s">
        <v>58</v>
      </c>
      <c r="E4" s="11" t="s">
        <v>383</v>
      </c>
      <c r="F4" s="11" t="s">
        <v>384</v>
      </c>
      <c r="G4" s="11" t="s">
        <v>385</v>
      </c>
      <c r="H4" s="11" t="s">
        <v>386</v>
      </c>
      <c r="I4" s="11" t="s">
        <v>387</v>
      </c>
      <c r="J4" s="11" t="s">
        <v>388</v>
      </c>
      <c r="K4" s="11" t="s">
        <v>389</v>
      </c>
      <c r="L4" s="11" t="s">
        <v>390</v>
      </c>
      <c r="M4" s="11" t="s">
        <v>391</v>
      </c>
      <c r="N4" s="11" t="s">
        <v>392</v>
      </c>
      <c r="O4" s="11" t="s">
        <v>39</v>
      </c>
      <c r="P4" s="11" t="s">
        <v>94</v>
      </c>
    </row>
    <row r="5" customFormat="false" ht="19.5" hidden="false" customHeight="true" outlineLevel="0" collapsed="false">
      <c r="B5" s="28" t="s">
        <v>393</v>
      </c>
      <c r="C5" s="21"/>
      <c r="D5" s="21"/>
      <c r="E5" s="21"/>
      <c r="F5" s="21"/>
      <c r="G5" s="29"/>
      <c r="H5" s="29"/>
      <c r="I5" s="21"/>
      <c r="J5" s="30" t="str">
        <f aca="false">IF(OR($G5="",$I5="",NOT(ISNUMBER($G5))),"",IF($I5="Maund",ROUND($G5/37.32,2),$G5))</f>
        <v/>
      </c>
      <c r="K5" s="30" t="str">
        <f aca="false">IF(OR($H5="",$I5="",NOT(ISNUMBER($H5))),"",IF($I5="Maund",ROUND($H5/37.32,2),$H5))</f>
        <v/>
      </c>
      <c r="L5" s="29"/>
      <c r="M5" s="21"/>
      <c r="N5" s="30" t="str">
        <f aca="false">IF(OR($L5="",$M5="",NOT(ISNUMBER($L5))),"",IF($M5="Maund",ROUND($L5*37.32,2),$L5))</f>
        <v/>
      </c>
      <c r="O5" s="21"/>
      <c r="P5" s="22"/>
    </row>
    <row r="6" customFormat="false" ht="19.5" hidden="false" customHeight="true" outlineLevel="0" collapsed="false">
      <c r="B6" s="28" t="s">
        <v>394</v>
      </c>
      <c r="C6" s="21"/>
      <c r="D6" s="21"/>
      <c r="E6" s="21"/>
      <c r="F6" s="21"/>
      <c r="G6" s="29"/>
      <c r="H6" s="29"/>
      <c r="I6" s="21"/>
      <c r="J6" s="30" t="str">
        <f aca="false">IF(OR($G6="",$I6="",NOT(ISNUMBER($G6))),"",IF($I6="Maund",ROUND($G6/37.32,2),$G6))</f>
        <v/>
      </c>
      <c r="K6" s="30" t="str">
        <f aca="false">IF(OR($H6="",$I6="",NOT(ISNUMBER($H6))),"",IF($I6="Maund",ROUND($H6/37.32,2),$H6))</f>
        <v/>
      </c>
      <c r="L6" s="29"/>
      <c r="M6" s="21"/>
      <c r="N6" s="30" t="str">
        <f aca="false">IF(OR($L6="",$M6="",NOT(ISNUMBER($L6))),"",IF($M6="Maund",ROUND($L6*37.32,2),$L6))</f>
        <v/>
      </c>
      <c r="O6" s="21"/>
      <c r="P6" s="22"/>
    </row>
    <row r="7" customFormat="false" ht="19.5" hidden="false" customHeight="true" outlineLevel="0" collapsed="false">
      <c r="B7" s="28" t="s">
        <v>395</v>
      </c>
      <c r="C7" s="21"/>
      <c r="D7" s="21"/>
      <c r="E7" s="21"/>
      <c r="F7" s="21"/>
      <c r="G7" s="29"/>
      <c r="H7" s="29"/>
      <c r="I7" s="21"/>
      <c r="J7" s="30" t="str">
        <f aca="false">IF(OR($G7="",$I7="",NOT(ISNUMBER($G7))),"",IF($I7="Maund",ROUND($G7/37.32,2),$G7))</f>
        <v/>
      </c>
      <c r="K7" s="30" t="str">
        <f aca="false">IF(OR($H7="",$I7="",NOT(ISNUMBER($H7))),"",IF($I7="Maund",ROUND($H7/37.32,2),$H7))</f>
        <v/>
      </c>
      <c r="L7" s="29"/>
      <c r="M7" s="21"/>
      <c r="N7" s="30" t="str">
        <f aca="false">IF(OR($L7="",$M7="",NOT(ISNUMBER($L7))),"",IF($M7="Maund",ROUND($L7*37.32,2),$L7))</f>
        <v/>
      </c>
      <c r="O7" s="21"/>
      <c r="P7" s="22"/>
    </row>
    <row r="8" customFormat="false" ht="19.5" hidden="false" customHeight="true" outlineLevel="0" collapsed="false">
      <c r="B8" s="28" t="s">
        <v>396</v>
      </c>
      <c r="C8" s="21"/>
      <c r="D8" s="21"/>
      <c r="E8" s="21"/>
      <c r="F8" s="21"/>
      <c r="G8" s="29"/>
      <c r="H8" s="29"/>
      <c r="I8" s="21"/>
      <c r="J8" s="30" t="str">
        <f aca="false">IF(OR($G8="",$I8="",NOT(ISNUMBER($G8))),"",IF($I8="Maund",ROUND($G8/37.32,2),$G8))</f>
        <v/>
      </c>
      <c r="K8" s="30" t="str">
        <f aca="false">IF(OR($H8="",$I8="",NOT(ISNUMBER($H8))),"",IF($I8="Maund",ROUND($H8/37.32,2),$H8))</f>
        <v/>
      </c>
      <c r="L8" s="29"/>
      <c r="M8" s="21"/>
      <c r="N8" s="30" t="str">
        <f aca="false">IF(OR($L8="",$M8="",NOT(ISNUMBER($L8))),"",IF($M8="Maund",ROUND($L8*37.32,2),$L8))</f>
        <v/>
      </c>
      <c r="O8" s="21"/>
      <c r="P8" s="22"/>
    </row>
    <row r="9" customFormat="false" ht="19.5" hidden="false" customHeight="true" outlineLevel="0" collapsed="false">
      <c r="B9" s="28" t="s">
        <v>397</v>
      </c>
      <c r="C9" s="21"/>
      <c r="D9" s="21"/>
      <c r="E9" s="21"/>
      <c r="F9" s="21"/>
      <c r="G9" s="29"/>
      <c r="H9" s="29"/>
      <c r="I9" s="21"/>
      <c r="J9" s="30" t="str">
        <f aca="false">IF(OR($G9="",$I9="",NOT(ISNUMBER($G9))),"",IF($I9="Maund",ROUND($G9/37.32,2),$G9))</f>
        <v/>
      </c>
      <c r="K9" s="30" t="str">
        <f aca="false">IF(OR($H9="",$I9="",NOT(ISNUMBER($H9))),"",IF($I9="Maund",ROUND($H9/37.32,2),$H9))</f>
        <v/>
      </c>
      <c r="L9" s="29"/>
      <c r="M9" s="21"/>
      <c r="N9" s="30" t="str">
        <f aca="false">IF(OR($L9="",$M9="",NOT(ISNUMBER($L9))),"",IF($M9="Maund",ROUND($L9*37.32,2),$L9))</f>
        <v/>
      </c>
      <c r="O9" s="21"/>
      <c r="P9" s="22"/>
    </row>
    <row r="10" customFormat="false" ht="19.5" hidden="false" customHeight="true" outlineLevel="0" collapsed="false">
      <c r="B10" s="28" t="s">
        <v>398</v>
      </c>
      <c r="C10" s="21"/>
      <c r="D10" s="21"/>
      <c r="E10" s="21"/>
      <c r="F10" s="21"/>
      <c r="G10" s="29"/>
      <c r="H10" s="29"/>
      <c r="I10" s="21"/>
      <c r="J10" s="30" t="str">
        <f aca="false">IF(OR($G10="",$I10="",NOT(ISNUMBER($G10))),"",IF($I10="Maund",ROUND($G10/37.32,2),$G10))</f>
        <v/>
      </c>
      <c r="K10" s="30" t="str">
        <f aca="false">IF(OR($H10="",$I10="",NOT(ISNUMBER($H10))),"",IF($I10="Maund",ROUND($H10/37.32,2),$H10))</f>
        <v/>
      </c>
      <c r="L10" s="29"/>
      <c r="M10" s="21"/>
      <c r="N10" s="30" t="str">
        <f aca="false">IF(OR($L10="",$M10="",NOT(ISNUMBER($L10))),"",IF($M10="Maund",ROUND($L10*37.32,2),$L10))</f>
        <v/>
      </c>
      <c r="O10" s="21"/>
      <c r="P10" s="22"/>
    </row>
    <row r="11" customFormat="false" ht="19.5" hidden="false" customHeight="true" outlineLevel="0" collapsed="false">
      <c r="B11" s="28" t="s">
        <v>399</v>
      </c>
      <c r="C11" s="21"/>
      <c r="D11" s="21"/>
      <c r="E11" s="21"/>
      <c r="F11" s="21"/>
      <c r="G11" s="29"/>
      <c r="H11" s="29"/>
      <c r="I11" s="21"/>
      <c r="J11" s="30" t="str">
        <f aca="false">IF(OR($G11="",$I11="",NOT(ISNUMBER($G11))),"",IF($I11="Maund",ROUND($G11/37.32,2),$G11))</f>
        <v/>
      </c>
      <c r="K11" s="30" t="str">
        <f aca="false">IF(OR($H11="",$I11="",NOT(ISNUMBER($H11))),"",IF($I11="Maund",ROUND($H11/37.32,2),$H11))</f>
        <v/>
      </c>
      <c r="L11" s="29"/>
      <c r="M11" s="21"/>
      <c r="N11" s="30" t="str">
        <f aca="false">IF(OR($L11="",$M11="",NOT(ISNUMBER($L11))),"",IF($M11="Maund",ROUND($L11*37.32,2),$L11))</f>
        <v/>
      </c>
      <c r="O11" s="21"/>
      <c r="P11" s="22"/>
    </row>
    <row r="12" customFormat="false" ht="19.5" hidden="false" customHeight="true" outlineLevel="0" collapsed="false">
      <c r="B12" s="28" t="s">
        <v>400</v>
      </c>
      <c r="C12" s="21"/>
      <c r="D12" s="21"/>
      <c r="E12" s="21"/>
      <c r="F12" s="21"/>
      <c r="G12" s="29"/>
      <c r="H12" s="29"/>
      <c r="I12" s="21"/>
      <c r="J12" s="30" t="str">
        <f aca="false">IF(OR($G12="",$I12="",NOT(ISNUMBER($G12))),"",IF($I12="Maund",ROUND($G12/37.32,2),$G12))</f>
        <v/>
      </c>
      <c r="K12" s="30" t="str">
        <f aca="false">IF(OR($H12="",$I12="",NOT(ISNUMBER($H12))),"",IF($I12="Maund",ROUND($H12/37.32,2),$H12))</f>
        <v/>
      </c>
      <c r="L12" s="29"/>
      <c r="M12" s="21"/>
      <c r="N12" s="30" t="str">
        <f aca="false">IF(OR($L12="",$M12="",NOT(ISNUMBER($L12))),"",IF($M12="Maund",ROUND($L12*37.32,2),$L12))</f>
        <v/>
      </c>
      <c r="O12" s="21"/>
      <c r="P12" s="22"/>
    </row>
    <row r="13" customFormat="false" ht="19.5" hidden="false" customHeight="true" outlineLevel="0" collapsed="false">
      <c r="B13" s="28" t="s">
        <v>401</v>
      </c>
      <c r="C13" s="21"/>
      <c r="D13" s="21"/>
      <c r="E13" s="21"/>
      <c r="F13" s="21"/>
      <c r="G13" s="29"/>
      <c r="H13" s="29"/>
      <c r="I13" s="21"/>
      <c r="J13" s="30" t="str">
        <f aca="false">IF(OR($G13="",$I13="",NOT(ISNUMBER($G13))),"",IF($I13="Maund",ROUND($G13/37.32,2),$G13))</f>
        <v/>
      </c>
      <c r="K13" s="30" t="str">
        <f aca="false">IF(OR($H13="",$I13="",NOT(ISNUMBER($H13))),"",IF($I13="Maund",ROUND($H13/37.32,2),$H13))</f>
        <v/>
      </c>
      <c r="L13" s="29"/>
      <c r="M13" s="21"/>
      <c r="N13" s="30" t="str">
        <f aca="false">IF(OR($L13="",$M13="",NOT(ISNUMBER($L13))),"",IF($M13="Maund",ROUND($L13*37.32,2),$L13))</f>
        <v/>
      </c>
      <c r="O13" s="21"/>
      <c r="P13" s="22"/>
    </row>
    <row r="14" customFormat="false" ht="19.5" hidden="false" customHeight="true" outlineLevel="0" collapsed="false">
      <c r="B14" s="28" t="s">
        <v>402</v>
      </c>
      <c r="C14" s="21"/>
      <c r="D14" s="21"/>
      <c r="E14" s="21"/>
      <c r="F14" s="21"/>
      <c r="G14" s="29"/>
      <c r="H14" s="29"/>
      <c r="I14" s="21"/>
      <c r="J14" s="30" t="str">
        <f aca="false">IF(OR($G14="",$I14="",NOT(ISNUMBER($G14))),"",IF($I14="Maund",ROUND($G14/37.32,2),$G14))</f>
        <v/>
      </c>
      <c r="K14" s="30" t="str">
        <f aca="false">IF(OR($H14="",$I14="",NOT(ISNUMBER($H14))),"",IF($I14="Maund",ROUND($H14/37.32,2),$H14))</f>
        <v/>
      </c>
      <c r="L14" s="29"/>
      <c r="M14" s="21"/>
      <c r="N14" s="30" t="str">
        <f aca="false">IF(OR($L14="",$M14="",NOT(ISNUMBER($L14))),"",IF($M14="Maund",ROUND($L14*37.32,2),$L14))</f>
        <v/>
      </c>
      <c r="O14" s="21"/>
      <c r="P14" s="22"/>
    </row>
    <row r="15" customFormat="false" ht="19.5" hidden="false" customHeight="true" outlineLevel="0" collapsed="false">
      <c r="B15" s="28" t="s">
        <v>403</v>
      </c>
      <c r="C15" s="21"/>
      <c r="D15" s="21"/>
      <c r="E15" s="21"/>
      <c r="F15" s="21"/>
      <c r="G15" s="29"/>
      <c r="H15" s="29"/>
      <c r="I15" s="21"/>
      <c r="J15" s="30" t="str">
        <f aca="false">IF(OR($G15="",$I15="",NOT(ISNUMBER($G15))),"",IF($I15="Maund",ROUND($G15/37.32,2),$G15))</f>
        <v/>
      </c>
      <c r="K15" s="30" t="str">
        <f aca="false">IF(OR($H15="",$I15="",NOT(ISNUMBER($H15))),"",IF($I15="Maund",ROUND($H15/37.32,2),$H15))</f>
        <v/>
      </c>
      <c r="L15" s="29"/>
      <c r="M15" s="21"/>
      <c r="N15" s="30" t="str">
        <f aca="false">IF(OR($L15="",$M15="",NOT(ISNUMBER($L15))),"",IF($M15="Maund",ROUND($L15*37.32,2),$L15))</f>
        <v/>
      </c>
      <c r="O15" s="21"/>
      <c r="P15" s="22"/>
    </row>
    <row r="16" customFormat="false" ht="19.5" hidden="false" customHeight="true" outlineLevel="0" collapsed="false">
      <c r="B16" s="28" t="s">
        <v>404</v>
      </c>
      <c r="C16" s="21"/>
      <c r="D16" s="21"/>
      <c r="E16" s="21"/>
      <c r="F16" s="21"/>
      <c r="G16" s="29"/>
      <c r="H16" s="29"/>
      <c r="I16" s="21"/>
      <c r="J16" s="30" t="str">
        <f aca="false">IF(OR($G16="",$I16="",NOT(ISNUMBER($G16))),"",IF($I16="Maund",ROUND($G16/37.32,2),$G16))</f>
        <v/>
      </c>
      <c r="K16" s="30" t="str">
        <f aca="false">IF(OR($H16="",$I16="",NOT(ISNUMBER($H16))),"",IF($I16="Maund",ROUND($H16/37.32,2),$H16))</f>
        <v/>
      </c>
      <c r="L16" s="29"/>
      <c r="M16" s="21"/>
      <c r="N16" s="30" t="str">
        <f aca="false">IF(OR($L16="",$M16="",NOT(ISNUMBER($L16))),"",IF($M16="Maund",ROUND($L16*37.32,2),$L16))</f>
        <v/>
      </c>
      <c r="O16" s="21"/>
      <c r="P16" s="22"/>
    </row>
    <row r="17" customFormat="false" ht="19.5" hidden="false" customHeight="true" outlineLevel="0" collapsed="false">
      <c r="B17" s="28" t="s">
        <v>405</v>
      </c>
      <c r="C17" s="21"/>
      <c r="D17" s="21"/>
      <c r="E17" s="21"/>
      <c r="F17" s="21"/>
      <c r="G17" s="29"/>
      <c r="H17" s="29"/>
      <c r="I17" s="21"/>
      <c r="J17" s="30" t="str">
        <f aca="false">IF(OR($G17="",$I17="",NOT(ISNUMBER($G17))),"",IF($I17="Maund",ROUND($G17/37.32,2),$G17))</f>
        <v/>
      </c>
      <c r="K17" s="30" t="str">
        <f aca="false">IF(OR($H17="",$I17="",NOT(ISNUMBER($H17))),"",IF($I17="Maund",ROUND($H17/37.32,2),$H17))</f>
        <v/>
      </c>
      <c r="L17" s="29"/>
      <c r="M17" s="21"/>
      <c r="N17" s="30" t="str">
        <f aca="false">IF(OR($L17="",$M17="",NOT(ISNUMBER($L17))),"",IF($M17="Maund",ROUND($L17*37.32,2),$L17))</f>
        <v/>
      </c>
      <c r="O17" s="21"/>
      <c r="P17" s="22"/>
    </row>
    <row r="18" customFormat="false" ht="19.5" hidden="false" customHeight="true" outlineLevel="0" collapsed="false">
      <c r="B18" s="28" t="s">
        <v>406</v>
      </c>
      <c r="C18" s="21"/>
      <c r="D18" s="21"/>
      <c r="E18" s="21"/>
      <c r="F18" s="21"/>
      <c r="G18" s="29"/>
      <c r="H18" s="29"/>
      <c r="I18" s="21"/>
      <c r="J18" s="30" t="str">
        <f aca="false">IF(OR($G18="",$I18="",NOT(ISNUMBER($G18))),"",IF($I18="Maund",ROUND($G18/37.32,2),$G18))</f>
        <v/>
      </c>
      <c r="K18" s="30" t="str">
        <f aca="false">IF(OR($H18="",$I18="",NOT(ISNUMBER($H18))),"",IF($I18="Maund",ROUND($H18/37.32,2),$H18))</f>
        <v/>
      </c>
      <c r="L18" s="29"/>
      <c r="M18" s="21"/>
      <c r="N18" s="30" t="str">
        <f aca="false">IF(OR($L18="",$M18="",NOT(ISNUMBER($L18))),"",IF($M18="Maund",ROUND($L18*37.32,2),$L18))</f>
        <v/>
      </c>
      <c r="O18" s="21"/>
      <c r="P18" s="22"/>
    </row>
    <row r="19" customFormat="false" ht="19.5" hidden="false" customHeight="true" outlineLevel="0" collapsed="false">
      <c r="B19" s="28" t="s">
        <v>407</v>
      </c>
      <c r="C19" s="21"/>
      <c r="D19" s="21"/>
      <c r="E19" s="21"/>
      <c r="F19" s="21"/>
      <c r="G19" s="29"/>
      <c r="H19" s="29"/>
      <c r="I19" s="21"/>
      <c r="J19" s="30" t="str">
        <f aca="false">IF(OR($G19="",$I19="",NOT(ISNUMBER($G19))),"",IF($I19="Maund",ROUND($G19/37.32,2),$G19))</f>
        <v/>
      </c>
      <c r="K19" s="30" t="str">
        <f aca="false">IF(OR($H19="",$I19="",NOT(ISNUMBER($H19))),"",IF($I19="Maund",ROUND($H19/37.32,2),$H19))</f>
        <v/>
      </c>
      <c r="L19" s="29"/>
      <c r="M19" s="21"/>
      <c r="N19" s="30" t="str">
        <f aca="false">IF(OR($L19="",$M19="",NOT(ISNUMBER($L19))),"",IF($M19="Maund",ROUND($L19*37.32,2),$L19))</f>
        <v/>
      </c>
      <c r="O19" s="21"/>
      <c r="P19" s="22"/>
    </row>
    <row r="20" customFormat="false" ht="19.5" hidden="false" customHeight="true" outlineLevel="0" collapsed="false">
      <c r="B20" s="28" t="s">
        <v>408</v>
      </c>
      <c r="C20" s="21"/>
      <c r="D20" s="21"/>
      <c r="E20" s="21"/>
      <c r="F20" s="21"/>
      <c r="G20" s="29"/>
      <c r="H20" s="29"/>
      <c r="I20" s="21"/>
      <c r="J20" s="30" t="str">
        <f aca="false">IF(OR($G20="",$I20="",NOT(ISNUMBER($G20))),"",IF($I20="Maund",ROUND($G20/37.32,2),$G20))</f>
        <v/>
      </c>
      <c r="K20" s="30" t="str">
        <f aca="false">IF(OR($H20="",$I20="",NOT(ISNUMBER($H20))),"",IF($I20="Maund",ROUND($H20/37.32,2),$H20))</f>
        <v/>
      </c>
      <c r="L20" s="29"/>
      <c r="M20" s="21"/>
      <c r="N20" s="30" t="str">
        <f aca="false">IF(OR($L20="",$M20="",NOT(ISNUMBER($L20))),"",IF($M20="Maund",ROUND($L20*37.32,2),$L20))</f>
        <v/>
      </c>
      <c r="O20" s="21"/>
      <c r="P20" s="22"/>
    </row>
    <row r="21" customFormat="false" ht="19.5" hidden="false" customHeight="true" outlineLevel="0" collapsed="false">
      <c r="B21" s="28" t="s">
        <v>409</v>
      </c>
      <c r="C21" s="21"/>
      <c r="D21" s="21"/>
      <c r="E21" s="21"/>
      <c r="F21" s="21"/>
      <c r="G21" s="29"/>
      <c r="H21" s="29"/>
      <c r="I21" s="21"/>
      <c r="J21" s="30" t="str">
        <f aca="false">IF(OR($G21="",$I21="",NOT(ISNUMBER($G21))),"",IF($I21="Maund",ROUND($G21/37.32,2),$G21))</f>
        <v/>
      </c>
      <c r="K21" s="30" t="str">
        <f aca="false">IF(OR($H21="",$I21="",NOT(ISNUMBER($H21))),"",IF($I21="Maund",ROUND($H21/37.32,2),$H21))</f>
        <v/>
      </c>
      <c r="L21" s="29"/>
      <c r="M21" s="21"/>
      <c r="N21" s="30" t="str">
        <f aca="false">IF(OR($L21="",$M21="",NOT(ISNUMBER($L21))),"",IF($M21="Maund",ROUND($L21*37.32,2),$L21))</f>
        <v/>
      </c>
      <c r="O21" s="21"/>
      <c r="P21" s="22"/>
    </row>
    <row r="22" customFormat="false" ht="19.5" hidden="false" customHeight="true" outlineLevel="0" collapsed="false">
      <c r="B22" s="28" t="s">
        <v>410</v>
      </c>
      <c r="C22" s="21"/>
      <c r="D22" s="21"/>
      <c r="E22" s="21"/>
      <c r="F22" s="21"/>
      <c r="G22" s="29"/>
      <c r="H22" s="29"/>
      <c r="I22" s="21"/>
      <c r="J22" s="30" t="str">
        <f aca="false">IF(OR($G22="",$I22="",NOT(ISNUMBER($G22))),"",IF($I22="Maund",ROUND($G22/37.32,2),$G22))</f>
        <v/>
      </c>
      <c r="K22" s="30" t="str">
        <f aca="false">IF(OR($H22="",$I22="",NOT(ISNUMBER($H22))),"",IF($I22="Maund",ROUND($H22/37.32,2),$H22))</f>
        <v/>
      </c>
      <c r="L22" s="29"/>
      <c r="M22" s="21"/>
      <c r="N22" s="30" t="str">
        <f aca="false">IF(OR($L22="",$M22="",NOT(ISNUMBER($L22))),"",IF($M22="Maund",ROUND($L22*37.32,2),$L22))</f>
        <v/>
      </c>
      <c r="O22" s="21"/>
      <c r="P22" s="22"/>
    </row>
    <row r="23" customFormat="false" ht="19.5" hidden="false" customHeight="true" outlineLevel="0" collapsed="false">
      <c r="B23" s="28" t="s">
        <v>411</v>
      </c>
      <c r="C23" s="21"/>
      <c r="D23" s="21"/>
      <c r="E23" s="21"/>
      <c r="F23" s="21"/>
      <c r="G23" s="29"/>
      <c r="H23" s="29"/>
      <c r="I23" s="21"/>
      <c r="J23" s="30" t="str">
        <f aca="false">IF(OR($G23="",$I23="",NOT(ISNUMBER($G23))),"",IF($I23="Maund",ROUND($G23/37.32,2),$G23))</f>
        <v/>
      </c>
      <c r="K23" s="30" t="str">
        <f aca="false">IF(OR($H23="",$I23="",NOT(ISNUMBER($H23))),"",IF($I23="Maund",ROUND($H23/37.32,2),$H23))</f>
        <v/>
      </c>
      <c r="L23" s="29"/>
      <c r="M23" s="21"/>
      <c r="N23" s="30" t="str">
        <f aca="false">IF(OR($L23="",$M23="",NOT(ISNUMBER($L23))),"",IF($M23="Maund",ROUND($L23*37.32,2),$L23))</f>
        <v/>
      </c>
      <c r="O23" s="21"/>
      <c r="P23" s="22"/>
    </row>
    <row r="24" customFormat="false" ht="19.5" hidden="false" customHeight="true" outlineLevel="0" collapsed="false">
      <c r="B24" s="28" t="s">
        <v>412</v>
      </c>
      <c r="C24" s="21"/>
      <c r="D24" s="21"/>
      <c r="E24" s="21"/>
      <c r="F24" s="21"/>
      <c r="G24" s="29"/>
      <c r="H24" s="29"/>
      <c r="I24" s="21"/>
      <c r="J24" s="30" t="str">
        <f aca="false">IF(OR($G24="",$I24="",NOT(ISNUMBER($G24))),"",IF($I24="Maund",ROUND($G24/37.32,2),$G24))</f>
        <v/>
      </c>
      <c r="K24" s="30" t="str">
        <f aca="false">IF(OR($H24="",$I24="",NOT(ISNUMBER($H24))),"",IF($I24="Maund",ROUND($H24/37.32,2),$H24))</f>
        <v/>
      </c>
      <c r="L24" s="29"/>
      <c r="M24" s="21"/>
      <c r="N24" s="30" t="str">
        <f aca="false">IF(OR($L24="",$M24="",NOT(ISNUMBER($L24))),"",IF($M24="Maund",ROUND($L24*37.32,2),$L24))</f>
        <v/>
      </c>
      <c r="O24" s="21"/>
      <c r="P24" s="22"/>
    </row>
    <row r="25" customFormat="false" ht="19.5" hidden="false" customHeight="true" outlineLevel="0" collapsed="false">
      <c r="B25" s="28" t="s">
        <v>413</v>
      </c>
      <c r="C25" s="21"/>
      <c r="D25" s="21"/>
      <c r="E25" s="21"/>
      <c r="F25" s="21"/>
      <c r="G25" s="29"/>
      <c r="H25" s="29"/>
      <c r="I25" s="21"/>
      <c r="J25" s="30" t="str">
        <f aca="false">IF(OR($G25="",$I25="",NOT(ISNUMBER($G25))),"",IF($I25="Maund",ROUND($G25/37.32,2),$G25))</f>
        <v/>
      </c>
      <c r="K25" s="30" t="str">
        <f aca="false">IF(OR($H25="",$I25="",NOT(ISNUMBER($H25))),"",IF($I25="Maund",ROUND($H25/37.32,2),$H25))</f>
        <v/>
      </c>
      <c r="L25" s="29"/>
      <c r="M25" s="21"/>
      <c r="N25" s="30" t="str">
        <f aca="false">IF(OR($L25="",$M25="",NOT(ISNUMBER($L25))),"",IF($M25="Maund",ROUND($L25*37.32,2),$L25))</f>
        <v/>
      </c>
      <c r="O25" s="21"/>
      <c r="P25" s="22"/>
    </row>
    <row r="26" customFormat="false" ht="19.5" hidden="false" customHeight="true" outlineLevel="0" collapsed="false">
      <c r="B26" s="28" t="s">
        <v>414</v>
      </c>
      <c r="C26" s="21"/>
      <c r="D26" s="21"/>
      <c r="E26" s="21"/>
      <c r="F26" s="21"/>
      <c r="G26" s="29"/>
      <c r="H26" s="29"/>
      <c r="I26" s="21"/>
      <c r="J26" s="30" t="str">
        <f aca="false">IF(OR($G26="",$I26="",NOT(ISNUMBER($G26))),"",IF($I26="Maund",ROUND($G26/37.32,2),$G26))</f>
        <v/>
      </c>
      <c r="K26" s="30" t="str">
        <f aca="false">IF(OR($H26="",$I26="",NOT(ISNUMBER($H26))),"",IF($I26="Maund",ROUND($H26/37.32,2),$H26))</f>
        <v/>
      </c>
      <c r="L26" s="29"/>
      <c r="M26" s="21"/>
      <c r="N26" s="30" t="str">
        <f aca="false">IF(OR($L26="",$M26="",NOT(ISNUMBER($L26))),"",IF($M26="Maund",ROUND($L26*37.32,2),$L26))</f>
        <v/>
      </c>
      <c r="O26" s="21"/>
      <c r="P26" s="22"/>
    </row>
    <row r="27" customFormat="false" ht="19.5" hidden="false" customHeight="true" outlineLevel="0" collapsed="false">
      <c r="B27" s="28" t="s">
        <v>415</v>
      </c>
      <c r="C27" s="21"/>
      <c r="D27" s="21"/>
      <c r="E27" s="21"/>
      <c r="F27" s="21"/>
      <c r="G27" s="29"/>
      <c r="H27" s="29"/>
      <c r="I27" s="21"/>
      <c r="J27" s="30" t="str">
        <f aca="false">IF(OR($G27="",$I27="",NOT(ISNUMBER($G27))),"",IF($I27="Maund",ROUND($G27/37.32,2),$G27))</f>
        <v/>
      </c>
      <c r="K27" s="30" t="str">
        <f aca="false">IF(OR($H27="",$I27="",NOT(ISNUMBER($H27))),"",IF($I27="Maund",ROUND($H27/37.32,2),$H27))</f>
        <v/>
      </c>
      <c r="L27" s="29"/>
      <c r="M27" s="21"/>
      <c r="N27" s="30" t="str">
        <f aca="false">IF(OR($L27="",$M27="",NOT(ISNUMBER($L27))),"",IF($M27="Maund",ROUND($L27*37.32,2),$L27))</f>
        <v/>
      </c>
      <c r="O27" s="21"/>
      <c r="P27" s="22"/>
    </row>
    <row r="28" customFormat="false" ht="19.5" hidden="false" customHeight="true" outlineLevel="0" collapsed="false">
      <c r="B28" s="28" t="s">
        <v>416</v>
      </c>
      <c r="C28" s="21"/>
      <c r="D28" s="21"/>
      <c r="E28" s="21"/>
      <c r="F28" s="21"/>
      <c r="G28" s="29"/>
      <c r="H28" s="29"/>
      <c r="I28" s="21"/>
      <c r="J28" s="30" t="str">
        <f aca="false">IF(OR($G28="",$I28="",NOT(ISNUMBER($G28))),"",IF($I28="Maund",ROUND($G28/37.32,2),$G28))</f>
        <v/>
      </c>
      <c r="K28" s="30" t="str">
        <f aca="false">IF(OR($H28="",$I28="",NOT(ISNUMBER($H28))),"",IF($I28="Maund",ROUND($H28/37.32,2),$H28))</f>
        <v/>
      </c>
      <c r="L28" s="29"/>
      <c r="M28" s="21"/>
      <c r="N28" s="30" t="str">
        <f aca="false">IF(OR($L28="",$M28="",NOT(ISNUMBER($L28))),"",IF($M28="Maund",ROUND($L28*37.32,2),$L28))</f>
        <v/>
      </c>
      <c r="O28" s="21"/>
      <c r="P28" s="22"/>
    </row>
    <row r="29" customFormat="false" ht="19.5" hidden="false" customHeight="true" outlineLevel="0" collapsed="false">
      <c r="B29" s="28" t="s">
        <v>417</v>
      </c>
      <c r="C29" s="21"/>
      <c r="D29" s="21"/>
      <c r="E29" s="21"/>
      <c r="F29" s="21"/>
      <c r="G29" s="29"/>
      <c r="H29" s="29"/>
      <c r="I29" s="21"/>
      <c r="J29" s="30" t="str">
        <f aca="false">IF(OR($G29="",$I29="",NOT(ISNUMBER($G29))),"",IF($I29="Maund",ROUND($G29/37.32,2),$G29))</f>
        <v/>
      </c>
      <c r="K29" s="30" t="str">
        <f aca="false">IF(OR($H29="",$I29="",NOT(ISNUMBER($H29))),"",IF($I29="Maund",ROUND($H29/37.32,2),$H29))</f>
        <v/>
      </c>
      <c r="L29" s="29"/>
      <c r="M29" s="21"/>
      <c r="N29" s="30" t="str">
        <f aca="false">IF(OR($L29="",$M29="",NOT(ISNUMBER($L29))),"",IF($M29="Maund",ROUND($L29*37.32,2),$L29))</f>
        <v/>
      </c>
      <c r="O29" s="21"/>
      <c r="P29" s="22"/>
    </row>
    <row r="30" customFormat="false" ht="19.5" hidden="false" customHeight="true" outlineLevel="0" collapsed="false">
      <c r="B30" s="28" t="s">
        <v>418</v>
      </c>
      <c r="C30" s="21"/>
      <c r="D30" s="21"/>
      <c r="E30" s="21"/>
      <c r="F30" s="21"/>
      <c r="G30" s="29"/>
      <c r="H30" s="29"/>
      <c r="I30" s="21"/>
      <c r="J30" s="30" t="str">
        <f aca="false">IF(OR($G30="",$I30="",NOT(ISNUMBER($G30))),"",IF($I30="Maund",ROUND($G30/37.32,2),$G30))</f>
        <v/>
      </c>
      <c r="K30" s="30" t="str">
        <f aca="false">IF(OR($H30="",$I30="",NOT(ISNUMBER($H30))),"",IF($I30="Maund",ROUND($H30/37.32,2),$H30))</f>
        <v/>
      </c>
      <c r="L30" s="29"/>
      <c r="M30" s="21"/>
      <c r="N30" s="30" t="str">
        <f aca="false">IF(OR($L30="",$M30="",NOT(ISNUMBER($L30))),"",IF($M30="Maund",ROUND($L30*37.32,2),$L30))</f>
        <v/>
      </c>
      <c r="O30" s="21"/>
      <c r="P30" s="22"/>
    </row>
    <row r="31" customFormat="false" ht="19.5" hidden="false" customHeight="true" outlineLevel="0" collapsed="false">
      <c r="B31" s="28" t="s">
        <v>419</v>
      </c>
      <c r="C31" s="21"/>
      <c r="D31" s="21"/>
      <c r="E31" s="21"/>
      <c r="F31" s="21"/>
      <c r="G31" s="29"/>
      <c r="H31" s="29"/>
      <c r="I31" s="21"/>
      <c r="J31" s="30" t="str">
        <f aca="false">IF(OR($G31="",$I31="",NOT(ISNUMBER($G31))),"",IF($I31="Maund",ROUND($G31/37.32,2),$G31))</f>
        <v/>
      </c>
      <c r="K31" s="30" t="str">
        <f aca="false">IF(OR($H31="",$I31="",NOT(ISNUMBER($H31))),"",IF($I31="Maund",ROUND($H31/37.32,2),$H31))</f>
        <v/>
      </c>
      <c r="L31" s="29"/>
      <c r="M31" s="21"/>
      <c r="N31" s="30" t="str">
        <f aca="false">IF(OR($L31="",$M31="",NOT(ISNUMBER($L31))),"",IF($M31="Maund",ROUND($L31*37.32,2),$L31))</f>
        <v/>
      </c>
      <c r="O31" s="21"/>
      <c r="P31" s="22"/>
    </row>
    <row r="32" customFormat="false" ht="19.5" hidden="false" customHeight="true" outlineLevel="0" collapsed="false">
      <c r="B32" s="28" t="s">
        <v>420</v>
      </c>
      <c r="C32" s="21"/>
      <c r="D32" s="21"/>
      <c r="E32" s="21"/>
      <c r="F32" s="21"/>
      <c r="G32" s="29"/>
      <c r="H32" s="29"/>
      <c r="I32" s="21"/>
      <c r="J32" s="30" t="str">
        <f aca="false">IF(OR($G32="",$I32="",NOT(ISNUMBER($G32))),"",IF($I32="Maund",ROUND($G32/37.32,2),$G32))</f>
        <v/>
      </c>
      <c r="K32" s="30" t="str">
        <f aca="false">IF(OR($H32="",$I32="",NOT(ISNUMBER($H32))),"",IF($I32="Maund",ROUND($H32/37.32,2),$H32))</f>
        <v/>
      </c>
      <c r="L32" s="29"/>
      <c r="M32" s="21"/>
      <c r="N32" s="30" t="str">
        <f aca="false">IF(OR($L32="",$M32="",NOT(ISNUMBER($L32))),"",IF($M32="Maund",ROUND($L32*37.32,2),$L32))</f>
        <v/>
      </c>
      <c r="O32" s="21"/>
      <c r="P32" s="22"/>
    </row>
    <row r="33" customFormat="false" ht="19.5" hidden="false" customHeight="true" outlineLevel="0" collapsed="false">
      <c r="B33" s="28" t="s">
        <v>421</v>
      </c>
      <c r="C33" s="21"/>
      <c r="D33" s="21"/>
      <c r="E33" s="21"/>
      <c r="F33" s="21"/>
      <c r="G33" s="29"/>
      <c r="H33" s="29"/>
      <c r="I33" s="21"/>
      <c r="J33" s="30" t="str">
        <f aca="false">IF(OR($G33="",$I33="",NOT(ISNUMBER($G33))),"",IF($I33="Maund",ROUND($G33/37.32,2),$G33))</f>
        <v/>
      </c>
      <c r="K33" s="30" t="str">
        <f aca="false">IF(OR($H33="",$I33="",NOT(ISNUMBER($H33))),"",IF($I33="Maund",ROUND($H33/37.32,2),$H33))</f>
        <v/>
      </c>
      <c r="L33" s="29"/>
      <c r="M33" s="21"/>
      <c r="N33" s="30" t="str">
        <f aca="false">IF(OR($L33="",$M33="",NOT(ISNUMBER($L33))),"",IF($M33="Maund",ROUND($L33*37.32,2),$L33))</f>
        <v/>
      </c>
      <c r="O33" s="21"/>
      <c r="P33" s="22"/>
    </row>
    <row r="34" customFormat="false" ht="19.5" hidden="false" customHeight="true" outlineLevel="0" collapsed="false">
      <c r="B34" s="28" t="s">
        <v>422</v>
      </c>
      <c r="C34" s="21"/>
      <c r="D34" s="21"/>
      <c r="E34" s="21"/>
      <c r="F34" s="21"/>
      <c r="G34" s="29"/>
      <c r="H34" s="29"/>
      <c r="I34" s="21"/>
      <c r="J34" s="30" t="str">
        <f aca="false">IF(OR($G34="",$I34="",NOT(ISNUMBER($G34))),"",IF($I34="Maund",ROUND($G34/37.32,2),$G34))</f>
        <v/>
      </c>
      <c r="K34" s="30" t="str">
        <f aca="false">IF(OR($H34="",$I34="",NOT(ISNUMBER($H34))),"",IF($I34="Maund",ROUND($H34/37.32,2),$H34))</f>
        <v/>
      </c>
      <c r="L34" s="29"/>
      <c r="M34" s="21"/>
      <c r="N34" s="30" t="str">
        <f aca="false">IF(OR($L34="",$M34="",NOT(ISNUMBER($L34))),"",IF($M34="Maund",ROUND($L34*37.32,2),$L34))</f>
        <v/>
      </c>
      <c r="O34" s="21"/>
      <c r="P34" s="22"/>
    </row>
    <row r="35" customFormat="false" ht="19.5" hidden="false" customHeight="true" outlineLevel="0" collapsed="false">
      <c r="B35" s="28" t="s">
        <v>423</v>
      </c>
      <c r="C35" s="21"/>
      <c r="D35" s="21"/>
      <c r="E35" s="21"/>
      <c r="F35" s="21"/>
      <c r="G35" s="29"/>
      <c r="H35" s="29"/>
      <c r="I35" s="21"/>
      <c r="J35" s="30" t="str">
        <f aca="false">IF(OR($G35="",$I35="",NOT(ISNUMBER($G35))),"",IF($I35="Maund",ROUND($G35/37.32,2),$G35))</f>
        <v/>
      </c>
      <c r="K35" s="30" t="str">
        <f aca="false">IF(OR($H35="",$I35="",NOT(ISNUMBER($H35))),"",IF($I35="Maund",ROUND($H35/37.32,2),$H35))</f>
        <v/>
      </c>
      <c r="L35" s="29"/>
      <c r="M35" s="21"/>
      <c r="N35" s="30" t="str">
        <f aca="false">IF(OR($L35="",$M35="",NOT(ISNUMBER($L35))),"",IF($M35="Maund",ROUND($L35*37.32,2),$L35))</f>
        <v/>
      </c>
      <c r="O35" s="21"/>
      <c r="P35" s="22"/>
    </row>
    <row r="36" customFormat="false" ht="19.5" hidden="false" customHeight="true" outlineLevel="0" collapsed="false">
      <c r="B36" s="28" t="s">
        <v>424</v>
      </c>
      <c r="C36" s="21"/>
      <c r="D36" s="21"/>
      <c r="E36" s="21"/>
      <c r="F36" s="21"/>
      <c r="G36" s="29"/>
      <c r="H36" s="29"/>
      <c r="I36" s="21"/>
      <c r="J36" s="30" t="str">
        <f aca="false">IF(OR($G36="",$I36="",NOT(ISNUMBER($G36))),"",IF($I36="Maund",ROUND($G36/37.32,2),$G36))</f>
        <v/>
      </c>
      <c r="K36" s="30" t="str">
        <f aca="false">IF(OR($H36="",$I36="",NOT(ISNUMBER($H36))),"",IF($I36="Maund",ROUND($H36/37.32,2),$H36))</f>
        <v/>
      </c>
      <c r="L36" s="29"/>
      <c r="M36" s="21"/>
      <c r="N36" s="30" t="str">
        <f aca="false">IF(OR($L36="",$M36="",NOT(ISNUMBER($L36))),"",IF($M36="Maund",ROUND($L36*37.32,2),$L36))</f>
        <v/>
      </c>
      <c r="O36" s="21"/>
      <c r="P36" s="22"/>
    </row>
    <row r="37" customFormat="false" ht="19.5" hidden="false" customHeight="true" outlineLevel="0" collapsed="false">
      <c r="B37" s="28" t="s">
        <v>425</v>
      </c>
      <c r="C37" s="21"/>
      <c r="D37" s="21"/>
      <c r="E37" s="21"/>
      <c r="F37" s="21"/>
      <c r="G37" s="29"/>
      <c r="H37" s="29"/>
      <c r="I37" s="21"/>
      <c r="J37" s="30" t="str">
        <f aca="false">IF(OR($G37="",$I37="",NOT(ISNUMBER($G37))),"",IF($I37="Maund",ROUND($G37/37.32,2),$G37))</f>
        <v/>
      </c>
      <c r="K37" s="30" t="str">
        <f aca="false">IF(OR($H37="",$I37="",NOT(ISNUMBER($H37))),"",IF($I37="Maund",ROUND($H37/37.32,2),$H37))</f>
        <v/>
      </c>
      <c r="L37" s="29"/>
      <c r="M37" s="21"/>
      <c r="N37" s="30" t="str">
        <f aca="false">IF(OR($L37="",$M37="",NOT(ISNUMBER($L37))),"",IF($M37="Maund",ROUND($L37*37.32,2),$L37))</f>
        <v/>
      </c>
      <c r="O37" s="21"/>
      <c r="P37" s="22"/>
    </row>
    <row r="38" customFormat="false" ht="19.5" hidden="false" customHeight="true" outlineLevel="0" collapsed="false">
      <c r="B38" s="28" t="s">
        <v>426</v>
      </c>
      <c r="C38" s="21"/>
      <c r="D38" s="21"/>
      <c r="E38" s="21"/>
      <c r="F38" s="21"/>
      <c r="G38" s="29"/>
      <c r="H38" s="29"/>
      <c r="I38" s="21"/>
      <c r="J38" s="30" t="str">
        <f aca="false">IF(OR($G38="",$I38="",NOT(ISNUMBER($G38))),"",IF($I38="Maund",ROUND($G38/37.32,2),$G38))</f>
        <v/>
      </c>
      <c r="K38" s="30" t="str">
        <f aca="false">IF(OR($H38="",$I38="",NOT(ISNUMBER($H38))),"",IF($I38="Maund",ROUND($H38/37.32,2),$H38))</f>
        <v/>
      </c>
      <c r="L38" s="29"/>
      <c r="M38" s="21"/>
      <c r="N38" s="30" t="str">
        <f aca="false">IF(OR($L38="",$M38="",NOT(ISNUMBER($L38))),"",IF($M38="Maund",ROUND($L38*37.32,2),$L38))</f>
        <v/>
      </c>
      <c r="O38" s="21"/>
      <c r="P38" s="22"/>
    </row>
    <row r="39" customFormat="false" ht="19.5" hidden="false" customHeight="true" outlineLevel="0" collapsed="false">
      <c r="B39" s="28" t="s">
        <v>427</v>
      </c>
      <c r="C39" s="21"/>
      <c r="D39" s="21"/>
      <c r="E39" s="21"/>
      <c r="F39" s="21"/>
      <c r="G39" s="29"/>
      <c r="H39" s="29"/>
      <c r="I39" s="21"/>
      <c r="J39" s="30" t="str">
        <f aca="false">IF(OR($G39="",$I39="",NOT(ISNUMBER($G39))),"",IF($I39="Maund",ROUND($G39/37.32,2),$G39))</f>
        <v/>
      </c>
      <c r="K39" s="30" t="str">
        <f aca="false">IF(OR($H39="",$I39="",NOT(ISNUMBER($H39))),"",IF($I39="Maund",ROUND($H39/37.32,2),$H39))</f>
        <v/>
      </c>
      <c r="L39" s="29"/>
      <c r="M39" s="21"/>
      <c r="N39" s="30" t="str">
        <f aca="false">IF(OR($L39="",$M39="",NOT(ISNUMBER($L39))),"",IF($M39="Maund",ROUND($L39*37.32,2),$L39))</f>
        <v/>
      </c>
      <c r="O39" s="21"/>
      <c r="P39" s="22"/>
    </row>
    <row r="40" customFormat="false" ht="19.5" hidden="false" customHeight="true" outlineLevel="0" collapsed="false">
      <c r="B40" s="28" t="s">
        <v>428</v>
      </c>
      <c r="C40" s="21"/>
      <c r="D40" s="21"/>
      <c r="E40" s="21"/>
      <c r="F40" s="21"/>
      <c r="G40" s="29"/>
      <c r="H40" s="29"/>
      <c r="I40" s="21"/>
      <c r="J40" s="30" t="str">
        <f aca="false">IF(OR($G40="",$I40="",NOT(ISNUMBER($G40))),"",IF($I40="Maund",ROUND($G40/37.32,2),$G40))</f>
        <v/>
      </c>
      <c r="K40" s="30" t="str">
        <f aca="false">IF(OR($H40="",$I40="",NOT(ISNUMBER($H40))),"",IF($I40="Maund",ROUND($H40/37.32,2),$H40))</f>
        <v/>
      </c>
      <c r="L40" s="29"/>
      <c r="M40" s="21"/>
      <c r="N40" s="30" t="str">
        <f aca="false">IF(OR($L40="",$M40="",NOT(ISNUMBER($L40))),"",IF($M40="Maund",ROUND($L40*37.32,2),$L40))</f>
        <v/>
      </c>
      <c r="O40" s="21"/>
      <c r="P40" s="22"/>
    </row>
    <row r="41" customFormat="false" ht="19.5" hidden="false" customHeight="true" outlineLevel="0" collapsed="false">
      <c r="B41" s="28" t="s">
        <v>429</v>
      </c>
      <c r="C41" s="21"/>
      <c r="D41" s="21"/>
      <c r="E41" s="21"/>
      <c r="F41" s="21"/>
      <c r="G41" s="29"/>
      <c r="H41" s="29"/>
      <c r="I41" s="21"/>
      <c r="J41" s="30" t="str">
        <f aca="false">IF(OR($G41="",$I41="",NOT(ISNUMBER($G41))),"",IF($I41="Maund",ROUND($G41/37.32,2),$G41))</f>
        <v/>
      </c>
      <c r="K41" s="30" t="str">
        <f aca="false">IF(OR($H41="",$I41="",NOT(ISNUMBER($H41))),"",IF($I41="Maund",ROUND($H41/37.32,2),$H41))</f>
        <v/>
      </c>
      <c r="L41" s="29"/>
      <c r="M41" s="21"/>
      <c r="N41" s="30" t="str">
        <f aca="false">IF(OR($L41="",$M41="",NOT(ISNUMBER($L41))),"",IF($M41="Maund",ROUND($L41*37.32,2),$L41))</f>
        <v/>
      </c>
      <c r="O41" s="21"/>
      <c r="P41" s="22"/>
    </row>
    <row r="42" customFormat="false" ht="19.5" hidden="false" customHeight="true" outlineLevel="0" collapsed="false">
      <c r="B42" s="28" t="s">
        <v>430</v>
      </c>
      <c r="C42" s="21"/>
      <c r="D42" s="21"/>
      <c r="E42" s="21"/>
      <c r="F42" s="21"/>
      <c r="G42" s="29"/>
      <c r="H42" s="29"/>
      <c r="I42" s="21"/>
      <c r="J42" s="30" t="str">
        <f aca="false">IF(OR($G42="",$I42="",NOT(ISNUMBER($G42))),"",IF($I42="Maund",ROUND($G42/37.32,2),$G42))</f>
        <v/>
      </c>
      <c r="K42" s="30" t="str">
        <f aca="false">IF(OR($H42="",$I42="",NOT(ISNUMBER($H42))),"",IF($I42="Maund",ROUND($H42/37.32,2),$H42))</f>
        <v/>
      </c>
      <c r="L42" s="29"/>
      <c r="M42" s="21"/>
      <c r="N42" s="30" t="str">
        <f aca="false">IF(OR($L42="",$M42="",NOT(ISNUMBER($L42))),"",IF($M42="Maund",ROUND($L42*37.32,2),$L42))</f>
        <v/>
      </c>
      <c r="O42" s="21"/>
      <c r="P42" s="22"/>
    </row>
    <row r="43" customFormat="false" ht="19.5" hidden="false" customHeight="true" outlineLevel="0" collapsed="false">
      <c r="B43" s="28" t="s">
        <v>431</v>
      </c>
      <c r="C43" s="21"/>
      <c r="D43" s="21"/>
      <c r="E43" s="21"/>
      <c r="F43" s="21"/>
      <c r="G43" s="29"/>
      <c r="H43" s="29"/>
      <c r="I43" s="21"/>
      <c r="J43" s="30" t="str">
        <f aca="false">IF(OR($G43="",$I43="",NOT(ISNUMBER($G43))),"",IF($I43="Maund",ROUND($G43/37.32,2),$G43))</f>
        <v/>
      </c>
      <c r="K43" s="30" t="str">
        <f aca="false">IF(OR($H43="",$I43="",NOT(ISNUMBER($H43))),"",IF($I43="Maund",ROUND($H43/37.32,2),$H43))</f>
        <v/>
      </c>
      <c r="L43" s="29"/>
      <c r="M43" s="21"/>
      <c r="N43" s="30" t="str">
        <f aca="false">IF(OR($L43="",$M43="",NOT(ISNUMBER($L43))),"",IF($M43="Maund",ROUND($L43*37.32,2),$L43))</f>
        <v/>
      </c>
      <c r="O43" s="21"/>
      <c r="P43" s="22"/>
    </row>
    <row r="44" customFormat="false" ht="19.5" hidden="false" customHeight="true" outlineLevel="0" collapsed="false">
      <c r="B44" s="28" t="s">
        <v>432</v>
      </c>
      <c r="C44" s="21"/>
      <c r="D44" s="21"/>
      <c r="E44" s="21"/>
      <c r="F44" s="21"/>
      <c r="G44" s="29"/>
      <c r="H44" s="29"/>
      <c r="I44" s="21"/>
      <c r="J44" s="30" t="str">
        <f aca="false">IF(OR($G44="",$I44="",NOT(ISNUMBER($G44))),"",IF($I44="Maund",ROUND($G44/37.32,2),$G44))</f>
        <v/>
      </c>
      <c r="K44" s="30" t="str">
        <f aca="false">IF(OR($H44="",$I44="",NOT(ISNUMBER($H44))),"",IF($I44="Maund",ROUND($H44/37.32,2),$H44))</f>
        <v/>
      </c>
      <c r="L44" s="29"/>
      <c r="M44" s="21"/>
      <c r="N44" s="30" t="str">
        <f aca="false">IF(OR($L44="",$M44="",NOT(ISNUMBER($L44))),"",IF($M44="Maund",ROUND($L44*37.32,2),$L44))</f>
        <v/>
      </c>
      <c r="O44" s="21"/>
      <c r="P44" s="22"/>
    </row>
    <row r="45" customFormat="false" ht="19.5" hidden="false" customHeight="true" outlineLevel="0" collapsed="false">
      <c r="B45" s="28" t="s">
        <v>433</v>
      </c>
      <c r="C45" s="21"/>
      <c r="D45" s="21"/>
      <c r="E45" s="21"/>
      <c r="F45" s="21"/>
      <c r="G45" s="29"/>
      <c r="H45" s="29"/>
      <c r="I45" s="21"/>
      <c r="J45" s="30" t="str">
        <f aca="false">IF(OR($G45="",$I45="",NOT(ISNUMBER($G45))),"",IF($I45="Maund",ROUND($G45/37.32,2),$G45))</f>
        <v/>
      </c>
      <c r="K45" s="30" t="str">
        <f aca="false">IF(OR($H45="",$I45="",NOT(ISNUMBER($H45))),"",IF($I45="Maund",ROUND($H45/37.32,2),$H45))</f>
        <v/>
      </c>
      <c r="L45" s="29"/>
      <c r="M45" s="21"/>
      <c r="N45" s="30" t="str">
        <f aca="false">IF(OR($L45="",$M45="",NOT(ISNUMBER($L45))),"",IF($M45="Maund",ROUND($L45*37.32,2),$L45))</f>
        <v/>
      </c>
      <c r="O45" s="21"/>
      <c r="P45" s="22"/>
    </row>
    <row r="46" customFormat="false" ht="19.5" hidden="false" customHeight="true" outlineLevel="0" collapsed="false">
      <c r="B46" s="28" t="s">
        <v>434</v>
      </c>
      <c r="C46" s="21"/>
      <c r="D46" s="21"/>
      <c r="E46" s="21"/>
      <c r="F46" s="21"/>
      <c r="G46" s="29"/>
      <c r="H46" s="29"/>
      <c r="I46" s="21"/>
      <c r="J46" s="30" t="str">
        <f aca="false">IF(OR($G46="",$I46="",NOT(ISNUMBER($G46))),"",IF($I46="Maund",ROUND($G46/37.32,2),$G46))</f>
        <v/>
      </c>
      <c r="K46" s="30" t="str">
        <f aca="false">IF(OR($H46="",$I46="",NOT(ISNUMBER($H46))),"",IF($I46="Maund",ROUND($H46/37.32,2),$H46))</f>
        <v/>
      </c>
      <c r="L46" s="29"/>
      <c r="M46" s="21"/>
      <c r="N46" s="30" t="str">
        <f aca="false">IF(OR($L46="",$M46="",NOT(ISNUMBER($L46))),"",IF($M46="Maund",ROUND($L46*37.32,2),$L46))</f>
        <v/>
      </c>
      <c r="O46" s="21"/>
      <c r="P46" s="22"/>
    </row>
    <row r="47" customFormat="false" ht="19.5" hidden="false" customHeight="true" outlineLevel="0" collapsed="false">
      <c r="B47" s="28" t="s">
        <v>435</v>
      </c>
      <c r="C47" s="21"/>
      <c r="D47" s="21"/>
      <c r="E47" s="21"/>
      <c r="F47" s="21"/>
      <c r="G47" s="29"/>
      <c r="H47" s="29"/>
      <c r="I47" s="21"/>
      <c r="J47" s="30" t="str">
        <f aca="false">IF(OR($G47="",$I47="",NOT(ISNUMBER($G47))),"",IF($I47="Maund",ROUND($G47/37.32,2),$G47))</f>
        <v/>
      </c>
      <c r="K47" s="30" t="str">
        <f aca="false">IF(OR($H47="",$I47="",NOT(ISNUMBER($H47))),"",IF($I47="Maund",ROUND($H47/37.32,2),$H47))</f>
        <v/>
      </c>
      <c r="L47" s="29"/>
      <c r="M47" s="21"/>
      <c r="N47" s="30" t="str">
        <f aca="false">IF(OR($L47="",$M47="",NOT(ISNUMBER($L47))),"",IF($M47="Maund",ROUND($L47*37.32,2),$L47))</f>
        <v/>
      </c>
      <c r="O47" s="21"/>
      <c r="P47" s="22"/>
    </row>
    <row r="48" customFormat="false" ht="19.5" hidden="false" customHeight="true" outlineLevel="0" collapsed="false">
      <c r="B48" s="28" t="s">
        <v>436</v>
      </c>
      <c r="C48" s="21"/>
      <c r="D48" s="21"/>
      <c r="E48" s="21"/>
      <c r="F48" s="21"/>
      <c r="G48" s="29"/>
      <c r="H48" s="29"/>
      <c r="I48" s="21"/>
      <c r="J48" s="30" t="str">
        <f aca="false">IF(OR($G48="",$I48="",NOT(ISNUMBER($G48))),"",IF($I48="Maund",ROUND($G48/37.32,2),$G48))</f>
        <v/>
      </c>
      <c r="K48" s="30" t="str">
        <f aca="false">IF(OR($H48="",$I48="",NOT(ISNUMBER($H48))),"",IF($I48="Maund",ROUND($H48/37.32,2),$H48))</f>
        <v/>
      </c>
      <c r="L48" s="29"/>
      <c r="M48" s="21"/>
      <c r="N48" s="30" t="str">
        <f aca="false">IF(OR($L48="",$M48="",NOT(ISNUMBER($L48))),"",IF($M48="Maund",ROUND($L48*37.32,2),$L48))</f>
        <v/>
      </c>
      <c r="O48" s="21"/>
      <c r="P48" s="22"/>
    </row>
    <row r="49" customFormat="false" ht="19.5" hidden="false" customHeight="true" outlineLevel="0" collapsed="false">
      <c r="B49" s="28" t="s">
        <v>437</v>
      </c>
      <c r="C49" s="21"/>
      <c r="D49" s="21"/>
      <c r="E49" s="21"/>
      <c r="F49" s="21"/>
      <c r="G49" s="29"/>
      <c r="H49" s="29"/>
      <c r="I49" s="21"/>
      <c r="J49" s="30" t="str">
        <f aca="false">IF(OR($G49="",$I49="",NOT(ISNUMBER($G49))),"",IF($I49="Maund",ROUND($G49/37.32,2),$G49))</f>
        <v/>
      </c>
      <c r="K49" s="30" t="str">
        <f aca="false">IF(OR($H49="",$I49="",NOT(ISNUMBER($H49))),"",IF($I49="Maund",ROUND($H49/37.32,2),$H49))</f>
        <v/>
      </c>
      <c r="L49" s="29"/>
      <c r="M49" s="21"/>
      <c r="N49" s="30" t="str">
        <f aca="false">IF(OR($L49="",$M49="",NOT(ISNUMBER($L49))),"",IF($M49="Maund",ROUND($L49*37.32,2),$L49))</f>
        <v/>
      </c>
      <c r="O49" s="21"/>
      <c r="P49" s="22"/>
    </row>
    <row r="50" customFormat="false" ht="19.5" hidden="false" customHeight="true" outlineLevel="0" collapsed="false">
      <c r="B50" s="28" t="s">
        <v>438</v>
      </c>
      <c r="C50" s="21"/>
      <c r="D50" s="21"/>
      <c r="E50" s="21"/>
      <c r="F50" s="21"/>
      <c r="G50" s="29"/>
      <c r="H50" s="29"/>
      <c r="I50" s="21"/>
      <c r="J50" s="30" t="str">
        <f aca="false">IF(OR($G50="",$I50="",NOT(ISNUMBER($G50))),"",IF($I50="Maund",ROUND($G50/37.32,2),$G50))</f>
        <v/>
      </c>
      <c r="K50" s="30" t="str">
        <f aca="false">IF(OR($H50="",$I50="",NOT(ISNUMBER($H50))),"",IF($I50="Maund",ROUND($H50/37.32,2),$H50))</f>
        <v/>
      </c>
      <c r="L50" s="29"/>
      <c r="M50" s="21"/>
      <c r="N50" s="30" t="str">
        <f aca="false">IF(OR($L50="",$M50="",NOT(ISNUMBER($L50))),"",IF($M50="Maund",ROUND($L50*37.32,2),$L50))</f>
        <v/>
      </c>
      <c r="O50" s="21"/>
      <c r="P50" s="22"/>
    </row>
    <row r="51" customFormat="false" ht="19.5" hidden="false" customHeight="true" outlineLevel="0" collapsed="false">
      <c r="B51" s="28" t="s">
        <v>439</v>
      </c>
      <c r="C51" s="21"/>
      <c r="D51" s="21"/>
      <c r="E51" s="21"/>
      <c r="F51" s="21"/>
      <c r="G51" s="29"/>
      <c r="H51" s="29"/>
      <c r="I51" s="21"/>
      <c r="J51" s="30" t="str">
        <f aca="false">IF(OR($G51="",$I51="",NOT(ISNUMBER($G51))),"",IF($I51="Maund",ROUND($G51/37.32,2),$G51))</f>
        <v/>
      </c>
      <c r="K51" s="30" t="str">
        <f aca="false">IF(OR($H51="",$I51="",NOT(ISNUMBER($H51))),"",IF($I51="Maund",ROUND($H51/37.32,2),$H51))</f>
        <v/>
      </c>
      <c r="L51" s="29"/>
      <c r="M51" s="21"/>
      <c r="N51" s="30" t="str">
        <f aca="false">IF(OR($L51="",$M51="",NOT(ISNUMBER($L51))),"",IF($M51="Maund",ROUND($L51*37.32,2),$L51))</f>
        <v/>
      </c>
      <c r="O51" s="21"/>
      <c r="P51" s="22"/>
    </row>
    <row r="52" customFormat="false" ht="19.5" hidden="false" customHeight="true" outlineLevel="0" collapsed="false">
      <c r="B52" s="28" t="s">
        <v>440</v>
      </c>
      <c r="C52" s="21"/>
      <c r="D52" s="21"/>
      <c r="E52" s="21"/>
      <c r="F52" s="21"/>
      <c r="G52" s="29"/>
      <c r="H52" s="29"/>
      <c r="I52" s="21"/>
      <c r="J52" s="30" t="str">
        <f aca="false">IF(OR($G52="",$I52="",NOT(ISNUMBER($G52))),"",IF($I52="Maund",ROUND($G52/37.32,2),$G52))</f>
        <v/>
      </c>
      <c r="K52" s="30" t="str">
        <f aca="false">IF(OR($H52="",$I52="",NOT(ISNUMBER($H52))),"",IF($I52="Maund",ROUND($H52/37.32,2),$H52))</f>
        <v/>
      </c>
      <c r="L52" s="29"/>
      <c r="M52" s="21"/>
      <c r="N52" s="30" t="str">
        <f aca="false">IF(OR($L52="",$M52="",NOT(ISNUMBER($L52))),"",IF($M52="Maund",ROUND($L52*37.32,2),$L52))</f>
        <v/>
      </c>
      <c r="O52" s="21"/>
      <c r="P52" s="22"/>
    </row>
    <row r="53" customFormat="false" ht="19.5" hidden="false" customHeight="true" outlineLevel="0" collapsed="false">
      <c r="B53" s="28" t="s">
        <v>441</v>
      </c>
      <c r="C53" s="21"/>
      <c r="D53" s="21"/>
      <c r="E53" s="21"/>
      <c r="F53" s="21"/>
      <c r="G53" s="29"/>
      <c r="H53" s="29"/>
      <c r="I53" s="21"/>
      <c r="J53" s="30" t="str">
        <f aca="false">IF(OR($G53="",$I53="",NOT(ISNUMBER($G53))),"",IF($I53="Maund",ROUND($G53/37.32,2),$G53))</f>
        <v/>
      </c>
      <c r="K53" s="30" t="str">
        <f aca="false">IF(OR($H53="",$I53="",NOT(ISNUMBER($H53))),"",IF($I53="Maund",ROUND($H53/37.32,2),$H53))</f>
        <v/>
      </c>
      <c r="L53" s="29"/>
      <c r="M53" s="21"/>
      <c r="N53" s="30" t="str">
        <f aca="false">IF(OR($L53="",$M53="",NOT(ISNUMBER($L53))),"",IF($M53="Maund",ROUND($L53*37.32,2),$L53))</f>
        <v/>
      </c>
      <c r="O53" s="21"/>
      <c r="P53" s="22"/>
    </row>
    <row r="54" customFormat="false" ht="19.5" hidden="false" customHeight="true" outlineLevel="0" collapsed="false">
      <c r="B54" s="28" t="s">
        <v>442</v>
      </c>
      <c r="C54" s="21"/>
      <c r="D54" s="21"/>
      <c r="E54" s="21"/>
      <c r="F54" s="21"/>
      <c r="G54" s="29"/>
      <c r="H54" s="29"/>
      <c r="I54" s="21"/>
      <c r="J54" s="30" t="str">
        <f aca="false">IF(OR($G54="",$I54="",NOT(ISNUMBER($G54))),"",IF($I54="Maund",ROUND($G54/37.32,2),$G54))</f>
        <v/>
      </c>
      <c r="K54" s="30" t="str">
        <f aca="false">IF(OR($H54="",$I54="",NOT(ISNUMBER($H54))),"",IF($I54="Maund",ROUND($H54/37.32,2),$H54))</f>
        <v/>
      </c>
      <c r="L54" s="29"/>
      <c r="M54" s="21"/>
      <c r="N54" s="30" t="str">
        <f aca="false">IF(OR($L54="",$M54="",NOT(ISNUMBER($L54))),"",IF($M54="Maund",ROUND($L54*37.32,2),$L54))</f>
        <v/>
      </c>
      <c r="O54" s="21"/>
      <c r="P54" s="22"/>
    </row>
    <row r="55" customFormat="false" ht="19.5" hidden="false" customHeight="true" outlineLevel="0" collapsed="false">
      <c r="B55" s="28" t="s">
        <v>443</v>
      </c>
      <c r="C55" s="21"/>
      <c r="D55" s="21"/>
      <c r="E55" s="21"/>
      <c r="F55" s="21"/>
      <c r="G55" s="29"/>
      <c r="H55" s="29"/>
      <c r="I55" s="21"/>
      <c r="J55" s="30" t="str">
        <f aca="false">IF(OR($G55="",$I55="",NOT(ISNUMBER($G55))),"",IF($I55="Maund",ROUND($G55/37.32,2),$G55))</f>
        <v/>
      </c>
      <c r="K55" s="30" t="str">
        <f aca="false">IF(OR($H55="",$I55="",NOT(ISNUMBER($H55))),"",IF($I55="Maund",ROUND($H55/37.32,2),$H55))</f>
        <v/>
      </c>
      <c r="L55" s="29"/>
      <c r="M55" s="21"/>
      <c r="N55" s="30" t="str">
        <f aca="false">IF(OR($L55="",$M55="",NOT(ISNUMBER($L55))),"",IF($M55="Maund",ROUND($L55*37.32,2),$L55))</f>
        <v/>
      </c>
      <c r="O55" s="21"/>
      <c r="P55" s="22"/>
    </row>
    <row r="56" customFormat="false" ht="19.5" hidden="false" customHeight="true" outlineLevel="0" collapsed="false">
      <c r="B56" s="28" t="s">
        <v>444</v>
      </c>
      <c r="C56" s="21"/>
      <c r="D56" s="21"/>
      <c r="E56" s="21"/>
      <c r="F56" s="21"/>
      <c r="G56" s="29"/>
      <c r="H56" s="29"/>
      <c r="I56" s="21"/>
      <c r="J56" s="30" t="str">
        <f aca="false">IF(OR($G56="",$I56="",NOT(ISNUMBER($G56))),"",IF($I56="Maund",ROUND($G56/37.32,2),$G56))</f>
        <v/>
      </c>
      <c r="K56" s="30" t="str">
        <f aca="false">IF(OR($H56="",$I56="",NOT(ISNUMBER($H56))),"",IF($I56="Maund",ROUND($H56/37.32,2),$H56))</f>
        <v/>
      </c>
      <c r="L56" s="29"/>
      <c r="M56" s="21"/>
      <c r="N56" s="30" t="str">
        <f aca="false">IF(OR($L56="",$M56="",NOT(ISNUMBER($L56))),"",IF($M56="Maund",ROUND($L56*37.32,2),$L56))</f>
        <v/>
      </c>
      <c r="O56" s="21"/>
      <c r="P56" s="22"/>
    </row>
    <row r="57" customFormat="false" ht="19.5" hidden="false" customHeight="true" outlineLevel="0" collapsed="false">
      <c r="B57" s="28" t="s">
        <v>445</v>
      </c>
      <c r="C57" s="21"/>
      <c r="D57" s="21"/>
      <c r="E57" s="21"/>
      <c r="F57" s="21"/>
      <c r="G57" s="29"/>
      <c r="H57" s="29"/>
      <c r="I57" s="21"/>
      <c r="J57" s="30" t="str">
        <f aca="false">IF(OR($G57="",$I57="",NOT(ISNUMBER($G57))),"",IF($I57="Maund",ROUND($G57/37.32,2),$G57))</f>
        <v/>
      </c>
      <c r="K57" s="30" t="str">
        <f aca="false">IF(OR($H57="",$I57="",NOT(ISNUMBER($H57))),"",IF($I57="Maund",ROUND($H57/37.32,2),$H57))</f>
        <v/>
      </c>
      <c r="L57" s="29"/>
      <c r="M57" s="21"/>
      <c r="N57" s="30" t="str">
        <f aca="false">IF(OR($L57="",$M57="",NOT(ISNUMBER($L57))),"",IF($M57="Maund",ROUND($L57*37.32,2),$L57))</f>
        <v/>
      </c>
      <c r="O57" s="21"/>
      <c r="P57" s="22"/>
    </row>
    <row r="58" customFormat="false" ht="19.5" hidden="false" customHeight="true" outlineLevel="0" collapsed="false">
      <c r="B58" s="28" t="s">
        <v>446</v>
      </c>
      <c r="C58" s="21"/>
      <c r="D58" s="21"/>
      <c r="E58" s="21"/>
      <c r="F58" s="21"/>
      <c r="G58" s="29"/>
      <c r="H58" s="29"/>
      <c r="I58" s="21"/>
      <c r="J58" s="30" t="str">
        <f aca="false">IF(OR($G58="",$I58="",NOT(ISNUMBER($G58))),"",IF($I58="Maund",ROUND($G58/37.32,2),$G58))</f>
        <v/>
      </c>
      <c r="K58" s="30" t="str">
        <f aca="false">IF(OR($H58="",$I58="",NOT(ISNUMBER($H58))),"",IF($I58="Maund",ROUND($H58/37.32,2),$H58))</f>
        <v/>
      </c>
      <c r="L58" s="29"/>
      <c r="M58" s="21"/>
      <c r="N58" s="30" t="str">
        <f aca="false">IF(OR($L58="",$M58="",NOT(ISNUMBER($L58))),"",IF($M58="Maund",ROUND($L58*37.32,2),$L58))</f>
        <v/>
      </c>
      <c r="O58" s="21"/>
      <c r="P58" s="22"/>
    </row>
    <row r="59" customFormat="false" ht="19.5" hidden="false" customHeight="true" outlineLevel="0" collapsed="false">
      <c r="B59" s="28" t="s">
        <v>447</v>
      </c>
      <c r="C59" s="21"/>
      <c r="D59" s="21"/>
      <c r="E59" s="21"/>
      <c r="F59" s="21"/>
      <c r="G59" s="29"/>
      <c r="H59" s="29"/>
      <c r="I59" s="21"/>
      <c r="J59" s="30" t="str">
        <f aca="false">IF(OR($G59="",$I59="",NOT(ISNUMBER($G59))),"",IF($I59="Maund",ROUND($G59/37.32,2),$G59))</f>
        <v/>
      </c>
      <c r="K59" s="30" t="str">
        <f aca="false">IF(OR($H59="",$I59="",NOT(ISNUMBER($H59))),"",IF($I59="Maund",ROUND($H59/37.32,2),$H59))</f>
        <v/>
      </c>
      <c r="L59" s="29"/>
      <c r="M59" s="21"/>
      <c r="N59" s="30" t="str">
        <f aca="false">IF(OR($L59="",$M59="",NOT(ISNUMBER($L59))),"",IF($M59="Maund",ROUND($L59*37.32,2),$L59))</f>
        <v/>
      </c>
      <c r="O59" s="21"/>
      <c r="P59" s="22"/>
    </row>
    <row r="60" customFormat="false" ht="19.5" hidden="false" customHeight="true" outlineLevel="0" collapsed="false">
      <c r="B60" s="28" t="s">
        <v>448</v>
      </c>
      <c r="C60" s="21"/>
      <c r="D60" s="21"/>
      <c r="E60" s="21"/>
      <c r="F60" s="21"/>
      <c r="G60" s="29"/>
      <c r="H60" s="29"/>
      <c r="I60" s="21"/>
      <c r="J60" s="30" t="str">
        <f aca="false">IF(OR($G60="",$I60="",NOT(ISNUMBER($G60))),"",IF($I60="Maund",ROUND($G60/37.32,2),$G60))</f>
        <v/>
      </c>
      <c r="K60" s="30" t="str">
        <f aca="false">IF(OR($H60="",$I60="",NOT(ISNUMBER($H60))),"",IF($I60="Maund",ROUND($H60/37.32,2),$H60))</f>
        <v/>
      </c>
      <c r="L60" s="29"/>
      <c r="M60" s="21"/>
      <c r="N60" s="30" t="str">
        <f aca="false">IF(OR($L60="",$M60="",NOT(ISNUMBER($L60))),"",IF($M60="Maund",ROUND($L60*37.32,2),$L60))</f>
        <v/>
      </c>
      <c r="O60" s="21"/>
      <c r="P60" s="22"/>
    </row>
    <row r="61" customFormat="false" ht="19.5" hidden="false" customHeight="true" outlineLevel="0" collapsed="false">
      <c r="B61" s="28" t="s">
        <v>449</v>
      </c>
      <c r="C61" s="21"/>
      <c r="D61" s="21"/>
      <c r="E61" s="21"/>
      <c r="F61" s="21"/>
      <c r="G61" s="29"/>
      <c r="H61" s="29"/>
      <c r="I61" s="21"/>
      <c r="J61" s="30" t="str">
        <f aca="false">IF(OR($G61="",$I61="",NOT(ISNUMBER($G61))),"",IF($I61="Maund",ROUND($G61/37.32,2),$G61))</f>
        <v/>
      </c>
      <c r="K61" s="30" t="str">
        <f aca="false">IF(OR($H61="",$I61="",NOT(ISNUMBER($H61))),"",IF($I61="Maund",ROUND($H61/37.32,2),$H61))</f>
        <v/>
      </c>
      <c r="L61" s="29"/>
      <c r="M61" s="21"/>
      <c r="N61" s="30" t="str">
        <f aca="false">IF(OR($L61="",$M61="",NOT(ISNUMBER($L61))),"",IF($M61="Maund",ROUND($L61*37.32,2),$L61))</f>
        <v/>
      </c>
      <c r="O61" s="21"/>
      <c r="P61" s="22"/>
    </row>
    <row r="62" customFormat="false" ht="19.5" hidden="false" customHeight="true" outlineLevel="0" collapsed="false">
      <c r="B62" s="28" t="s">
        <v>450</v>
      </c>
      <c r="C62" s="21"/>
      <c r="D62" s="21"/>
      <c r="E62" s="21"/>
      <c r="F62" s="21"/>
      <c r="G62" s="29"/>
      <c r="H62" s="29"/>
      <c r="I62" s="21"/>
      <c r="J62" s="30" t="str">
        <f aca="false">IF(OR($G62="",$I62="",NOT(ISNUMBER($G62))),"",IF($I62="Maund",ROUND($G62/37.32,2),$G62))</f>
        <v/>
      </c>
      <c r="K62" s="30" t="str">
        <f aca="false">IF(OR($H62="",$I62="",NOT(ISNUMBER($H62))),"",IF($I62="Maund",ROUND($H62/37.32,2),$H62))</f>
        <v/>
      </c>
      <c r="L62" s="29"/>
      <c r="M62" s="21"/>
      <c r="N62" s="30" t="str">
        <f aca="false">IF(OR($L62="",$M62="",NOT(ISNUMBER($L62))),"",IF($M62="Maund",ROUND($L62*37.32,2),$L62))</f>
        <v/>
      </c>
      <c r="O62" s="21"/>
      <c r="P62" s="22"/>
    </row>
    <row r="63" customFormat="false" ht="19.5" hidden="false" customHeight="true" outlineLevel="0" collapsed="false">
      <c r="B63" s="28" t="s">
        <v>451</v>
      </c>
      <c r="C63" s="21"/>
      <c r="D63" s="21"/>
      <c r="E63" s="21"/>
      <c r="F63" s="21"/>
      <c r="G63" s="29"/>
      <c r="H63" s="29"/>
      <c r="I63" s="21"/>
      <c r="J63" s="30" t="str">
        <f aca="false">IF(OR($G63="",$I63="",NOT(ISNUMBER($G63))),"",IF($I63="Maund",ROUND($G63/37.32,2),$G63))</f>
        <v/>
      </c>
      <c r="K63" s="30" t="str">
        <f aca="false">IF(OR($H63="",$I63="",NOT(ISNUMBER($H63))),"",IF($I63="Maund",ROUND($H63/37.32,2),$H63))</f>
        <v/>
      </c>
      <c r="L63" s="29"/>
      <c r="M63" s="21"/>
      <c r="N63" s="30" t="str">
        <f aca="false">IF(OR($L63="",$M63="",NOT(ISNUMBER($L63))),"",IF($M63="Maund",ROUND($L63*37.32,2),$L63))</f>
        <v/>
      </c>
      <c r="O63" s="21"/>
      <c r="P63" s="22"/>
    </row>
    <row r="64" customFormat="false" ht="19.5" hidden="false" customHeight="true" outlineLevel="0" collapsed="false">
      <c r="B64" s="28" t="s">
        <v>452</v>
      </c>
      <c r="C64" s="21"/>
      <c r="D64" s="21"/>
      <c r="E64" s="21"/>
      <c r="F64" s="21"/>
      <c r="G64" s="29"/>
      <c r="H64" s="29"/>
      <c r="I64" s="21"/>
      <c r="J64" s="30" t="str">
        <f aca="false">IF(OR($G64="",$I64="",NOT(ISNUMBER($G64))),"",IF($I64="Maund",ROUND($G64/37.32,2),$G64))</f>
        <v/>
      </c>
      <c r="K64" s="30" t="str">
        <f aca="false">IF(OR($H64="",$I64="",NOT(ISNUMBER($H64))),"",IF($I64="Maund",ROUND($H64/37.32,2),$H64))</f>
        <v/>
      </c>
      <c r="L64" s="29"/>
      <c r="M64" s="21"/>
      <c r="N64" s="30" t="str">
        <f aca="false">IF(OR($L64="",$M64="",NOT(ISNUMBER($L64))),"",IF($M64="Maund",ROUND($L64*37.32,2),$L64))</f>
        <v/>
      </c>
      <c r="O64" s="21"/>
      <c r="P64" s="22"/>
    </row>
    <row r="65" customFormat="false" ht="19.5" hidden="false" customHeight="true" outlineLevel="0" collapsed="false">
      <c r="B65" s="28" t="s">
        <v>453</v>
      </c>
      <c r="C65" s="21"/>
      <c r="D65" s="21"/>
      <c r="E65" s="21"/>
      <c r="F65" s="21"/>
      <c r="G65" s="29"/>
      <c r="H65" s="29"/>
      <c r="I65" s="21"/>
      <c r="J65" s="30" t="str">
        <f aca="false">IF(OR($G65="",$I65="",NOT(ISNUMBER($G65))),"",IF($I65="Maund",ROUND($G65/37.32,2),$G65))</f>
        <v/>
      </c>
      <c r="K65" s="30" t="str">
        <f aca="false">IF(OR($H65="",$I65="",NOT(ISNUMBER($H65))),"",IF($I65="Maund",ROUND($H65/37.32,2),$H65))</f>
        <v/>
      </c>
      <c r="L65" s="29"/>
      <c r="M65" s="21"/>
      <c r="N65" s="30" t="str">
        <f aca="false">IF(OR($L65="",$M65="",NOT(ISNUMBER($L65))),"",IF($M65="Maund",ROUND($L65*37.32,2),$L65))</f>
        <v/>
      </c>
      <c r="O65" s="21"/>
      <c r="P65" s="22"/>
    </row>
    <row r="66" customFormat="false" ht="19.5" hidden="false" customHeight="true" outlineLevel="0" collapsed="false">
      <c r="B66" s="28" t="s">
        <v>454</v>
      </c>
      <c r="C66" s="21"/>
      <c r="D66" s="21"/>
      <c r="E66" s="21"/>
      <c r="F66" s="21"/>
      <c r="G66" s="29"/>
      <c r="H66" s="29"/>
      <c r="I66" s="21"/>
      <c r="J66" s="30" t="str">
        <f aca="false">IF(OR($G66="",$I66="",NOT(ISNUMBER($G66))),"",IF($I66="Maund",ROUND($G66/37.32,2),$G66))</f>
        <v/>
      </c>
      <c r="K66" s="30" t="str">
        <f aca="false">IF(OR($H66="",$I66="",NOT(ISNUMBER($H66))),"",IF($I66="Maund",ROUND($H66/37.32,2),$H66))</f>
        <v/>
      </c>
      <c r="L66" s="29"/>
      <c r="M66" s="21"/>
      <c r="N66" s="30" t="str">
        <f aca="false">IF(OR($L66="",$M66="",NOT(ISNUMBER($L66))),"",IF($M66="Maund",ROUND($L66*37.32,2),$L66))</f>
        <v/>
      </c>
      <c r="O66" s="21"/>
      <c r="P66" s="22"/>
    </row>
    <row r="67" customFormat="false" ht="19.5" hidden="false" customHeight="true" outlineLevel="0" collapsed="false">
      <c r="B67" s="28" t="s">
        <v>455</v>
      </c>
      <c r="C67" s="21"/>
      <c r="D67" s="21"/>
      <c r="E67" s="21"/>
      <c r="F67" s="21"/>
      <c r="G67" s="29"/>
      <c r="H67" s="29"/>
      <c r="I67" s="21"/>
      <c r="J67" s="30" t="str">
        <f aca="false">IF(OR($G67="",$I67="",NOT(ISNUMBER($G67))),"",IF($I67="Maund",ROUND($G67/37.32,2),$G67))</f>
        <v/>
      </c>
      <c r="K67" s="30" t="str">
        <f aca="false">IF(OR($H67="",$I67="",NOT(ISNUMBER($H67))),"",IF($I67="Maund",ROUND($H67/37.32,2),$H67))</f>
        <v/>
      </c>
      <c r="L67" s="29"/>
      <c r="M67" s="21"/>
      <c r="N67" s="30" t="str">
        <f aca="false">IF(OR($L67="",$M67="",NOT(ISNUMBER($L67))),"",IF($M67="Maund",ROUND($L67*37.32,2),$L67))</f>
        <v/>
      </c>
      <c r="O67" s="21"/>
      <c r="P67" s="22"/>
    </row>
    <row r="68" customFormat="false" ht="19.5" hidden="false" customHeight="true" outlineLevel="0" collapsed="false">
      <c r="B68" s="28" t="s">
        <v>456</v>
      </c>
      <c r="C68" s="21"/>
      <c r="D68" s="21"/>
      <c r="E68" s="21"/>
      <c r="F68" s="21"/>
      <c r="G68" s="29"/>
      <c r="H68" s="29"/>
      <c r="I68" s="21"/>
      <c r="J68" s="30" t="str">
        <f aca="false">IF(OR($G68="",$I68="",NOT(ISNUMBER($G68))),"",IF($I68="Maund",ROUND($G68/37.32,2),$G68))</f>
        <v/>
      </c>
      <c r="K68" s="30" t="str">
        <f aca="false">IF(OR($H68="",$I68="",NOT(ISNUMBER($H68))),"",IF($I68="Maund",ROUND($H68/37.32,2),$H68))</f>
        <v/>
      </c>
      <c r="L68" s="29"/>
      <c r="M68" s="21"/>
      <c r="N68" s="30" t="str">
        <f aca="false">IF(OR($L68="",$M68="",NOT(ISNUMBER($L68))),"",IF($M68="Maund",ROUND($L68*37.32,2),$L68))</f>
        <v/>
      </c>
      <c r="O68" s="21"/>
      <c r="P68" s="22"/>
    </row>
    <row r="69" customFormat="false" ht="19.5" hidden="false" customHeight="true" outlineLevel="0" collapsed="false">
      <c r="B69" s="28" t="s">
        <v>457</v>
      </c>
      <c r="C69" s="21"/>
      <c r="D69" s="21"/>
      <c r="E69" s="21"/>
      <c r="F69" s="21"/>
      <c r="G69" s="29"/>
      <c r="H69" s="29"/>
      <c r="I69" s="21"/>
      <c r="J69" s="30" t="str">
        <f aca="false">IF(OR($G69="",$I69="",NOT(ISNUMBER($G69))),"",IF($I69="Maund",ROUND($G69/37.32,2),$G69))</f>
        <v/>
      </c>
      <c r="K69" s="30" t="str">
        <f aca="false">IF(OR($H69="",$I69="",NOT(ISNUMBER($H69))),"",IF($I69="Maund",ROUND($H69/37.32,2),$H69))</f>
        <v/>
      </c>
      <c r="L69" s="29"/>
      <c r="M69" s="21"/>
      <c r="N69" s="30" t="str">
        <f aca="false">IF(OR($L69="",$M69="",NOT(ISNUMBER($L69))),"",IF($M69="Maund",ROUND($L69*37.32,2),$L69))</f>
        <v/>
      </c>
      <c r="O69" s="21"/>
      <c r="P69" s="22"/>
    </row>
    <row r="70" customFormat="false" ht="19.5" hidden="false" customHeight="true" outlineLevel="0" collapsed="false">
      <c r="B70" s="28" t="s">
        <v>458</v>
      </c>
      <c r="C70" s="21"/>
      <c r="D70" s="21"/>
      <c r="E70" s="21"/>
      <c r="F70" s="21"/>
      <c r="G70" s="29"/>
      <c r="H70" s="29"/>
      <c r="I70" s="21"/>
      <c r="J70" s="30" t="str">
        <f aca="false">IF(OR($G70="",$I70="",NOT(ISNUMBER($G70))),"",IF($I70="Maund",ROUND($G70/37.32,2),$G70))</f>
        <v/>
      </c>
      <c r="K70" s="30" t="str">
        <f aca="false">IF(OR($H70="",$I70="",NOT(ISNUMBER($H70))),"",IF($I70="Maund",ROUND($H70/37.32,2),$H70))</f>
        <v/>
      </c>
      <c r="L70" s="29"/>
      <c r="M70" s="21"/>
      <c r="N70" s="30" t="str">
        <f aca="false">IF(OR($L70="",$M70="",NOT(ISNUMBER($L70))),"",IF($M70="Maund",ROUND($L70*37.32,2),$L70))</f>
        <v/>
      </c>
      <c r="O70" s="21"/>
      <c r="P70" s="22"/>
    </row>
    <row r="71" customFormat="false" ht="19.5" hidden="false" customHeight="true" outlineLevel="0" collapsed="false">
      <c r="B71" s="28" t="s">
        <v>459</v>
      </c>
      <c r="C71" s="21"/>
      <c r="D71" s="21"/>
      <c r="E71" s="21"/>
      <c r="F71" s="21"/>
      <c r="G71" s="29"/>
      <c r="H71" s="29"/>
      <c r="I71" s="21"/>
      <c r="J71" s="30" t="str">
        <f aca="false">IF(OR($G71="",$I71="",NOT(ISNUMBER($G71))),"",IF($I71="Maund",ROUND($G71/37.32,2),$G71))</f>
        <v/>
      </c>
      <c r="K71" s="30" t="str">
        <f aca="false">IF(OR($H71="",$I71="",NOT(ISNUMBER($H71))),"",IF($I71="Maund",ROUND($H71/37.32,2),$H71))</f>
        <v/>
      </c>
      <c r="L71" s="29"/>
      <c r="M71" s="21"/>
      <c r="N71" s="30" t="str">
        <f aca="false">IF(OR($L71="",$M71="",NOT(ISNUMBER($L71))),"",IF($M71="Maund",ROUND($L71*37.32,2),$L71))</f>
        <v/>
      </c>
      <c r="O71" s="21"/>
      <c r="P71" s="22"/>
    </row>
    <row r="72" customFormat="false" ht="19.5" hidden="false" customHeight="true" outlineLevel="0" collapsed="false">
      <c r="B72" s="28" t="s">
        <v>460</v>
      </c>
      <c r="C72" s="21"/>
      <c r="D72" s="21"/>
      <c r="E72" s="21"/>
      <c r="F72" s="21"/>
      <c r="G72" s="29"/>
      <c r="H72" s="29"/>
      <c r="I72" s="21"/>
      <c r="J72" s="30" t="str">
        <f aca="false">IF(OR($G72="",$I72="",NOT(ISNUMBER($G72))),"",IF($I72="Maund",ROUND($G72/37.32,2),$G72))</f>
        <v/>
      </c>
      <c r="K72" s="30" t="str">
        <f aca="false">IF(OR($H72="",$I72="",NOT(ISNUMBER($H72))),"",IF($I72="Maund",ROUND($H72/37.32,2),$H72))</f>
        <v/>
      </c>
      <c r="L72" s="29"/>
      <c r="M72" s="21"/>
      <c r="N72" s="30" t="str">
        <f aca="false">IF(OR($L72="",$M72="",NOT(ISNUMBER($L72))),"",IF($M72="Maund",ROUND($L72*37.32,2),$L72))</f>
        <v/>
      </c>
      <c r="O72" s="21"/>
      <c r="P72" s="22"/>
    </row>
    <row r="73" customFormat="false" ht="19.5" hidden="false" customHeight="true" outlineLevel="0" collapsed="false">
      <c r="B73" s="28" t="s">
        <v>461</v>
      </c>
      <c r="C73" s="21"/>
      <c r="D73" s="21"/>
      <c r="E73" s="21"/>
      <c r="F73" s="21"/>
      <c r="G73" s="29"/>
      <c r="H73" s="29"/>
      <c r="I73" s="21"/>
      <c r="J73" s="30" t="str">
        <f aca="false">IF(OR($G73="",$I73="",NOT(ISNUMBER($G73))),"",IF($I73="Maund",ROUND($G73/37.32,2),$G73))</f>
        <v/>
      </c>
      <c r="K73" s="30" t="str">
        <f aca="false">IF(OR($H73="",$I73="",NOT(ISNUMBER($H73))),"",IF($I73="Maund",ROUND($H73/37.32,2),$H73))</f>
        <v/>
      </c>
      <c r="L73" s="29"/>
      <c r="M73" s="21"/>
      <c r="N73" s="30" t="str">
        <f aca="false">IF(OR($L73="",$M73="",NOT(ISNUMBER($L73))),"",IF($M73="Maund",ROUND($L73*37.32,2),$L73))</f>
        <v/>
      </c>
      <c r="O73" s="21"/>
      <c r="P73" s="22"/>
    </row>
    <row r="74" customFormat="false" ht="19.5" hidden="false" customHeight="true" outlineLevel="0" collapsed="false">
      <c r="B74" s="28" t="s">
        <v>462</v>
      </c>
      <c r="C74" s="21"/>
      <c r="D74" s="21"/>
      <c r="E74" s="21"/>
      <c r="F74" s="21"/>
      <c r="G74" s="29"/>
      <c r="H74" s="29"/>
      <c r="I74" s="21"/>
      <c r="J74" s="30" t="str">
        <f aca="false">IF(OR($G74="",$I74="",NOT(ISNUMBER($G74))),"",IF($I74="Maund",ROUND($G74/37.32,2),$G74))</f>
        <v/>
      </c>
      <c r="K74" s="30" t="str">
        <f aca="false">IF(OR($H74="",$I74="",NOT(ISNUMBER($H74))),"",IF($I74="Maund",ROUND($H74/37.32,2),$H74))</f>
        <v/>
      </c>
      <c r="L74" s="29"/>
      <c r="M74" s="21"/>
      <c r="N74" s="30" t="str">
        <f aca="false">IF(OR($L74="",$M74="",NOT(ISNUMBER($L74))),"",IF($M74="Maund",ROUND($L74*37.32,2),$L74))</f>
        <v/>
      </c>
      <c r="O74" s="21"/>
      <c r="P74" s="22"/>
    </row>
    <row r="75" customFormat="false" ht="19.5" hidden="false" customHeight="true" outlineLevel="0" collapsed="false">
      <c r="B75" s="28" t="s">
        <v>463</v>
      </c>
      <c r="C75" s="21"/>
      <c r="D75" s="21"/>
      <c r="E75" s="21"/>
      <c r="F75" s="21"/>
      <c r="G75" s="29"/>
      <c r="H75" s="29"/>
      <c r="I75" s="21"/>
      <c r="J75" s="30" t="str">
        <f aca="false">IF(OR($G75="",$I75="",NOT(ISNUMBER($G75))),"",IF($I75="Maund",ROUND($G75/37.32,2),$G75))</f>
        <v/>
      </c>
      <c r="K75" s="30" t="str">
        <f aca="false">IF(OR($H75="",$I75="",NOT(ISNUMBER($H75))),"",IF($I75="Maund",ROUND($H75/37.32,2),$H75))</f>
        <v/>
      </c>
      <c r="L75" s="29"/>
      <c r="M75" s="21"/>
      <c r="N75" s="30" t="str">
        <f aca="false">IF(OR($L75="",$M75="",NOT(ISNUMBER($L75))),"",IF($M75="Maund",ROUND($L75*37.32,2),$L75))</f>
        <v/>
      </c>
      <c r="O75" s="21"/>
      <c r="P75" s="22"/>
    </row>
    <row r="76" customFormat="false" ht="19.5" hidden="false" customHeight="true" outlineLevel="0" collapsed="false">
      <c r="B76" s="28" t="s">
        <v>464</v>
      </c>
      <c r="C76" s="21"/>
      <c r="D76" s="21"/>
      <c r="E76" s="21"/>
      <c r="F76" s="21"/>
      <c r="G76" s="29"/>
      <c r="H76" s="29"/>
      <c r="I76" s="21"/>
      <c r="J76" s="30" t="str">
        <f aca="false">IF(OR($G76="",$I76="",NOT(ISNUMBER($G76))),"",IF($I76="Maund",ROUND($G76/37.32,2),$G76))</f>
        <v/>
      </c>
      <c r="K76" s="30" t="str">
        <f aca="false">IF(OR($H76="",$I76="",NOT(ISNUMBER($H76))),"",IF($I76="Maund",ROUND($H76/37.32,2),$H76))</f>
        <v/>
      </c>
      <c r="L76" s="29"/>
      <c r="M76" s="21"/>
      <c r="N76" s="30" t="str">
        <f aca="false">IF(OR($L76="",$M76="",NOT(ISNUMBER($L76))),"",IF($M76="Maund",ROUND($L76*37.32,2),$L76))</f>
        <v/>
      </c>
      <c r="O76" s="21"/>
      <c r="P76" s="22"/>
    </row>
    <row r="77" customFormat="false" ht="19.5" hidden="false" customHeight="true" outlineLevel="0" collapsed="false">
      <c r="B77" s="28" t="s">
        <v>465</v>
      </c>
      <c r="C77" s="21"/>
      <c r="D77" s="21"/>
      <c r="E77" s="21"/>
      <c r="F77" s="21"/>
      <c r="G77" s="29"/>
      <c r="H77" s="29"/>
      <c r="I77" s="21"/>
      <c r="J77" s="30" t="str">
        <f aca="false">IF(OR($G77="",$I77="",NOT(ISNUMBER($G77))),"",IF($I77="Maund",ROUND($G77/37.32,2),$G77))</f>
        <v/>
      </c>
      <c r="K77" s="30" t="str">
        <f aca="false">IF(OR($H77="",$I77="",NOT(ISNUMBER($H77))),"",IF($I77="Maund",ROUND($H77/37.32,2),$H77))</f>
        <v/>
      </c>
      <c r="L77" s="29"/>
      <c r="M77" s="21"/>
      <c r="N77" s="30" t="str">
        <f aca="false">IF(OR($L77="",$M77="",NOT(ISNUMBER($L77))),"",IF($M77="Maund",ROUND($L77*37.32,2),$L77))</f>
        <v/>
      </c>
      <c r="O77" s="21"/>
      <c r="P77" s="22"/>
    </row>
    <row r="78" customFormat="false" ht="19.5" hidden="false" customHeight="true" outlineLevel="0" collapsed="false">
      <c r="B78" s="28" t="s">
        <v>466</v>
      </c>
      <c r="C78" s="21"/>
      <c r="D78" s="21"/>
      <c r="E78" s="21"/>
      <c r="F78" s="21"/>
      <c r="G78" s="29"/>
      <c r="H78" s="29"/>
      <c r="I78" s="21"/>
      <c r="J78" s="30" t="str">
        <f aca="false">IF(OR($G78="",$I78="",NOT(ISNUMBER($G78))),"",IF($I78="Maund",ROUND($G78/37.32,2),$G78))</f>
        <v/>
      </c>
      <c r="K78" s="30" t="str">
        <f aca="false">IF(OR($H78="",$I78="",NOT(ISNUMBER($H78))),"",IF($I78="Maund",ROUND($H78/37.32,2),$H78))</f>
        <v/>
      </c>
      <c r="L78" s="29"/>
      <c r="M78" s="21"/>
      <c r="N78" s="30" t="str">
        <f aca="false">IF(OR($L78="",$M78="",NOT(ISNUMBER($L78))),"",IF($M78="Maund",ROUND($L78*37.32,2),$L78))</f>
        <v/>
      </c>
      <c r="O78" s="21"/>
      <c r="P78" s="22"/>
    </row>
    <row r="79" customFormat="false" ht="19.5" hidden="false" customHeight="true" outlineLevel="0" collapsed="false">
      <c r="B79" s="28" t="s">
        <v>467</v>
      </c>
      <c r="C79" s="21"/>
      <c r="D79" s="21"/>
      <c r="E79" s="21"/>
      <c r="F79" s="21"/>
      <c r="G79" s="29"/>
      <c r="H79" s="29"/>
      <c r="I79" s="21"/>
      <c r="J79" s="30" t="str">
        <f aca="false">IF(OR($G79="",$I79="",NOT(ISNUMBER($G79))),"",IF($I79="Maund",ROUND($G79/37.32,2),$G79))</f>
        <v/>
      </c>
      <c r="K79" s="30" t="str">
        <f aca="false">IF(OR($H79="",$I79="",NOT(ISNUMBER($H79))),"",IF($I79="Maund",ROUND($H79/37.32,2),$H79))</f>
        <v/>
      </c>
      <c r="L79" s="29"/>
      <c r="M79" s="21"/>
      <c r="N79" s="30" t="str">
        <f aca="false">IF(OR($L79="",$M79="",NOT(ISNUMBER($L79))),"",IF($M79="Maund",ROUND($L79*37.32,2),$L79))</f>
        <v/>
      </c>
      <c r="O79" s="21"/>
      <c r="P79" s="22"/>
    </row>
    <row r="80" customFormat="false" ht="19.5" hidden="false" customHeight="true" outlineLevel="0" collapsed="false">
      <c r="B80" s="28" t="s">
        <v>468</v>
      </c>
      <c r="C80" s="21"/>
      <c r="D80" s="21"/>
      <c r="E80" s="21"/>
      <c r="F80" s="21"/>
      <c r="G80" s="29"/>
      <c r="H80" s="29"/>
      <c r="I80" s="21"/>
      <c r="J80" s="30" t="str">
        <f aca="false">IF(OR($G80="",$I80="",NOT(ISNUMBER($G80))),"",IF($I80="Maund",ROUND($G80/37.32,2),$G80))</f>
        <v/>
      </c>
      <c r="K80" s="30" t="str">
        <f aca="false">IF(OR($H80="",$I80="",NOT(ISNUMBER($H80))),"",IF($I80="Maund",ROUND($H80/37.32,2),$H80))</f>
        <v/>
      </c>
      <c r="L80" s="29"/>
      <c r="M80" s="21"/>
      <c r="N80" s="30" t="str">
        <f aca="false">IF(OR($L80="",$M80="",NOT(ISNUMBER($L80))),"",IF($M80="Maund",ROUND($L80*37.32,2),$L80))</f>
        <v/>
      </c>
      <c r="O80" s="21"/>
      <c r="P80" s="22"/>
    </row>
    <row r="81" customFormat="false" ht="19.5" hidden="false" customHeight="true" outlineLevel="0" collapsed="false">
      <c r="B81" s="28" t="s">
        <v>469</v>
      </c>
      <c r="C81" s="21"/>
      <c r="D81" s="21"/>
      <c r="E81" s="21"/>
      <c r="F81" s="21"/>
      <c r="G81" s="29"/>
      <c r="H81" s="29"/>
      <c r="I81" s="21"/>
      <c r="J81" s="30" t="str">
        <f aca="false">IF(OR($G81="",$I81="",NOT(ISNUMBER($G81))),"",IF($I81="Maund",ROUND($G81/37.32,2),$G81))</f>
        <v/>
      </c>
      <c r="K81" s="30" t="str">
        <f aca="false">IF(OR($H81="",$I81="",NOT(ISNUMBER($H81))),"",IF($I81="Maund",ROUND($H81/37.32,2),$H81))</f>
        <v/>
      </c>
      <c r="L81" s="29"/>
      <c r="M81" s="21"/>
      <c r="N81" s="30" t="str">
        <f aca="false">IF(OR($L81="",$M81="",NOT(ISNUMBER($L81))),"",IF($M81="Maund",ROUND($L81*37.32,2),$L81))</f>
        <v/>
      </c>
      <c r="O81" s="21"/>
      <c r="P81" s="22"/>
    </row>
    <row r="82" customFormat="false" ht="19.5" hidden="false" customHeight="true" outlineLevel="0" collapsed="false">
      <c r="B82" s="28" t="s">
        <v>470</v>
      </c>
      <c r="C82" s="21"/>
      <c r="D82" s="21"/>
      <c r="E82" s="21"/>
      <c r="F82" s="21"/>
      <c r="G82" s="29"/>
      <c r="H82" s="29"/>
      <c r="I82" s="21"/>
      <c r="J82" s="30" t="str">
        <f aca="false">IF(OR($G82="",$I82="",NOT(ISNUMBER($G82))),"",IF($I82="Maund",ROUND($G82/37.32,2),$G82))</f>
        <v/>
      </c>
      <c r="K82" s="30" t="str">
        <f aca="false">IF(OR($H82="",$I82="",NOT(ISNUMBER($H82))),"",IF($I82="Maund",ROUND($H82/37.32,2),$H82))</f>
        <v/>
      </c>
      <c r="L82" s="29"/>
      <c r="M82" s="21"/>
      <c r="N82" s="30" t="str">
        <f aca="false">IF(OR($L82="",$M82="",NOT(ISNUMBER($L82))),"",IF($M82="Maund",ROUND($L82*37.32,2),$L82))</f>
        <v/>
      </c>
      <c r="O82" s="21"/>
      <c r="P82" s="22"/>
    </row>
    <row r="83" customFormat="false" ht="19.5" hidden="false" customHeight="true" outlineLevel="0" collapsed="false">
      <c r="B83" s="28" t="s">
        <v>471</v>
      </c>
      <c r="C83" s="21"/>
      <c r="D83" s="21"/>
      <c r="E83" s="21"/>
      <c r="F83" s="21"/>
      <c r="G83" s="29"/>
      <c r="H83" s="29"/>
      <c r="I83" s="21"/>
      <c r="J83" s="30" t="str">
        <f aca="false">IF(OR($G83="",$I83="",NOT(ISNUMBER($G83))),"",IF($I83="Maund",ROUND($G83/37.32,2),$G83))</f>
        <v/>
      </c>
      <c r="K83" s="30" t="str">
        <f aca="false">IF(OR($H83="",$I83="",NOT(ISNUMBER($H83))),"",IF($I83="Maund",ROUND($H83/37.32,2),$H83))</f>
        <v/>
      </c>
      <c r="L83" s="29"/>
      <c r="M83" s="21"/>
      <c r="N83" s="30" t="str">
        <f aca="false">IF(OR($L83="",$M83="",NOT(ISNUMBER($L83))),"",IF($M83="Maund",ROUND($L83*37.32,2),$L83))</f>
        <v/>
      </c>
      <c r="O83" s="21"/>
      <c r="P83" s="22"/>
    </row>
    <row r="84" customFormat="false" ht="19.5" hidden="false" customHeight="true" outlineLevel="0" collapsed="false">
      <c r="B84" s="28" t="s">
        <v>472</v>
      </c>
      <c r="C84" s="21"/>
      <c r="D84" s="21"/>
      <c r="E84" s="21"/>
      <c r="F84" s="21"/>
      <c r="G84" s="29"/>
      <c r="H84" s="29"/>
      <c r="I84" s="21"/>
      <c r="J84" s="30" t="str">
        <f aca="false">IF(OR($G84="",$I84="",NOT(ISNUMBER($G84))),"",IF($I84="Maund",ROUND($G84/37.32,2),$G84))</f>
        <v/>
      </c>
      <c r="K84" s="30" t="str">
        <f aca="false">IF(OR($H84="",$I84="",NOT(ISNUMBER($H84))),"",IF($I84="Maund",ROUND($H84/37.32,2),$H84))</f>
        <v/>
      </c>
      <c r="L84" s="29"/>
      <c r="M84" s="21"/>
      <c r="N84" s="30" t="str">
        <f aca="false">IF(OR($L84="",$M84="",NOT(ISNUMBER($L84))),"",IF($M84="Maund",ROUND($L84*37.32,2),$L84))</f>
        <v/>
      </c>
      <c r="O84" s="21"/>
      <c r="P84" s="22"/>
    </row>
    <row r="85" customFormat="false" ht="19.5" hidden="false" customHeight="true" outlineLevel="0" collapsed="false">
      <c r="B85" s="28" t="s">
        <v>473</v>
      </c>
      <c r="C85" s="21"/>
      <c r="D85" s="21"/>
      <c r="E85" s="21"/>
      <c r="F85" s="21"/>
      <c r="G85" s="29"/>
      <c r="H85" s="29"/>
      <c r="I85" s="21"/>
      <c r="J85" s="30" t="str">
        <f aca="false">IF(OR($G85="",$I85="",NOT(ISNUMBER($G85))),"",IF($I85="Maund",ROUND($G85/37.32,2),$G85))</f>
        <v/>
      </c>
      <c r="K85" s="30" t="str">
        <f aca="false">IF(OR($H85="",$I85="",NOT(ISNUMBER($H85))),"",IF($I85="Maund",ROUND($H85/37.32,2),$H85))</f>
        <v/>
      </c>
      <c r="L85" s="29"/>
      <c r="M85" s="21"/>
      <c r="N85" s="30" t="str">
        <f aca="false">IF(OR($L85="",$M85="",NOT(ISNUMBER($L85))),"",IF($M85="Maund",ROUND($L85*37.32,2),$L85))</f>
        <v/>
      </c>
      <c r="O85" s="21"/>
      <c r="P85" s="22"/>
    </row>
    <row r="86" customFormat="false" ht="19.5" hidden="false" customHeight="true" outlineLevel="0" collapsed="false">
      <c r="B86" s="28" t="s">
        <v>474</v>
      </c>
      <c r="C86" s="21"/>
      <c r="D86" s="21"/>
      <c r="E86" s="21"/>
      <c r="F86" s="21"/>
      <c r="G86" s="29"/>
      <c r="H86" s="29"/>
      <c r="I86" s="21"/>
      <c r="J86" s="30" t="str">
        <f aca="false">IF(OR($G86="",$I86="",NOT(ISNUMBER($G86))),"",IF($I86="Maund",ROUND($G86/37.32,2),$G86))</f>
        <v/>
      </c>
      <c r="K86" s="30" t="str">
        <f aca="false">IF(OR($H86="",$I86="",NOT(ISNUMBER($H86))),"",IF($I86="Maund",ROUND($H86/37.32,2),$H86))</f>
        <v/>
      </c>
      <c r="L86" s="29"/>
      <c r="M86" s="21"/>
      <c r="N86" s="30" t="str">
        <f aca="false">IF(OR($L86="",$M86="",NOT(ISNUMBER($L86))),"",IF($M86="Maund",ROUND($L86*37.32,2),$L86))</f>
        <v/>
      </c>
      <c r="O86" s="21"/>
      <c r="P86" s="22"/>
    </row>
    <row r="87" customFormat="false" ht="19.5" hidden="false" customHeight="true" outlineLevel="0" collapsed="false">
      <c r="B87" s="28" t="s">
        <v>475</v>
      </c>
      <c r="C87" s="21"/>
      <c r="D87" s="21"/>
      <c r="E87" s="21"/>
      <c r="F87" s="21"/>
      <c r="G87" s="29"/>
      <c r="H87" s="29"/>
      <c r="I87" s="21"/>
      <c r="J87" s="30" t="str">
        <f aca="false">IF(OR($G87="",$I87="",NOT(ISNUMBER($G87))),"",IF($I87="Maund",ROUND($G87/37.32,2),$G87))</f>
        <v/>
      </c>
      <c r="K87" s="30" t="str">
        <f aca="false">IF(OR($H87="",$I87="",NOT(ISNUMBER($H87))),"",IF($I87="Maund",ROUND($H87/37.32,2),$H87))</f>
        <v/>
      </c>
      <c r="L87" s="29"/>
      <c r="M87" s="21"/>
      <c r="N87" s="30" t="str">
        <f aca="false">IF(OR($L87="",$M87="",NOT(ISNUMBER($L87))),"",IF($M87="Maund",ROUND($L87*37.32,2),$L87))</f>
        <v/>
      </c>
      <c r="O87" s="21"/>
      <c r="P87" s="22"/>
    </row>
    <row r="88" customFormat="false" ht="19.5" hidden="false" customHeight="true" outlineLevel="0" collapsed="false">
      <c r="B88" s="28" t="s">
        <v>476</v>
      </c>
      <c r="C88" s="21"/>
      <c r="D88" s="21"/>
      <c r="E88" s="21"/>
      <c r="F88" s="21"/>
      <c r="G88" s="29"/>
      <c r="H88" s="29"/>
      <c r="I88" s="21"/>
      <c r="J88" s="30" t="str">
        <f aca="false">IF(OR($G88="",$I88="",NOT(ISNUMBER($G88))),"",IF($I88="Maund",ROUND($G88/37.32,2),$G88))</f>
        <v/>
      </c>
      <c r="K88" s="30" t="str">
        <f aca="false">IF(OR($H88="",$I88="",NOT(ISNUMBER($H88))),"",IF($I88="Maund",ROUND($H88/37.32,2),$H88))</f>
        <v/>
      </c>
      <c r="L88" s="29"/>
      <c r="M88" s="21"/>
      <c r="N88" s="30" t="str">
        <f aca="false">IF(OR($L88="",$M88="",NOT(ISNUMBER($L88))),"",IF($M88="Maund",ROUND($L88*37.32,2),$L88))</f>
        <v/>
      </c>
      <c r="O88" s="21"/>
      <c r="P88" s="22"/>
    </row>
    <row r="89" customFormat="false" ht="19.5" hidden="false" customHeight="true" outlineLevel="0" collapsed="false">
      <c r="B89" s="28" t="s">
        <v>477</v>
      </c>
      <c r="C89" s="21"/>
      <c r="D89" s="21"/>
      <c r="E89" s="21"/>
      <c r="F89" s="21"/>
      <c r="G89" s="29"/>
      <c r="H89" s="29"/>
      <c r="I89" s="21"/>
      <c r="J89" s="30" t="str">
        <f aca="false">IF(OR($G89="",$I89="",NOT(ISNUMBER($G89))),"",IF($I89="Maund",ROUND($G89/37.32,2),$G89))</f>
        <v/>
      </c>
      <c r="K89" s="30" t="str">
        <f aca="false">IF(OR($H89="",$I89="",NOT(ISNUMBER($H89))),"",IF($I89="Maund",ROUND($H89/37.32,2),$H89))</f>
        <v/>
      </c>
      <c r="L89" s="29"/>
      <c r="M89" s="21"/>
      <c r="N89" s="30" t="str">
        <f aca="false">IF(OR($L89="",$M89="",NOT(ISNUMBER($L89))),"",IF($M89="Maund",ROUND($L89*37.32,2),$L89))</f>
        <v/>
      </c>
      <c r="O89" s="21"/>
      <c r="P89" s="22"/>
    </row>
    <row r="90" customFormat="false" ht="19.5" hidden="false" customHeight="true" outlineLevel="0" collapsed="false">
      <c r="B90" s="28" t="s">
        <v>478</v>
      </c>
      <c r="C90" s="21"/>
      <c r="D90" s="21"/>
      <c r="E90" s="21"/>
      <c r="F90" s="21"/>
      <c r="G90" s="29"/>
      <c r="H90" s="29"/>
      <c r="I90" s="21"/>
      <c r="J90" s="30" t="str">
        <f aca="false">IF(OR($G90="",$I90="",NOT(ISNUMBER($G90))),"",IF($I90="Maund",ROUND($G90/37.32,2),$G90))</f>
        <v/>
      </c>
      <c r="K90" s="30" t="str">
        <f aca="false">IF(OR($H90="",$I90="",NOT(ISNUMBER($H90))),"",IF($I90="Maund",ROUND($H90/37.32,2),$H90))</f>
        <v/>
      </c>
      <c r="L90" s="29"/>
      <c r="M90" s="21"/>
      <c r="N90" s="30" t="str">
        <f aca="false">IF(OR($L90="",$M90="",NOT(ISNUMBER($L90))),"",IF($M90="Maund",ROUND($L90*37.32,2),$L90))</f>
        <v/>
      </c>
      <c r="O90" s="21"/>
      <c r="P90" s="22"/>
    </row>
    <row r="91" customFormat="false" ht="19.5" hidden="false" customHeight="true" outlineLevel="0" collapsed="false">
      <c r="B91" s="28" t="s">
        <v>479</v>
      </c>
      <c r="C91" s="21"/>
      <c r="D91" s="21"/>
      <c r="E91" s="21"/>
      <c r="F91" s="21"/>
      <c r="G91" s="29"/>
      <c r="H91" s="29"/>
      <c r="I91" s="21"/>
      <c r="J91" s="30" t="str">
        <f aca="false">IF(OR($G91="",$I91="",NOT(ISNUMBER($G91))),"",IF($I91="Maund",ROUND($G91/37.32,2),$G91))</f>
        <v/>
      </c>
      <c r="K91" s="30" t="str">
        <f aca="false">IF(OR($H91="",$I91="",NOT(ISNUMBER($H91))),"",IF($I91="Maund",ROUND($H91/37.32,2),$H91))</f>
        <v/>
      </c>
      <c r="L91" s="29"/>
      <c r="M91" s="21"/>
      <c r="N91" s="30" t="str">
        <f aca="false">IF(OR($L91="",$M91="",NOT(ISNUMBER($L91))),"",IF($M91="Maund",ROUND($L91*37.32,2),$L91))</f>
        <v/>
      </c>
      <c r="O91" s="21"/>
      <c r="P91" s="22"/>
    </row>
    <row r="92" customFormat="false" ht="19.5" hidden="false" customHeight="true" outlineLevel="0" collapsed="false">
      <c r="B92" s="28" t="s">
        <v>480</v>
      </c>
      <c r="C92" s="21"/>
      <c r="D92" s="21"/>
      <c r="E92" s="21"/>
      <c r="F92" s="21"/>
      <c r="G92" s="29"/>
      <c r="H92" s="29"/>
      <c r="I92" s="21"/>
      <c r="J92" s="30" t="str">
        <f aca="false">IF(OR($G92="",$I92="",NOT(ISNUMBER($G92))),"",IF($I92="Maund",ROUND($G92/37.32,2),$G92))</f>
        <v/>
      </c>
      <c r="K92" s="30" t="str">
        <f aca="false">IF(OR($H92="",$I92="",NOT(ISNUMBER($H92))),"",IF($I92="Maund",ROUND($H92/37.32,2),$H92))</f>
        <v/>
      </c>
      <c r="L92" s="29"/>
      <c r="M92" s="21"/>
      <c r="N92" s="30" t="str">
        <f aca="false">IF(OR($L92="",$M92="",NOT(ISNUMBER($L92))),"",IF($M92="Maund",ROUND($L92*37.32,2),$L92))</f>
        <v/>
      </c>
      <c r="O92" s="21"/>
      <c r="P92" s="22"/>
    </row>
    <row r="93" customFormat="false" ht="19.5" hidden="false" customHeight="true" outlineLevel="0" collapsed="false">
      <c r="B93" s="28" t="s">
        <v>481</v>
      </c>
      <c r="C93" s="21"/>
      <c r="D93" s="21"/>
      <c r="E93" s="21"/>
      <c r="F93" s="21"/>
      <c r="G93" s="29"/>
      <c r="H93" s="29"/>
      <c r="I93" s="21"/>
      <c r="J93" s="30" t="str">
        <f aca="false">IF(OR($G93="",$I93="",NOT(ISNUMBER($G93))),"",IF($I93="Maund",ROUND($G93/37.32,2),$G93))</f>
        <v/>
      </c>
      <c r="K93" s="30" t="str">
        <f aca="false">IF(OR($H93="",$I93="",NOT(ISNUMBER($H93))),"",IF($I93="Maund",ROUND($H93/37.32,2),$H93))</f>
        <v/>
      </c>
      <c r="L93" s="29"/>
      <c r="M93" s="21"/>
      <c r="N93" s="30" t="str">
        <f aca="false">IF(OR($L93="",$M93="",NOT(ISNUMBER($L93))),"",IF($M93="Maund",ROUND($L93*37.32,2),$L93))</f>
        <v/>
      </c>
      <c r="O93" s="21"/>
      <c r="P93" s="22"/>
    </row>
    <row r="94" customFormat="false" ht="19.5" hidden="false" customHeight="true" outlineLevel="0" collapsed="false">
      <c r="B94" s="28" t="s">
        <v>482</v>
      </c>
      <c r="C94" s="21"/>
      <c r="D94" s="21"/>
      <c r="E94" s="21"/>
      <c r="F94" s="21"/>
      <c r="G94" s="29"/>
      <c r="H94" s="29"/>
      <c r="I94" s="21"/>
      <c r="J94" s="30" t="str">
        <f aca="false">IF(OR($G94="",$I94="",NOT(ISNUMBER($G94))),"",IF($I94="Maund",ROUND($G94/37.32,2),$G94))</f>
        <v/>
      </c>
      <c r="K94" s="30" t="str">
        <f aca="false">IF(OR($H94="",$I94="",NOT(ISNUMBER($H94))),"",IF($I94="Maund",ROUND($H94/37.32,2),$H94))</f>
        <v/>
      </c>
      <c r="L94" s="29"/>
      <c r="M94" s="21"/>
      <c r="N94" s="30" t="str">
        <f aca="false">IF(OR($L94="",$M94="",NOT(ISNUMBER($L94))),"",IF($M94="Maund",ROUND($L94*37.32,2),$L94))</f>
        <v/>
      </c>
      <c r="O94" s="21"/>
      <c r="P94" s="22"/>
    </row>
    <row r="95" customFormat="false" ht="19.5" hidden="false" customHeight="true" outlineLevel="0" collapsed="false">
      <c r="B95" s="28" t="s">
        <v>483</v>
      </c>
      <c r="C95" s="21"/>
      <c r="D95" s="21"/>
      <c r="E95" s="21"/>
      <c r="F95" s="21"/>
      <c r="G95" s="29"/>
      <c r="H95" s="29"/>
      <c r="I95" s="21"/>
      <c r="J95" s="30" t="str">
        <f aca="false">IF(OR($G95="",$I95="",NOT(ISNUMBER($G95))),"",IF($I95="Maund",ROUND($G95/37.32,2),$G95))</f>
        <v/>
      </c>
      <c r="K95" s="30" t="str">
        <f aca="false">IF(OR($H95="",$I95="",NOT(ISNUMBER($H95))),"",IF($I95="Maund",ROUND($H95/37.32,2),$H95))</f>
        <v/>
      </c>
      <c r="L95" s="29"/>
      <c r="M95" s="21"/>
      <c r="N95" s="30" t="str">
        <f aca="false">IF(OR($L95="",$M95="",NOT(ISNUMBER($L95))),"",IF($M95="Maund",ROUND($L95*37.32,2),$L95))</f>
        <v/>
      </c>
      <c r="O95" s="21"/>
      <c r="P95" s="22"/>
    </row>
    <row r="96" customFormat="false" ht="19.5" hidden="false" customHeight="true" outlineLevel="0" collapsed="false">
      <c r="B96" s="28" t="s">
        <v>484</v>
      </c>
      <c r="C96" s="21"/>
      <c r="D96" s="21"/>
      <c r="E96" s="21"/>
      <c r="F96" s="21"/>
      <c r="G96" s="29"/>
      <c r="H96" s="29"/>
      <c r="I96" s="21"/>
      <c r="J96" s="30" t="str">
        <f aca="false">IF(OR($G96="",$I96="",NOT(ISNUMBER($G96))),"",IF($I96="Maund",ROUND($G96/37.32,2),$G96))</f>
        <v/>
      </c>
      <c r="K96" s="30" t="str">
        <f aca="false">IF(OR($H96="",$I96="",NOT(ISNUMBER($H96))),"",IF($I96="Maund",ROUND($H96/37.32,2),$H96))</f>
        <v/>
      </c>
      <c r="L96" s="29"/>
      <c r="M96" s="21"/>
      <c r="N96" s="30" t="str">
        <f aca="false">IF(OR($L96="",$M96="",NOT(ISNUMBER($L96))),"",IF($M96="Maund",ROUND($L96*37.32,2),$L96))</f>
        <v/>
      </c>
      <c r="O96" s="21"/>
      <c r="P96" s="22"/>
    </row>
    <row r="97" customFormat="false" ht="19.5" hidden="false" customHeight="true" outlineLevel="0" collapsed="false">
      <c r="B97" s="28" t="s">
        <v>485</v>
      </c>
      <c r="C97" s="21"/>
      <c r="D97" s="21"/>
      <c r="E97" s="21"/>
      <c r="F97" s="21"/>
      <c r="G97" s="29"/>
      <c r="H97" s="29"/>
      <c r="I97" s="21"/>
      <c r="J97" s="30" t="str">
        <f aca="false">IF(OR($G97="",$I97="",NOT(ISNUMBER($G97))),"",IF($I97="Maund",ROUND($G97/37.32,2),$G97))</f>
        <v/>
      </c>
      <c r="K97" s="30" t="str">
        <f aca="false">IF(OR($H97="",$I97="",NOT(ISNUMBER($H97))),"",IF($I97="Maund",ROUND($H97/37.32,2),$H97))</f>
        <v/>
      </c>
      <c r="L97" s="29"/>
      <c r="M97" s="21"/>
      <c r="N97" s="30" t="str">
        <f aca="false">IF(OR($L97="",$M97="",NOT(ISNUMBER($L97))),"",IF($M97="Maund",ROUND($L97*37.32,2),$L97))</f>
        <v/>
      </c>
      <c r="O97" s="21"/>
      <c r="P97" s="22"/>
    </row>
    <row r="98" customFormat="false" ht="19.5" hidden="false" customHeight="true" outlineLevel="0" collapsed="false">
      <c r="B98" s="28" t="s">
        <v>486</v>
      </c>
      <c r="C98" s="21"/>
      <c r="D98" s="21"/>
      <c r="E98" s="21"/>
      <c r="F98" s="21"/>
      <c r="G98" s="29"/>
      <c r="H98" s="29"/>
      <c r="I98" s="21"/>
      <c r="J98" s="30" t="str">
        <f aca="false">IF(OR($G98="",$I98="",NOT(ISNUMBER($G98))),"",IF($I98="Maund",ROUND($G98/37.32,2),$G98))</f>
        <v/>
      </c>
      <c r="K98" s="30" t="str">
        <f aca="false">IF(OR($H98="",$I98="",NOT(ISNUMBER($H98))),"",IF($I98="Maund",ROUND($H98/37.32,2),$H98))</f>
        <v/>
      </c>
      <c r="L98" s="29"/>
      <c r="M98" s="21"/>
      <c r="N98" s="30" t="str">
        <f aca="false">IF(OR($L98="",$M98="",NOT(ISNUMBER($L98))),"",IF($M98="Maund",ROUND($L98*37.32,2),$L98))</f>
        <v/>
      </c>
      <c r="O98" s="21"/>
      <c r="P98" s="22"/>
    </row>
    <row r="99" customFormat="false" ht="19.5" hidden="false" customHeight="true" outlineLevel="0" collapsed="false">
      <c r="B99" s="28" t="s">
        <v>487</v>
      </c>
      <c r="C99" s="21"/>
      <c r="D99" s="21"/>
      <c r="E99" s="21"/>
      <c r="F99" s="21"/>
      <c r="G99" s="29"/>
      <c r="H99" s="29"/>
      <c r="I99" s="21"/>
      <c r="J99" s="30" t="str">
        <f aca="false">IF(OR($G99="",$I99="",NOT(ISNUMBER($G99))),"",IF($I99="Maund",ROUND($G99/37.32,2),$G99))</f>
        <v/>
      </c>
      <c r="K99" s="30" t="str">
        <f aca="false">IF(OR($H99="",$I99="",NOT(ISNUMBER($H99))),"",IF($I99="Maund",ROUND($H99/37.32,2),$H99))</f>
        <v/>
      </c>
      <c r="L99" s="29"/>
      <c r="M99" s="21"/>
      <c r="N99" s="30" t="str">
        <f aca="false">IF(OR($L99="",$M99="",NOT(ISNUMBER($L99))),"",IF($M99="Maund",ROUND($L99*37.32,2),$L99))</f>
        <v/>
      </c>
      <c r="O99" s="21"/>
      <c r="P99" s="22"/>
    </row>
    <row r="100" customFormat="false" ht="19.5" hidden="false" customHeight="true" outlineLevel="0" collapsed="false">
      <c r="B100" s="28" t="s">
        <v>488</v>
      </c>
      <c r="C100" s="21"/>
      <c r="D100" s="21"/>
      <c r="E100" s="21"/>
      <c r="F100" s="21"/>
      <c r="G100" s="29"/>
      <c r="H100" s="29"/>
      <c r="I100" s="21"/>
      <c r="J100" s="30" t="str">
        <f aca="false">IF(OR($G100="",$I100="",NOT(ISNUMBER($G100))),"",IF($I100="Maund",ROUND($G100/37.32,2),$G100))</f>
        <v/>
      </c>
      <c r="K100" s="30" t="str">
        <f aca="false">IF(OR($H100="",$I100="",NOT(ISNUMBER($H100))),"",IF($I100="Maund",ROUND($H100/37.32,2),$H100))</f>
        <v/>
      </c>
      <c r="L100" s="29"/>
      <c r="M100" s="21"/>
      <c r="N100" s="30" t="str">
        <f aca="false">IF(OR($L100="",$M100="",NOT(ISNUMBER($L100))),"",IF($M100="Maund",ROUND($L100*37.32,2),$L100))</f>
        <v/>
      </c>
      <c r="O100" s="21"/>
      <c r="P100" s="22"/>
    </row>
    <row r="101" customFormat="false" ht="19.5" hidden="false" customHeight="true" outlineLevel="0" collapsed="false">
      <c r="B101" s="28" t="s">
        <v>489</v>
      </c>
      <c r="C101" s="21"/>
      <c r="D101" s="21"/>
      <c r="E101" s="21"/>
      <c r="F101" s="21"/>
      <c r="G101" s="29"/>
      <c r="H101" s="29"/>
      <c r="I101" s="21"/>
      <c r="J101" s="30" t="str">
        <f aca="false">IF(OR($G101="",$I101="",NOT(ISNUMBER($G101))),"",IF($I101="Maund",ROUND($G101/37.32,2),$G101))</f>
        <v/>
      </c>
      <c r="K101" s="30" t="str">
        <f aca="false">IF(OR($H101="",$I101="",NOT(ISNUMBER($H101))),"",IF($I101="Maund",ROUND($H101/37.32,2),$H101))</f>
        <v/>
      </c>
      <c r="L101" s="29"/>
      <c r="M101" s="21"/>
      <c r="N101" s="30" t="str">
        <f aca="false">IF(OR($L101="",$M101="",NOT(ISNUMBER($L101))),"",IF($M101="Maund",ROUND($L101*37.32,2),$L101))</f>
        <v/>
      </c>
      <c r="O101" s="21"/>
      <c r="P101" s="22"/>
    </row>
    <row r="102" customFormat="false" ht="19.5" hidden="false" customHeight="true" outlineLevel="0" collapsed="false">
      <c r="B102" s="28" t="s">
        <v>490</v>
      </c>
      <c r="C102" s="21"/>
      <c r="D102" s="21"/>
      <c r="E102" s="21"/>
      <c r="F102" s="21"/>
      <c r="G102" s="29"/>
      <c r="H102" s="29"/>
      <c r="I102" s="21"/>
      <c r="J102" s="30" t="str">
        <f aca="false">IF(OR($G102="",$I102="",NOT(ISNUMBER($G102))),"",IF($I102="Maund",ROUND($G102/37.32,2),$G102))</f>
        <v/>
      </c>
      <c r="K102" s="30" t="str">
        <f aca="false">IF(OR($H102="",$I102="",NOT(ISNUMBER($H102))),"",IF($I102="Maund",ROUND($H102/37.32,2),$H102))</f>
        <v/>
      </c>
      <c r="L102" s="29"/>
      <c r="M102" s="21"/>
      <c r="N102" s="30" t="str">
        <f aca="false">IF(OR($L102="",$M102="",NOT(ISNUMBER($L102))),"",IF($M102="Maund",ROUND($L102*37.32,2),$L102))</f>
        <v/>
      </c>
      <c r="O102" s="21"/>
      <c r="P102" s="22"/>
    </row>
    <row r="103" customFormat="false" ht="19.5" hidden="false" customHeight="true" outlineLevel="0" collapsed="false">
      <c r="B103" s="28" t="s">
        <v>491</v>
      </c>
      <c r="C103" s="21"/>
      <c r="D103" s="21"/>
      <c r="E103" s="21"/>
      <c r="F103" s="21"/>
      <c r="G103" s="29"/>
      <c r="H103" s="29"/>
      <c r="I103" s="21"/>
      <c r="J103" s="30" t="str">
        <f aca="false">IF(OR($G103="",$I103="",NOT(ISNUMBER($G103))),"",IF($I103="Maund",ROUND($G103/37.32,2),$G103))</f>
        <v/>
      </c>
      <c r="K103" s="30" t="str">
        <f aca="false">IF(OR($H103="",$I103="",NOT(ISNUMBER($H103))),"",IF($I103="Maund",ROUND($H103/37.32,2),$H103))</f>
        <v/>
      </c>
      <c r="L103" s="29"/>
      <c r="M103" s="21"/>
      <c r="N103" s="30" t="str">
        <f aca="false">IF(OR($L103="",$M103="",NOT(ISNUMBER($L103))),"",IF($M103="Maund",ROUND($L103*37.32,2),$L103))</f>
        <v/>
      </c>
      <c r="O103" s="21"/>
      <c r="P103" s="22"/>
    </row>
    <row r="104" customFormat="false" ht="19.5" hidden="false" customHeight="true" outlineLevel="0" collapsed="false">
      <c r="B104" s="28" t="s">
        <v>492</v>
      </c>
      <c r="C104" s="21"/>
      <c r="D104" s="21"/>
      <c r="E104" s="21"/>
      <c r="F104" s="21"/>
      <c r="G104" s="29"/>
      <c r="H104" s="29"/>
      <c r="I104" s="21"/>
      <c r="J104" s="30" t="str">
        <f aca="false">IF(OR($G104="",$I104="",NOT(ISNUMBER($G104))),"",IF($I104="Maund",ROUND($G104/37.32,2),$G104))</f>
        <v/>
      </c>
      <c r="K104" s="30" t="str">
        <f aca="false">IF(OR($H104="",$I104="",NOT(ISNUMBER($H104))),"",IF($I104="Maund",ROUND($H104/37.32,2),$H104))</f>
        <v/>
      </c>
      <c r="L104" s="29"/>
      <c r="M104" s="21"/>
      <c r="N104" s="30" t="str">
        <f aca="false">IF(OR($L104="",$M104="",NOT(ISNUMBER($L104))),"",IF($M104="Maund",ROUND($L104*37.32,2),$L104))</f>
        <v/>
      </c>
      <c r="O104" s="21"/>
      <c r="P104" s="22"/>
    </row>
    <row r="105" customFormat="false" ht="19.5" hidden="false" customHeight="true" outlineLevel="0" collapsed="false">
      <c r="B105" s="28" t="s">
        <v>493</v>
      </c>
      <c r="C105" s="21"/>
      <c r="D105" s="21"/>
      <c r="E105" s="21"/>
      <c r="F105" s="21"/>
      <c r="G105" s="29"/>
      <c r="H105" s="29"/>
      <c r="I105" s="21"/>
      <c r="J105" s="30" t="str">
        <f aca="false">IF(OR($G105="",$I105="",NOT(ISNUMBER($G105))),"",IF($I105="Maund",ROUND($G105/37.32,2),$G105))</f>
        <v/>
      </c>
      <c r="K105" s="30" t="str">
        <f aca="false">IF(OR($H105="",$I105="",NOT(ISNUMBER($H105))),"",IF($I105="Maund",ROUND($H105/37.32,2),$H105))</f>
        <v/>
      </c>
      <c r="L105" s="29"/>
      <c r="M105" s="21"/>
      <c r="N105" s="30" t="str">
        <f aca="false">IF(OR($L105="",$M105="",NOT(ISNUMBER($L105))),"",IF($M105="Maund",ROUND($L105*37.32,2),$L105))</f>
        <v/>
      </c>
      <c r="O105" s="21"/>
      <c r="P105" s="22"/>
    </row>
    <row r="106" customFormat="false" ht="19.5" hidden="false" customHeight="true" outlineLevel="0" collapsed="false">
      <c r="B106" s="28" t="s">
        <v>494</v>
      </c>
      <c r="C106" s="21"/>
      <c r="D106" s="21"/>
      <c r="E106" s="21"/>
      <c r="F106" s="21"/>
      <c r="G106" s="29"/>
      <c r="H106" s="29"/>
      <c r="I106" s="21"/>
      <c r="J106" s="30" t="str">
        <f aca="false">IF(OR($G106="",$I106="",NOT(ISNUMBER($G106))),"",IF($I106="Maund",ROUND($G106/37.32,2),$G106))</f>
        <v/>
      </c>
      <c r="K106" s="30" t="str">
        <f aca="false">IF(OR($H106="",$I106="",NOT(ISNUMBER($H106))),"",IF($I106="Maund",ROUND($H106/37.32,2),$H106))</f>
        <v/>
      </c>
      <c r="L106" s="29"/>
      <c r="M106" s="21"/>
      <c r="N106" s="30" t="str">
        <f aca="false">IF(OR($L106="",$M106="",NOT(ISNUMBER($L106))),"",IF($M106="Maund",ROUND($L106*37.32,2),$L106))</f>
        <v/>
      </c>
      <c r="O106" s="21"/>
      <c r="P106" s="22"/>
    </row>
    <row r="107" customFormat="false" ht="19.5" hidden="false" customHeight="true" outlineLevel="0" collapsed="false">
      <c r="B107" s="28" t="s">
        <v>495</v>
      </c>
      <c r="C107" s="21"/>
      <c r="D107" s="21"/>
      <c r="E107" s="21"/>
      <c r="F107" s="21"/>
      <c r="G107" s="29"/>
      <c r="H107" s="29"/>
      <c r="I107" s="21"/>
      <c r="J107" s="30" t="str">
        <f aca="false">IF(OR($G107="",$I107="",NOT(ISNUMBER($G107))),"",IF($I107="Maund",ROUND($G107/37.32,2),$G107))</f>
        <v/>
      </c>
      <c r="K107" s="30" t="str">
        <f aca="false">IF(OR($H107="",$I107="",NOT(ISNUMBER($H107))),"",IF($I107="Maund",ROUND($H107/37.32,2),$H107))</f>
        <v/>
      </c>
      <c r="L107" s="29"/>
      <c r="M107" s="21"/>
      <c r="N107" s="30" t="str">
        <f aca="false">IF(OR($L107="",$M107="",NOT(ISNUMBER($L107))),"",IF($M107="Maund",ROUND($L107*37.32,2),$L107))</f>
        <v/>
      </c>
      <c r="O107" s="21"/>
      <c r="P107" s="22"/>
    </row>
    <row r="108" customFormat="false" ht="19.5" hidden="false" customHeight="true" outlineLevel="0" collapsed="false">
      <c r="B108" s="28" t="s">
        <v>496</v>
      </c>
      <c r="C108" s="21"/>
      <c r="D108" s="21"/>
      <c r="E108" s="21"/>
      <c r="F108" s="21"/>
      <c r="G108" s="29"/>
      <c r="H108" s="29"/>
      <c r="I108" s="21"/>
      <c r="J108" s="30" t="str">
        <f aca="false">IF(OR($G108="",$I108="",NOT(ISNUMBER($G108))),"",IF($I108="Maund",ROUND($G108/37.32,2),$G108))</f>
        <v/>
      </c>
      <c r="K108" s="30" t="str">
        <f aca="false">IF(OR($H108="",$I108="",NOT(ISNUMBER($H108))),"",IF($I108="Maund",ROUND($H108/37.32,2),$H108))</f>
        <v/>
      </c>
      <c r="L108" s="29"/>
      <c r="M108" s="21"/>
      <c r="N108" s="30" t="str">
        <f aca="false">IF(OR($L108="",$M108="",NOT(ISNUMBER($L108))),"",IF($M108="Maund",ROUND($L108*37.32,2),$L108))</f>
        <v/>
      </c>
      <c r="O108" s="21"/>
      <c r="P108" s="22"/>
    </row>
    <row r="109" customFormat="false" ht="19.5" hidden="false" customHeight="true" outlineLevel="0" collapsed="false">
      <c r="B109" s="28" t="s">
        <v>497</v>
      </c>
      <c r="C109" s="21"/>
      <c r="D109" s="21"/>
      <c r="E109" s="21"/>
      <c r="F109" s="21"/>
      <c r="G109" s="29"/>
      <c r="H109" s="29"/>
      <c r="I109" s="21"/>
      <c r="J109" s="30" t="str">
        <f aca="false">IF(OR($G109="",$I109="",NOT(ISNUMBER($G109))),"",IF($I109="Maund",ROUND($G109/37.32,2),$G109))</f>
        <v/>
      </c>
      <c r="K109" s="30" t="str">
        <f aca="false">IF(OR($H109="",$I109="",NOT(ISNUMBER($H109))),"",IF($I109="Maund",ROUND($H109/37.32,2),$H109))</f>
        <v/>
      </c>
      <c r="L109" s="29"/>
      <c r="M109" s="21"/>
      <c r="N109" s="30" t="str">
        <f aca="false">IF(OR($L109="",$M109="",NOT(ISNUMBER($L109))),"",IF($M109="Maund",ROUND($L109*37.32,2),$L109))</f>
        <v/>
      </c>
      <c r="O109" s="21"/>
      <c r="P109" s="22"/>
    </row>
    <row r="110" customFormat="false" ht="19.5" hidden="false" customHeight="true" outlineLevel="0" collapsed="false">
      <c r="B110" s="28" t="s">
        <v>498</v>
      </c>
      <c r="C110" s="21"/>
      <c r="D110" s="21"/>
      <c r="E110" s="21"/>
      <c r="F110" s="21"/>
      <c r="G110" s="29"/>
      <c r="H110" s="29"/>
      <c r="I110" s="21"/>
      <c r="J110" s="30" t="str">
        <f aca="false">IF(OR($G110="",$I110="",NOT(ISNUMBER($G110))),"",IF($I110="Maund",ROUND($G110/37.32,2),$G110))</f>
        <v/>
      </c>
      <c r="K110" s="30" t="str">
        <f aca="false">IF(OR($H110="",$I110="",NOT(ISNUMBER($H110))),"",IF($I110="Maund",ROUND($H110/37.32,2),$H110))</f>
        <v/>
      </c>
      <c r="L110" s="29"/>
      <c r="M110" s="21"/>
      <c r="N110" s="30" t="str">
        <f aca="false">IF(OR($L110="",$M110="",NOT(ISNUMBER($L110))),"",IF($M110="Maund",ROUND($L110*37.32,2),$L110))</f>
        <v/>
      </c>
      <c r="O110" s="21"/>
      <c r="P110" s="22"/>
    </row>
    <row r="111" customFormat="false" ht="19.5" hidden="false" customHeight="true" outlineLevel="0" collapsed="false">
      <c r="B111" s="28" t="s">
        <v>499</v>
      </c>
      <c r="C111" s="21"/>
      <c r="D111" s="21"/>
      <c r="E111" s="21"/>
      <c r="F111" s="21"/>
      <c r="G111" s="29"/>
      <c r="H111" s="29"/>
      <c r="I111" s="21"/>
      <c r="J111" s="30" t="str">
        <f aca="false">IF(OR($G111="",$I111="",NOT(ISNUMBER($G111))),"",IF($I111="Maund",ROUND($G111/37.32,2),$G111))</f>
        <v/>
      </c>
      <c r="K111" s="30" t="str">
        <f aca="false">IF(OR($H111="",$I111="",NOT(ISNUMBER($H111))),"",IF($I111="Maund",ROUND($H111/37.32,2),$H111))</f>
        <v/>
      </c>
      <c r="L111" s="29"/>
      <c r="M111" s="21"/>
      <c r="N111" s="30" t="str">
        <f aca="false">IF(OR($L111="",$M111="",NOT(ISNUMBER($L111))),"",IF($M111="Maund",ROUND($L111*37.32,2),$L111))</f>
        <v/>
      </c>
      <c r="O111" s="21"/>
      <c r="P111" s="22"/>
    </row>
    <row r="112" customFormat="false" ht="19.5" hidden="false" customHeight="true" outlineLevel="0" collapsed="false">
      <c r="B112" s="28" t="s">
        <v>500</v>
      </c>
      <c r="C112" s="21"/>
      <c r="D112" s="21"/>
      <c r="E112" s="21"/>
      <c r="F112" s="21"/>
      <c r="G112" s="29"/>
      <c r="H112" s="29"/>
      <c r="I112" s="21"/>
      <c r="J112" s="30" t="str">
        <f aca="false">IF(OR($G112="",$I112="",NOT(ISNUMBER($G112))),"",IF($I112="Maund",ROUND($G112/37.32,2),$G112))</f>
        <v/>
      </c>
      <c r="K112" s="30" t="str">
        <f aca="false">IF(OR($H112="",$I112="",NOT(ISNUMBER($H112))),"",IF($I112="Maund",ROUND($H112/37.32,2),$H112))</f>
        <v/>
      </c>
      <c r="L112" s="29"/>
      <c r="M112" s="21"/>
      <c r="N112" s="30" t="str">
        <f aca="false">IF(OR($L112="",$M112="",NOT(ISNUMBER($L112))),"",IF($M112="Maund",ROUND($L112*37.32,2),$L112))</f>
        <v/>
      </c>
      <c r="O112" s="21"/>
      <c r="P112" s="22"/>
    </row>
    <row r="113" customFormat="false" ht="19.5" hidden="false" customHeight="true" outlineLevel="0" collapsed="false">
      <c r="B113" s="28" t="s">
        <v>501</v>
      </c>
      <c r="C113" s="21"/>
      <c r="D113" s="21"/>
      <c r="E113" s="21"/>
      <c r="F113" s="21"/>
      <c r="G113" s="29"/>
      <c r="H113" s="29"/>
      <c r="I113" s="21"/>
      <c r="J113" s="30" t="str">
        <f aca="false">IF(OR($G113="",$I113="",NOT(ISNUMBER($G113))),"",IF($I113="Maund",ROUND($G113/37.32,2),$G113))</f>
        <v/>
      </c>
      <c r="K113" s="30" t="str">
        <f aca="false">IF(OR($H113="",$I113="",NOT(ISNUMBER($H113))),"",IF($I113="Maund",ROUND($H113/37.32,2),$H113))</f>
        <v/>
      </c>
      <c r="L113" s="29"/>
      <c r="M113" s="21"/>
      <c r="N113" s="30" t="str">
        <f aca="false">IF(OR($L113="",$M113="",NOT(ISNUMBER($L113))),"",IF($M113="Maund",ROUND($L113*37.32,2),$L113))</f>
        <v/>
      </c>
      <c r="O113" s="21"/>
      <c r="P113" s="22"/>
    </row>
    <row r="114" customFormat="false" ht="19.5" hidden="false" customHeight="true" outlineLevel="0" collapsed="false">
      <c r="B114" s="28" t="s">
        <v>502</v>
      </c>
      <c r="C114" s="21"/>
      <c r="D114" s="21"/>
      <c r="E114" s="21"/>
      <c r="F114" s="21"/>
      <c r="G114" s="29"/>
      <c r="H114" s="29"/>
      <c r="I114" s="21"/>
      <c r="J114" s="30" t="str">
        <f aca="false">IF(OR($G114="",$I114="",NOT(ISNUMBER($G114))),"",IF($I114="Maund",ROUND($G114/37.32,2),$G114))</f>
        <v/>
      </c>
      <c r="K114" s="30" t="str">
        <f aca="false">IF(OR($H114="",$I114="",NOT(ISNUMBER($H114))),"",IF($I114="Maund",ROUND($H114/37.32,2),$H114))</f>
        <v/>
      </c>
      <c r="L114" s="29"/>
      <c r="M114" s="21"/>
      <c r="N114" s="30" t="str">
        <f aca="false">IF(OR($L114="",$M114="",NOT(ISNUMBER($L114))),"",IF($M114="Maund",ROUND($L114*37.32,2),$L114))</f>
        <v/>
      </c>
      <c r="O114" s="21"/>
      <c r="P114" s="22"/>
    </row>
    <row r="115" customFormat="false" ht="19.5" hidden="false" customHeight="true" outlineLevel="0" collapsed="false">
      <c r="B115" s="28" t="s">
        <v>503</v>
      </c>
      <c r="C115" s="21"/>
      <c r="D115" s="21"/>
      <c r="E115" s="21"/>
      <c r="F115" s="21"/>
      <c r="G115" s="29"/>
      <c r="H115" s="29"/>
      <c r="I115" s="21"/>
      <c r="J115" s="30" t="str">
        <f aca="false">IF(OR($G115="",$I115="",NOT(ISNUMBER($G115))),"",IF($I115="Maund",ROUND($G115/37.32,2),$G115))</f>
        <v/>
      </c>
      <c r="K115" s="30" t="str">
        <f aca="false">IF(OR($H115="",$I115="",NOT(ISNUMBER($H115))),"",IF($I115="Maund",ROUND($H115/37.32,2),$H115))</f>
        <v/>
      </c>
      <c r="L115" s="29"/>
      <c r="M115" s="21"/>
      <c r="N115" s="30" t="str">
        <f aca="false">IF(OR($L115="",$M115="",NOT(ISNUMBER($L115))),"",IF($M115="Maund",ROUND($L115*37.32,2),$L115))</f>
        <v/>
      </c>
      <c r="O115" s="21"/>
      <c r="P115" s="22"/>
    </row>
    <row r="116" customFormat="false" ht="19.5" hidden="false" customHeight="true" outlineLevel="0" collapsed="false">
      <c r="B116" s="28" t="s">
        <v>504</v>
      </c>
      <c r="C116" s="21"/>
      <c r="D116" s="21"/>
      <c r="E116" s="21"/>
      <c r="F116" s="21"/>
      <c r="G116" s="29"/>
      <c r="H116" s="29"/>
      <c r="I116" s="21"/>
      <c r="J116" s="30" t="str">
        <f aca="false">IF(OR($G116="",$I116="",NOT(ISNUMBER($G116))),"",IF($I116="Maund",ROUND($G116/37.32,2),$G116))</f>
        <v/>
      </c>
      <c r="K116" s="30" t="str">
        <f aca="false">IF(OR($H116="",$I116="",NOT(ISNUMBER($H116))),"",IF($I116="Maund",ROUND($H116/37.32,2),$H116))</f>
        <v/>
      </c>
      <c r="L116" s="29"/>
      <c r="M116" s="21"/>
      <c r="N116" s="30" t="str">
        <f aca="false">IF(OR($L116="",$M116="",NOT(ISNUMBER($L116))),"",IF($M116="Maund",ROUND($L116*37.32,2),$L116))</f>
        <v/>
      </c>
      <c r="O116" s="21"/>
      <c r="P116" s="22"/>
    </row>
    <row r="117" customFormat="false" ht="19.5" hidden="false" customHeight="true" outlineLevel="0" collapsed="false">
      <c r="B117" s="28" t="s">
        <v>505</v>
      </c>
      <c r="C117" s="21"/>
      <c r="D117" s="21"/>
      <c r="E117" s="21"/>
      <c r="F117" s="21"/>
      <c r="G117" s="29"/>
      <c r="H117" s="29"/>
      <c r="I117" s="21"/>
      <c r="J117" s="30" t="str">
        <f aca="false">IF(OR($G117="",$I117="",NOT(ISNUMBER($G117))),"",IF($I117="Maund",ROUND($G117/37.32,2),$G117))</f>
        <v/>
      </c>
      <c r="K117" s="30" t="str">
        <f aca="false">IF(OR($H117="",$I117="",NOT(ISNUMBER($H117))),"",IF($I117="Maund",ROUND($H117/37.32,2),$H117))</f>
        <v/>
      </c>
      <c r="L117" s="29"/>
      <c r="M117" s="21"/>
      <c r="N117" s="30" t="str">
        <f aca="false">IF(OR($L117="",$M117="",NOT(ISNUMBER($L117))),"",IF($M117="Maund",ROUND($L117*37.32,2),$L117))</f>
        <v/>
      </c>
      <c r="O117" s="21"/>
      <c r="P117" s="22"/>
    </row>
    <row r="118" customFormat="false" ht="19.5" hidden="false" customHeight="true" outlineLevel="0" collapsed="false">
      <c r="B118" s="28" t="s">
        <v>506</v>
      </c>
      <c r="C118" s="21"/>
      <c r="D118" s="21"/>
      <c r="E118" s="21"/>
      <c r="F118" s="21"/>
      <c r="G118" s="29"/>
      <c r="H118" s="29"/>
      <c r="I118" s="21"/>
      <c r="J118" s="30" t="str">
        <f aca="false">IF(OR($G118="",$I118="",NOT(ISNUMBER($G118))),"",IF($I118="Maund",ROUND($G118/37.32,2),$G118))</f>
        <v/>
      </c>
      <c r="K118" s="30" t="str">
        <f aca="false">IF(OR($H118="",$I118="",NOT(ISNUMBER($H118))),"",IF($I118="Maund",ROUND($H118/37.32,2),$H118))</f>
        <v/>
      </c>
      <c r="L118" s="29"/>
      <c r="M118" s="21"/>
      <c r="N118" s="30" t="str">
        <f aca="false">IF(OR($L118="",$M118="",NOT(ISNUMBER($L118))),"",IF($M118="Maund",ROUND($L118*37.32,2),$L118))</f>
        <v/>
      </c>
      <c r="O118" s="21"/>
      <c r="P118" s="22"/>
    </row>
    <row r="119" customFormat="false" ht="19.5" hidden="false" customHeight="true" outlineLevel="0" collapsed="false">
      <c r="B119" s="28" t="s">
        <v>507</v>
      </c>
      <c r="C119" s="21"/>
      <c r="D119" s="21"/>
      <c r="E119" s="21"/>
      <c r="F119" s="21"/>
      <c r="G119" s="29"/>
      <c r="H119" s="29"/>
      <c r="I119" s="21"/>
      <c r="J119" s="30" t="str">
        <f aca="false">IF(OR($G119="",$I119="",NOT(ISNUMBER($G119))),"",IF($I119="Maund",ROUND($G119/37.32,2),$G119))</f>
        <v/>
      </c>
      <c r="K119" s="30" t="str">
        <f aca="false">IF(OR($H119="",$I119="",NOT(ISNUMBER($H119))),"",IF($I119="Maund",ROUND($H119/37.32,2),$H119))</f>
        <v/>
      </c>
      <c r="L119" s="29"/>
      <c r="M119" s="21"/>
      <c r="N119" s="30" t="str">
        <f aca="false">IF(OR($L119="",$M119="",NOT(ISNUMBER($L119))),"",IF($M119="Maund",ROUND($L119*37.32,2),$L119))</f>
        <v/>
      </c>
      <c r="O119" s="21"/>
      <c r="P119" s="22"/>
    </row>
    <row r="120" customFormat="false" ht="19.5" hidden="false" customHeight="true" outlineLevel="0" collapsed="false">
      <c r="B120" s="28" t="s">
        <v>508</v>
      </c>
      <c r="C120" s="21"/>
      <c r="D120" s="21"/>
      <c r="E120" s="21"/>
      <c r="F120" s="21"/>
      <c r="G120" s="29"/>
      <c r="H120" s="29"/>
      <c r="I120" s="21"/>
      <c r="J120" s="30" t="str">
        <f aca="false">IF(OR($G120="",$I120="",NOT(ISNUMBER($G120))),"",IF($I120="Maund",ROUND($G120/37.32,2),$G120))</f>
        <v/>
      </c>
      <c r="K120" s="30" t="str">
        <f aca="false">IF(OR($H120="",$I120="",NOT(ISNUMBER($H120))),"",IF($I120="Maund",ROUND($H120/37.32,2),$H120))</f>
        <v/>
      </c>
      <c r="L120" s="29"/>
      <c r="M120" s="21"/>
      <c r="N120" s="30" t="str">
        <f aca="false">IF(OR($L120="",$M120="",NOT(ISNUMBER($L120))),"",IF($M120="Maund",ROUND($L120*37.32,2),$L120))</f>
        <v/>
      </c>
      <c r="O120" s="21"/>
      <c r="P120" s="22"/>
    </row>
    <row r="121" customFormat="false" ht="19.5" hidden="false" customHeight="true" outlineLevel="0" collapsed="false">
      <c r="B121" s="28" t="s">
        <v>509</v>
      </c>
      <c r="C121" s="21"/>
      <c r="D121" s="21"/>
      <c r="E121" s="21"/>
      <c r="F121" s="21"/>
      <c r="G121" s="29"/>
      <c r="H121" s="29"/>
      <c r="I121" s="21"/>
      <c r="J121" s="30" t="str">
        <f aca="false">IF(OR($G121="",$I121="",NOT(ISNUMBER($G121))),"",IF($I121="Maund",ROUND($G121/37.32,2),$G121))</f>
        <v/>
      </c>
      <c r="K121" s="30" t="str">
        <f aca="false">IF(OR($H121="",$I121="",NOT(ISNUMBER($H121))),"",IF($I121="Maund",ROUND($H121/37.32,2),$H121))</f>
        <v/>
      </c>
      <c r="L121" s="29"/>
      <c r="M121" s="21"/>
      <c r="N121" s="30" t="str">
        <f aca="false">IF(OR($L121="",$M121="",NOT(ISNUMBER($L121))),"",IF($M121="Maund",ROUND($L121*37.32,2),$L121))</f>
        <v/>
      </c>
      <c r="O121" s="21"/>
      <c r="P121" s="22"/>
    </row>
    <row r="122" customFormat="false" ht="19.5" hidden="false" customHeight="true" outlineLevel="0" collapsed="false">
      <c r="B122" s="28" t="s">
        <v>510</v>
      </c>
      <c r="C122" s="21"/>
      <c r="D122" s="21"/>
      <c r="E122" s="21"/>
      <c r="F122" s="21"/>
      <c r="G122" s="29"/>
      <c r="H122" s="29"/>
      <c r="I122" s="21"/>
      <c r="J122" s="30" t="str">
        <f aca="false">IF(OR($G122="",$I122="",NOT(ISNUMBER($G122))),"",IF($I122="Maund",ROUND($G122/37.32,2),$G122))</f>
        <v/>
      </c>
      <c r="K122" s="30" t="str">
        <f aca="false">IF(OR($H122="",$I122="",NOT(ISNUMBER($H122))),"",IF($I122="Maund",ROUND($H122/37.32,2),$H122))</f>
        <v/>
      </c>
      <c r="L122" s="29"/>
      <c r="M122" s="21"/>
      <c r="N122" s="30" t="str">
        <f aca="false">IF(OR($L122="",$M122="",NOT(ISNUMBER($L122))),"",IF($M122="Maund",ROUND($L122*37.32,2),$L122))</f>
        <v/>
      </c>
      <c r="O122" s="21"/>
      <c r="P122" s="22"/>
    </row>
    <row r="123" customFormat="false" ht="19.5" hidden="false" customHeight="true" outlineLevel="0" collapsed="false">
      <c r="B123" s="28" t="s">
        <v>511</v>
      </c>
      <c r="C123" s="21"/>
      <c r="D123" s="21"/>
      <c r="E123" s="21"/>
      <c r="F123" s="21"/>
      <c r="G123" s="29"/>
      <c r="H123" s="29"/>
      <c r="I123" s="21"/>
      <c r="J123" s="30" t="str">
        <f aca="false">IF(OR($G123="",$I123="",NOT(ISNUMBER($G123))),"",IF($I123="Maund",ROUND($G123/37.32,2),$G123))</f>
        <v/>
      </c>
      <c r="K123" s="30" t="str">
        <f aca="false">IF(OR($H123="",$I123="",NOT(ISNUMBER($H123))),"",IF($I123="Maund",ROUND($H123/37.32,2),$H123))</f>
        <v/>
      </c>
      <c r="L123" s="29"/>
      <c r="M123" s="21"/>
      <c r="N123" s="30" t="str">
        <f aca="false">IF(OR($L123="",$M123="",NOT(ISNUMBER($L123))),"",IF($M123="Maund",ROUND($L123*37.32,2),$L123))</f>
        <v/>
      </c>
      <c r="O123" s="21"/>
      <c r="P123" s="22"/>
    </row>
    <row r="124" customFormat="false" ht="19.5" hidden="false" customHeight="true" outlineLevel="0" collapsed="false">
      <c r="B124" s="28" t="s">
        <v>512</v>
      </c>
      <c r="C124" s="21"/>
      <c r="D124" s="21"/>
      <c r="E124" s="21"/>
      <c r="F124" s="21"/>
      <c r="G124" s="29"/>
      <c r="H124" s="29"/>
      <c r="I124" s="21"/>
      <c r="J124" s="30" t="str">
        <f aca="false">IF(OR($G124="",$I124="",NOT(ISNUMBER($G124))),"",IF($I124="Maund",ROUND($G124/37.32,2),$G124))</f>
        <v/>
      </c>
      <c r="K124" s="30" t="str">
        <f aca="false">IF(OR($H124="",$I124="",NOT(ISNUMBER($H124))),"",IF($I124="Maund",ROUND($H124/37.32,2),$H124))</f>
        <v/>
      </c>
      <c r="L124" s="29"/>
      <c r="M124" s="21"/>
      <c r="N124" s="30" t="str">
        <f aca="false">IF(OR($L124="",$M124="",NOT(ISNUMBER($L124))),"",IF($M124="Maund",ROUND($L124*37.32,2),$L124))</f>
        <v/>
      </c>
      <c r="O124" s="21"/>
      <c r="P124" s="22"/>
    </row>
    <row r="125" customFormat="false" ht="19.5" hidden="false" customHeight="true" outlineLevel="0" collapsed="false">
      <c r="B125" s="28" t="s">
        <v>513</v>
      </c>
      <c r="C125" s="21"/>
      <c r="D125" s="21"/>
      <c r="E125" s="21"/>
      <c r="F125" s="21"/>
      <c r="G125" s="29"/>
      <c r="H125" s="29"/>
      <c r="I125" s="21"/>
      <c r="J125" s="30" t="str">
        <f aca="false">IF(OR($G125="",$I125="",NOT(ISNUMBER($G125))),"",IF($I125="Maund",ROUND($G125/37.32,2),$G125))</f>
        <v/>
      </c>
      <c r="K125" s="30" t="str">
        <f aca="false">IF(OR($H125="",$I125="",NOT(ISNUMBER($H125))),"",IF($I125="Maund",ROUND($H125/37.32,2),$H125))</f>
        <v/>
      </c>
      <c r="L125" s="29"/>
      <c r="M125" s="21"/>
      <c r="N125" s="30" t="str">
        <f aca="false">IF(OR($L125="",$M125="",NOT(ISNUMBER($L125))),"",IF($M125="Maund",ROUND($L125*37.32,2),$L125))</f>
        <v/>
      </c>
      <c r="O125" s="21"/>
      <c r="P125" s="22"/>
    </row>
    <row r="126" customFormat="false" ht="19.5" hidden="false" customHeight="true" outlineLevel="0" collapsed="false">
      <c r="B126" s="28" t="s">
        <v>514</v>
      </c>
      <c r="C126" s="21"/>
      <c r="D126" s="21"/>
      <c r="E126" s="21"/>
      <c r="F126" s="21"/>
      <c r="G126" s="29"/>
      <c r="H126" s="29"/>
      <c r="I126" s="21"/>
      <c r="J126" s="30" t="str">
        <f aca="false">IF(OR($G126="",$I126="",NOT(ISNUMBER($G126))),"",IF($I126="Maund",ROUND($G126/37.32,2),$G126))</f>
        <v/>
      </c>
      <c r="K126" s="30" t="str">
        <f aca="false">IF(OR($H126="",$I126="",NOT(ISNUMBER($H126))),"",IF($I126="Maund",ROUND($H126/37.32,2),$H126))</f>
        <v/>
      </c>
      <c r="L126" s="29"/>
      <c r="M126" s="21"/>
      <c r="N126" s="30" t="str">
        <f aca="false">IF(OR($L126="",$M126="",NOT(ISNUMBER($L126))),"",IF($M126="Maund",ROUND($L126*37.32,2),$L126))</f>
        <v/>
      </c>
      <c r="O126" s="21"/>
      <c r="P126" s="22"/>
    </row>
    <row r="127" customFormat="false" ht="19.5" hidden="false" customHeight="true" outlineLevel="0" collapsed="false">
      <c r="B127" s="28" t="s">
        <v>515</v>
      </c>
      <c r="C127" s="21"/>
      <c r="D127" s="21"/>
      <c r="E127" s="21"/>
      <c r="F127" s="21"/>
      <c r="G127" s="29"/>
      <c r="H127" s="29"/>
      <c r="I127" s="21"/>
      <c r="J127" s="30" t="str">
        <f aca="false">IF(OR($G127="",$I127="",NOT(ISNUMBER($G127))),"",IF($I127="Maund",ROUND($G127/37.32,2),$G127))</f>
        <v/>
      </c>
      <c r="K127" s="30" t="str">
        <f aca="false">IF(OR($H127="",$I127="",NOT(ISNUMBER($H127))),"",IF($I127="Maund",ROUND($H127/37.32,2),$H127))</f>
        <v/>
      </c>
      <c r="L127" s="29"/>
      <c r="M127" s="21"/>
      <c r="N127" s="30" t="str">
        <f aca="false">IF(OR($L127="",$M127="",NOT(ISNUMBER($L127))),"",IF($M127="Maund",ROUND($L127*37.32,2),$L127))</f>
        <v/>
      </c>
      <c r="O127" s="21"/>
      <c r="P127" s="22"/>
    </row>
    <row r="128" customFormat="false" ht="19.5" hidden="false" customHeight="true" outlineLevel="0" collapsed="false">
      <c r="B128" s="28" t="s">
        <v>516</v>
      </c>
      <c r="C128" s="21"/>
      <c r="D128" s="21"/>
      <c r="E128" s="21"/>
      <c r="F128" s="21"/>
      <c r="G128" s="29"/>
      <c r="H128" s="29"/>
      <c r="I128" s="21"/>
      <c r="J128" s="30" t="str">
        <f aca="false">IF(OR($G128="",$I128="",NOT(ISNUMBER($G128))),"",IF($I128="Maund",ROUND($G128/37.32,2),$G128))</f>
        <v/>
      </c>
      <c r="K128" s="30" t="str">
        <f aca="false">IF(OR($H128="",$I128="",NOT(ISNUMBER($H128))),"",IF($I128="Maund",ROUND($H128/37.32,2),$H128))</f>
        <v/>
      </c>
      <c r="L128" s="29"/>
      <c r="M128" s="21"/>
      <c r="N128" s="30" t="str">
        <f aca="false">IF(OR($L128="",$M128="",NOT(ISNUMBER($L128))),"",IF($M128="Maund",ROUND($L128*37.32,2),$L128))</f>
        <v/>
      </c>
      <c r="O128" s="21"/>
      <c r="P128" s="22"/>
    </row>
    <row r="129" customFormat="false" ht="19.5" hidden="false" customHeight="true" outlineLevel="0" collapsed="false">
      <c r="B129" s="28" t="s">
        <v>517</v>
      </c>
      <c r="C129" s="21"/>
      <c r="D129" s="21"/>
      <c r="E129" s="21"/>
      <c r="F129" s="21"/>
      <c r="G129" s="29"/>
      <c r="H129" s="29"/>
      <c r="I129" s="21"/>
      <c r="J129" s="30" t="str">
        <f aca="false">IF(OR($G129="",$I129="",NOT(ISNUMBER($G129))),"",IF($I129="Maund",ROUND($G129/37.32,2),$G129))</f>
        <v/>
      </c>
      <c r="K129" s="30" t="str">
        <f aca="false">IF(OR($H129="",$I129="",NOT(ISNUMBER($H129))),"",IF($I129="Maund",ROUND($H129/37.32,2),$H129))</f>
        <v/>
      </c>
      <c r="L129" s="29"/>
      <c r="M129" s="21"/>
      <c r="N129" s="30" t="str">
        <f aca="false">IF(OR($L129="",$M129="",NOT(ISNUMBER($L129))),"",IF($M129="Maund",ROUND($L129*37.32,2),$L129))</f>
        <v/>
      </c>
      <c r="O129" s="21"/>
      <c r="P129" s="22"/>
    </row>
    <row r="130" customFormat="false" ht="19.5" hidden="false" customHeight="true" outlineLevel="0" collapsed="false">
      <c r="B130" s="28" t="s">
        <v>518</v>
      </c>
      <c r="C130" s="21"/>
      <c r="D130" s="21"/>
      <c r="E130" s="21"/>
      <c r="F130" s="21"/>
      <c r="G130" s="29"/>
      <c r="H130" s="29"/>
      <c r="I130" s="21"/>
      <c r="J130" s="30" t="str">
        <f aca="false">IF(OR($G130="",$I130="",NOT(ISNUMBER($G130))),"",IF($I130="Maund",ROUND($G130/37.32,2),$G130))</f>
        <v/>
      </c>
      <c r="K130" s="30" t="str">
        <f aca="false">IF(OR($H130="",$I130="",NOT(ISNUMBER($H130))),"",IF($I130="Maund",ROUND($H130/37.32,2),$H130))</f>
        <v/>
      </c>
      <c r="L130" s="29"/>
      <c r="M130" s="21"/>
      <c r="N130" s="30" t="str">
        <f aca="false">IF(OR($L130="",$M130="",NOT(ISNUMBER($L130))),"",IF($M130="Maund",ROUND($L130*37.32,2),$L130))</f>
        <v/>
      </c>
      <c r="O130" s="21"/>
      <c r="P130" s="22"/>
    </row>
    <row r="131" customFormat="false" ht="19.5" hidden="false" customHeight="true" outlineLevel="0" collapsed="false">
      <c r="B131" s="28" t="s">
        <v>519</v>
      </c>
      <c r="C131" s="21"/>
      <c r="D131" s="21"/>
      <c r="E131" s="21"/>
      <c r="F131" s="21"/>
      <c r="G131" s="29"/>
      <c r="H131" s="29"/>
      <c r="I131" s="21"/>
      <c r="J131" s="30" t="str">
        <f aca="false">IF(OR($G131="",$I131="",NOT(ISNUMBER($G131))),"",IF($I131="Maund",ROUND($G131/37.32,2),$G131))</f>
        <v/>
      </c>
      <c r="K131" s="30" t="str">
        <f aca="false">IF(OR($H131="",$I131="",NOT(ISNUMBER($H131))),"",IF($I131="Maund",ROUND($H131/37.32,2),$H131))</f>
        <v/>
      </c>
      <c r="L131" s="29"/>
      <c r="M131" s="21"/>
      <c r="N131" s="30" t="str">
        <f aca="false">IF(OR($L131="",$M131="",NOT(ISNUMBER($L131))),"",IF($M131="Maund",ROUND($L131*37.32,2),$L131))</f>
        <v/>
      </c>
      <c r="O131" s="21"/>
      <c r="P131" s="22"/>
    </row>
    <row r="132" customFormat="false" ht="19.5" hidden="false" customHeight="true" outlineLevel="0" collapsed="false">
      <c r="B132" s="28" t="s">
        <v>520</v>
      </c>
      <c r="C132" s="21"/>
      <c r="D132" s="21"/>
      <c r="E132" s="21"/>
      <c r="F132" s="21"/>
      <c r="G132" s="29"/>
      <c r="H132" s="29"/>
      <c r="I132" s="21"/>
      <c r="J132" s="30" t="str">
        <f aca="false">IF(OR($G132="",$I132="",NOT(ISNUMBER($G132))),"",IF($I132="Maund",ROUND($G132/37.32,2),$G132))</f>
        <v/>
      </c>
      <c r="K132" s="30" t="str">
        <f aca="false">IF(OR($H132="",$I132="",NOT(ISNUMBER($H132))),"",IF($I132="Maund",ROUND($H132/37.32,2),$H132))</f>
        <v/>
      </c>
      <c r="L132" s="29"/>
      <c r="M132" s="21"/>
      <c r="N132" s="30" t="str">
        <f aca="false">IF(OR($L132="",$M132="",NOT(ISNUMBER($L132))),"",IF($M132="Maund",ROUND($L132*37.32,2),$L132))</f>
        <v/>
      </c>
      <c r="O132" s="21"/>
      <c r="P132" s="22"/>
    </row>
    <row r="133" customFormat="false" ht="19.5" hidden="false" customHeight="true" outlineLevel="0" collapsed="false">
      <c r="B133" s="28" t="s">
        <v>521</v>
      </c>
      <c r="C133" s="21"/>
      <c r="D133" s="21"/>
      <c r="E133" s="21"/>
      <c r="F133" s="21"/>
      <c r="G133" s="29"/>
      <c r="H133" s="29"/>
      <c r="I133" s="21"/>
      <c r="J133" s="30" t="str">
        <f aca="false">IF(OR($G133="",$I133="",NOT(ISNUMBER($G133))),"",IF($I133="Maund",ROUND($G133/37.32,2),$G133))</f>
        <v/>
      </c>
      <c r="K133" s="30" t="str">
        <f aca="false">IF(OR($H133="",$I133="",NOT(ISNUMBER($H133))),"",IF($I133="Maund",ROUND($H133/37.32,2),$H133))</f>
        <v/>
      </c>
      <c r="L133" s="29"/>
      <c r="M133" s="21"/>
      <c r="N133" s="30" t="str">
        <f aca="false">IF(OR($L133="",$M133="",NOT(ISNUMBER($L133))),"",IF($M133="Maund",ROUND($L133*37.32,2),$L133))</f>
        <v/>
      </c>
      <c r="O133" s="21"/>
      <c r="P133" s="22"/>
    </row>
    <row r="134" customFormat="false" ht="19.5" hidden="false" customHeight="true" outlineLevel="0" collapsed="false">
      <c r="B134" s="28" t="s">
        <v>522</v>
      </c>
      <c r="C134" s="21"/>
      <c r="D134" s="21"/>
      <c r="E134" s="21"/>
      <c r="F134" s="21"/>
      <c r="G134" s="29"/>
      <c r="H134" s="29"/>
      <c r="I134" s="21"/>
      <c r="J134" s="30" t="str">
        <f aca="false">IF(OR($G134="",$I134="",NOT(ISNUMBER($G134))),"",IF($I134="Maund",ROUND($G134/37.32,2),$G134))</f>
        <v/>
      </c>
      <c r="K134" s="30" t="str">
        <f aca="false">IF(OR($H134="",$I134="",NOT(ISNUMBER($H134))),"",IF($I134="Maund",ROUND($H134/37.32,2),$H134))</f>
        <v/>
      </c>
      <c r="L134" s="29"/>
      <c r="M134" s="21"/>
      <c r="N134" s="30" t="str">
        <f aca="false">IF(OR($L134="",$M134="",NOT(ISNUMBER($L134))),"",IF($M134="Maund",ROUND($L134*37.32,2),$L134))</f>
        <v/>
      </c>
      <c r="O134" s="21"/>
      <c r="P134" s="22"/>
    </row>
    <row r="135" customFormat="false" ht="19.5" hidden="false" customHeight="true" outlineLevel="0" collapsed="false">
      <c r="B135" s="28" t="s">
        <v>523</v>
      </c>
      <c r="C135" s="21"/>
      <c r="D135" s="21"/>
      <c r="E135" s="21"/>
      <c r="F135" s="21"/>
      <c r="G135" s="29"/>
      <c r="H135" s="29"/>
      <c r="I135" s="21"/>
      <c r="J135" s="30" t="str">
        <f aca="false">IF(OR($G135="",$I135="",NOT(ISNUMBER($G135))),"",IF($I135="Maund",ROUND($G135/37.32,2),$G135))</f>
        <v/>
      </c>
      <c r="K135" s="30" t="str">
        <f aca="false">IF(OR($H135="",$I135="",NOT(ISNUMBER($H135))),"",IF($I135="Maund",ROUND($H135/37.32,2),$H135))</f>
        <v/>
      </c>
      <c r="L135" s="29"/>
      <c r="M135" s="21"/>
      <c r="N135" s="30" t="str">
        <f aca="false">IF(OR($L135="",$M135="",NOT(ISNUMBER($L135))),"",IF($M135="Maund",ROUND($L135*37.32,2),$L135))</f>
        <v/>
      </c>
      <c r="O135" s="21"/>
      <c r="P135" s="22"/>
    </row>
    <row r="136" customFormat="false" ht="19.5" hidden="false" customHeight="true" outlineLevel="0" collapsed="false">
      <c r="B136" s="28" t="s">
        <v>524</v>
      </c>
      <c r="C136" s="21"/>
      <c r="D136" s="21"/>
      <c r="E136" s="21"/>
      <c r="F136" s="21"/>
      <c r="G136" s="29"/>
      <c r="H136" s="29"/>
      <c r="I136" s="21"/>
      <c r="J136" s="30" t="str">
        <f aca="false">IF(OR($G136="",$I136="",NOT(ISNUMBER($G136))),"",IF($I136="Maund",ROUND($G136/37.32,2),$G136))</f>
        <v/>
      </c>
      <c r="K136" s="30" t="str">
        <f aca="false">IF(OR($H136="",$I136="",NOT(ISNUMBER($H136))),"",IF($I136="Maund",ROUND($H136/37.32,2),$H136))</f>
        <v/>
      </c>
      <c r="L136" s="29"/>
      <c r="M136" s="21"/>
      <c r="N136" s="30" t="str">
        <f aca="false">IF(OR($L136="",$M136="",NOT(ISNUMBER($L136))),"",IF($M136="Maund",ROUND($L136*37.32,2),$L136))</f>
        <v/>
      </c>
      <c r="O136" s="21"/>
      <c r="P136" s="22"/>
    </row>
    <row r="137" customFormat="false" ht="19.5" hidden="false" customHeight="true" outlineLevel="0" collapsed="false">
      <c r="B137" s="28" t="s">
        <v>525</v>
      </c>
      <c r="C137" s="21"/>
      <c r="D137" s="21"/>
      <c r="E137" s="21"/>
      <c r="F137" s="21"/>
      <c r="G137" s="29"/>
      <c r="H137" s="29"/>
      <c r="I137" s="21"/>
      <c r="J137" s="30" t="str">
        <f aca="false">IF(OR($G137="",$I137="",NOT(ISNUMBER($G137))),"",IF($I137="Maund",ROUND($G137/37.32,2),$G137))</f>
        <v/>
      </c>
      <c r="K137" s="30" t="str">
        <f aca="false">IF(OR($H137="",$I137="",NOT(ISNUMBER($H137))),"",IF($I137="Maund",ROUND($H137/37.32,2),$H137))</f>
        <v/>
      </c>
      <c r="L137" s="29"/>
      <c r="M137" s="21"/>
      <c r="N137" s="30" t="str">
        <f aca="false">IF(OR($L137="",$M137="",NOT(ISNUMBER($L137))),"",IF($M137="Maund",ROUND($L137*37.32,2),$L137))</f>
        <v/>
      </c>
      <c r="O137" s="21"/>
      <c r="P137" s="22"/>
    </row>
    <row r="138" customFormat="false" ht="19.5" hidden="false" customHeight="true" outlineLevel="0" collapsed="false">
      <c r="B138" s="28" t="s">
        <v>526</v>
      </c>
      <c r="C138" s="21"/>
      <c r="D138" s="21"/>
      <c r="E138" s="21"/>
      <c r="F138" s="21"/>
      <c r="G138" s="29"/>
      <c r="H138" s="29"/>
      <c r="I138" s="21"/>
      <c r="J138" s="30" t="str">
        <f aca="false">IF(OR($G138="",$I138="",NOT(ISNUMBER($G138))),"",IF($I138="Maund",ROUND($G138/37.32,2),$G138))</f>
        <v/>
      </c>
      <c r="K138" s="30" t="str">
        <f aca="false">IF(OR($H138="",$I138="",NOT(ISNUMBER($H138))),"",IF($I138="Maund",ROUND($H138/37.32,2),$H138))</f>
        <v/>
      </c>
      <c r="L138" s="29"/>
      <c r="M138" s="21"/>
      <c r="N138" s="30" t="str">
        <f aca="false">IF(OR($L138="",$M138="",NOT(ISNUMBER($L138))),"",IF($M138="Maund",ROUND($L138*37.32,2),$L138))</f>
        <v/>
      </c>
      <c r="O138" s="21"/>
      <c r="P138" s="22"/>
    </row>
    <row r="139" customFormat="false" ht="19.5" hidden="false" customHeight="true" outlineLevel="0" collapsed="false">
      <c r="B139" s="28" t="s">
        <v>527</v>
      </c>
      <c r="C139" s="21"/>
      <c r="D139" s="21"/>
      <c r="E139" s="21"/>
      <c r="F139" s="21"/>
      <c r="G139" s="29"/>
      <c r="H139" s="29"/>
      <c r="I139" s="21"/>
      <c r="J139" s="30" t="str">
        <f aca="false">IF(OR($G139="",$I139="",NOT(ISNUMBER($G139))),"",IF($I139="Maund",ROUND($G139/37.32,2),$G139))</f>
        <v/>
      </c>
      <c r="K139" s="30" t="str">
        <f aca="false">IF(OR($H139="",$I139="",NOT(ISNUMBER($H139))),"",IF($I139="Maund",ROUND($H139/37.32,2),$H139))</f>
        <v/>
      </c>
      <c r="L139" s="29"/>
      <c r="M139" s="21"/>
      <c r="N139" s="30" t="str">
        <f aca="false">IF(OR($L139="",$M139="",NOT(ISNUMBER($L139))),"",IF($M139="Maund",ROUND($L139*37.32,2),$L139))</f>
        <v/>
      </c>
      <c r="O139" s="21"/>
      <c r="P139" s="22"/>
    </row>
    <row r="140" customFormat="false" ht="19.5" hidden="false" customHeight="true" outlineLevel="0" collapsed="false">
      <c r="B140" s="28" t="s">
        <v>528</v>
      </c>
      <c r="C140" s="21"/>
      <c r="D140" s="21"/>
      <c r="E140" s="21"/>
      <c r="F140" s="21"/>
      <c r="G140" s="29"/>
      <c r="H140" s="29"/>
      <c r="I140" s="21"/>
      <c r="J140" s="30" t="str">
        <f aca="false">IF(OR($G140="",$I140="",NOT(ISNUMBER($G140))),"",IF($I140="Maund",ROUND($G140/37.32,2),$G140))</f>
        <v/>
      </c>
      <c r="K140" s="30" t="str">
        <f aca="false">IF(OR($H140="",$I140="",NOT(ISNUMBER($H140))),"",IF($I140="Maund",ROUND($H140/37.32,2),$H140))</f>
        <v/>
      </c>
      <c r="L140" s="29"/>
      <c r="M140" s="21"/>
      <c r="N140" s="30" t="str">
        <f aca="false">IF(OR($L140="",$M140="",NOT(ISNUMBER($L140))),"",IF($M140="Maund",ROUND($L140*37.32,2),$L140))</f>
        <v/>
      </c>
      <c r="O140" s="21"/>
      <c r="P140" s="22"/>
    </row>
    <row r="141" customFormat="false" ht="19.5" hidden="false" customHeight="true" outlineLevel="0" collapsed="false">
      <c r="B141" s="28" t="s">
        <v>529</v>
      </c>
      <c r="C141" s="21"/>
      <c r="D141" s="21"/>
      <c r="E141" s="21"/>
      <c r="F141" s="21"/>
      <c r="G141" s="29"/>
      <c r="H141" s="29"/>
      <c r="I141" s="21"/>
      <c r="J141" s="30" t="str">
        <f aca="false">IF(OR($G141="",$I141="",NOT(ISNUMBER($G141))),"",IF($I141="Maund",ROUND($G141/37.32,2),$G141))</f>
        <v/>
      </c>
      <c r="K141" s="30" t="str">
        <f aca="false">IF(OR($H141="",$I141="",NOT(ISNUMBER($H141))),"",IF($I141="Maund",ROUND($H141/37.32,2),$H141))</f>
        <v/>
      </c>
      <c r="L141" s="29"/>
      <c r="M141" s="21"/>
      <c r="N141" s="30" t="str">
        <f aca="false">IF(OR($L141="",$M141="",NOT(ISNUMBER($L141))),"",IF($M141="Maund",ROUND($L141*37.32,2),$L141))</f>
        <v/>
      </c>
      <c r="O141" s="21"/>
      <c r="P141" s="22"/>
    </row>
    <row r="142" customFormat="false" ht="19.5" hidden="false" customHeight="true" outlineLevel="0" collapsed="false">
      <c r="B142" s="28" t="s">
        <v>530</v>
      </c>
      <c r="C142" s="21"/>
      <c r="D142" s="21"/>
      <c r="E142" s="21"/>
      <c r="F142" s="21"/>
      <c r="G142" s="29"/>
      <c r="H142" s="29"/>
      <c r="I142" s="21"/>
      <c r="J142" s="30" t="str">
        <f aca="false">IF(OR($G142="",$I142="",NOT(ISNUMBER($G142))),"",IF($I142="Maund",ROUND($G142/37.32,2),$G142))</f>
        <v/>
      </c>
      <c r="K142" s="30" t="str">
        <f aca="false">IF(OR($H142="",$I142="",NOT(ISNUMBER($H142))),"",IF($I142="Maund",ROUND($H142/37.32,2),$H142))</f>
        <v/>
      </c>
      <c r="L142" s="29"/>
      <c r="M142" s="21"/>
      <c r="N142" s="30" t="str">
        <f aca="false">IF(OR($L142="",$M142="",NOT(ISNUMBER($L142))),"",IF($M142="Maund",ROUND($L142*37.32,2),$L142))</f>
        <v/>
      </c>
      <c r="O142" s="21"/>
      <c r="P142" s="22"/>
    </row>
    <row r="143" customFormat="false" ht="19.5" hidden="false" customHeight="true" outlineLevel="0" collapsed="false">
      <c r="B143" s="28" t="s">
        <v>531</v>
      </c>
      <c r="C143" s="21"/>
      <c r="D143" s="21"/>
      <c r="E143" s="21"/>
      <c r="F143" s="21"/>
      <c r="G143" s="29"/>
      <c r="H143" s="29"/>
      <c r="I143" s="21"/>
      <c r="J143" s="30" t="str">
        <f aca="false">IF(OR($G143="",$I143="",NOT(ISNUMBER($G143))),"",IF($I143="Maund",ROUND($G143/37.32,2),$G143))</f>
        <v/>
      </c>
      <c r="K143" s="30" t="str">
        <f aca="false">IF(OR($H143="",$I143="",NOT(ISNUMBER($H143))),"",IF($I143="Maund",ROUND($H143/37.32,2),$H143))</f>
        <v/>
      </c>
      <c r="L143" s="29"/>
      <c r="M143" s="21"/>
      <c r="N143" s="30" t="str">
        <f aca="false">IF(OR($L143="",$M143="",NOT(ISNUMBER($L143))),"",IF($M143="Maund",ROUND($L143*37.32,2),$L143))</f>
        <v/>
      </c>
      <c r="O143" s="21"/>
      <c r="P143" s="22"/>
    </row>
    <row r="144" customFormat="false" ht="19.5" hidden="false" customHeight="true" outlineLevel="0" collapsed="false">
      <c r="B144" s="28" t="s">
        <v>532</v>
      </c>
      <c r="C144" s="21"/>
      <c r="D144" s="21"/>
      <c r="E144" s="21"/>
      <c r="F144" s="21"/>
      <c r="G144" s="29"/>
      <c r="H144" s="29"/>
      <c r="I144" s="21"/>
      <c r="J144" s="30" t="str">
        <f aca="false">IF(OR($G144="",$I144="",NOT(ISNUMBER($G144))),"",IF($I144="Maund",ROUND($G144/37.32,2),$G144))</f>
        <v/>
      </c>
      <c r="K144" s="30" t="str">
        <f aca="false">IF(OR($H144="",$I144="",NOT(ISNUMBER($H144))),"",IF($I144="Maund",ROUND($H144/37.32,2),$H144))</f>
        <v/>
      </c>
      <c r="L144" s="29"/>
      <c r="M144" s="21"/>
      <c r="N144" s="30" t="str">
        <f aca="false">IF(OR($L144="",$M144="",NOT(ISNUMBER($L144))),"",IF($M144="Maund",ROUND($L144*37.32,2),$L144))</f>
        <v/>
      </c>
      <c r="O144" s="21"/>
      <c r="P144" s="22"/>
    </row>
    <row r="145" customFormat="false" ht="19.5" hidden="false" customHeight="true" outlineLevel="0" collapsed="false">
      <c r="B145" s="28" t="s">
        <v>533</v>
      </c>
      <c r="C145" s="21"/>
      <c r="D145" s="21"/>
      <c r="E145" s="21"/>
      <c r="F145" s="21"/>
      <c r="G145" s="29"/>
      <c r="H145" s="29"/>
      <c r="I145" s="21"/>
      <c r="J145" s="30" t="str">
        <f aca="false">IF(OR($G145="",$I145="",NOT(ISNUMBER($G145))),"",IF($I145="Maund",ROUND($G145/37.32,2),$G145))</f>
        <v/>
      </c>
      <c r="K145" s="30" t="str">
        <f aca="false">IF(OR($H145="",$I145="",NOT(ISNUMBER($H145))),"",IF($I145="Maund",ROUND($H145/37.32,2),$H145))</f>
        <v/>
      </c>
      <c r="L145" s="29"/>
      <c r="M145" s="21"/>
      <c r="N145" s="30" t="str">
        <f aca="false">IF(OR($L145="",$M145="",NOT(ISNUMBER($L145))),"",IF($M145="Maund",ROUND($L145*37.32,2),$L145))</f>
        <v/>
      </c>
      <c r="O145" s="21"/>
      <c r="P145" s="22"/>
    </row>
    <row r="146" customFormat="false" ht="19.5" hidden="false" customHeight="true" outlineLevel="0" collapsed="false">
      <c r="B146" s="28" t="s">
        <v>534</v>
      </c>
      <c r="C146" s="21"/>
      <c r="D146" s="21"/>
      <c r="E146" s="21"/>
      <c r="F146" s="21"/>
      <c r="G146" s="29"/>
      <c r="H146" s="29"/>
      <c r="I146" s="21"/>
      <c r="J146" s="30" t="str">
        <f aca="false">IF(OR($G146="",$I146="",NOT(ISNUMBER($G146))),"",IF($I146="Maund",ROUND($G146/37.32,2),$G146))</f>
        <v/>
      </c>
      <c r="K146" s="30" t="str">
        <f aca="false">IF(OR($H146="",$I146="",NOT(ISNUMBER($H146))),"",IF($I146="Maund",ROUND($H146/37.32,2),$H146))</f>
        <v/>
      </c>
      <c r="L146" s="29"/>
      <c r="M146" s="21"/>
      <c r="N146" s="30" t="str">
        <f aca="false">IF(OR($L146="",$M146="",NOT(ISNUMBER($L146))),"",IF($M146="Maund",ROUND($L146*37.32,2),$L146))</f>
        <v/>
      </c>
      <c r="O146" s="21"/>
      <c r="P146" s="22"/>
    </row>
    <row r="147" customFormat="false" ht="19.5" hidden="false" customHeight="true" outlineLevel="0" collapsed="false">
      <c r="B147" s="28" t="s">
        <v>535</v>
      </c>
      <c r="C147" s="21"/>
      <c r="D147" s="21"/>
      <c r="E147" s="21"/>
      <c r="F147" s="21"/>
      <c r="G147" s="29"/>
      <c r="H147" s="29"/>
      <c r="I147" s="21"/>
      <c r="J147" s="30" t="str">
        <f aca="false">IF(OR($G147="",$I147="",NOT(ISNUMBER($G147))),"",IF($I147="Maund",ROUND($G147/37.32,2),$G147))</f>
        <v/>
      </c>
      <c r="K147" s="30" t="str">
        <f aca="false">IF(OR($H147="",$I147="",NOT(ISNUMBER($H147))),"",IF($I147="Maund",ROUND($H147/37.32,2),$H147))</f>
        <v/>
      </c>
      <c r="L147" s="29"/>
      <c r="M147" s="21"/>
      <c r="N147" s="30" t="str">
        <f aca="false">IF(OR($L147="",$M147="",NOT(ISNUMBER($L147))),"",IF($M147="Maund",ROUND($L147*37.32,2),$L147))</f>
        <v/>
      </c>
      <c r="O147" s="21"/>
      <c r="P147" s="22"/>
    </row>
    <row r="148" customFormat="false" ht="19.5" hidden="false" customHeight="true" outlineLevel="0" collapsed="false">
      <c r="B148" s="28" t="s">
        <v>536</v>
      </c>
      <c r="C148" s="21"/>
      <c r="D148" s="21"/>
      <c r="E148" s="21"/>
      <c r="F148" s="21"/>
      <c r="G148" s="29"/>
      <c r="H148" s="29"/>
      <c r="I148" s="21"/>
      <c r="J148" s="30" t="str">
        <f aca="false">IF(OR($G148="",$I148="",NOT(ISNUMBER($G148))),"",IF($I148="Maund",ROUND($G148/37.32,2),$G148))</f>
        <v/>
      </c>
      <c r="K148" s="30" t="str">
        <f aca="false">IF(OR($H148="",$I148="",NOT(ISNUMBER($H148))),"",IF($I148="Maund",ROUND($H148/37.32,2),$H148))</f>
        <v/>
      </c>
      <c r="L148" s="29"/>
      <c r="M148" s="21"/>
      <c r="N148" s="30" t="str">
        <f aca="false">IF(OR($L148="",$M148="",NOT(ISNUMBER($L148))),"",IF($M148="Maund",ROUND($L148*37.32,2),$L148))</f>
        <v/>
      </c>
      <c r="O148" s="21"/>
      <c r="P148" s="22"/>
    </row>
    <row r="149" customFormat="false" ht="19.5" hidden="false" customHeight="true" outlineLevel="0" collapsed="false">
      <c r="B149" s="28" t="s">
        <v>537</v>
      </c>
      <c r="C149" s="21"/>
      <c r="D149" s="21"/>
      <c r="E149" s="21"/>
      <c r="F149" s="21"/>
      <c r="G149" s="29"/>
      <c r="H149" s="29"/>
      <c r="I149" s="21"/>
      <c r="J149" s="30" t="str">
        <f aca="false">IF(OR($G149="",$I149="",NOT(ISNUMBER($G149))),"",IF($I149="Maund",ROUND($G149/37.32,2),$G149))</f>
        <v/>
      </c>
      <c r="K149" s="30" t="str">
        <f aca="false">IF(OR($H149="",$I149="",NOT(ISNUMBER($H149))),"",IF($I149="Maund",ROUND($H149/37.32,2),$H149))</f>
        <v/>
      </c>
      <c r="L149" s="29"/>
      <c r="M149" s="21"/>
      <c r="N149" s="30" t="str">
        <f aca="false">IF(OR($L149="",$M149="",NOT(ISNUMBER($L149))),"",IF($M149="Maund",ROUND($L149*37.32,2),$L149))</f>
        <v/>
      </c>
      <c r="O149" s="21"/>
      <c r="P149" s="22"/>
    </row>
    <row r="150" customFormat="false" ht="19.5" hidden="false" customHeight="true" outlineLevel="0" collapsed="false">
      <c r="B150" s="28" t="s">
        <v>538</v>
      </c>
      <c r="C150" s="21"/>
      <c r="D150" s="21"/>
      <c r="E150" s="21"/>
      <c r="F150" s="21"/>
      <c r="G150" s="29"/>
      <c r="H150" s="29"/>
      <c r="I150" s="21"/>
      <c r="J150" s="30" t="str">
        <f aca="false">IF(OR($G150="",$I150="",NOT(ISNUMBER($G150))),"",IF($I150="Maund",ROUND($G150/37.32,2),$G150))</f>
        <v/>
      </c>
      <c r="K150" s="30" t="str">
        <f aca="false">IF(OR($H150="",$I150="",NOT(ISNUMBER($H150))),"",IF($I150="Maund",ROUND($H150/37.32,2),$H150))</f>
        <v/>
      </c>
      <c r="L150" s="29"/>
      <c r="M150" s="21"/>
      <c r="N150" s="30" t="str">
        <f aca="false">IF(OR($L150="",$M150="",NOT(ISNUMBER($L150))),"",IF($M150="Maund",ROUND($L150*37.32,2),$L150))</f>
        <v/>
      </c>
      <c r="O150" s="21"/>
      <c r="P150" s="22"/>
    </row>
    <row r="151" customFormat="false" ht="19.5" hidden="false" customHeight="true" outlineLevel="0" collapsed="false">
      <c r="B151" s="28" t="s">
        <v>539</v>
      </c>
      <c r="C151" s="21"/>
      <c r="D151" s="21"/>
      <c r="E151" s="21"/>
      <c r="F151" s="21"/>
      <c r="G151" s="29"/>
      <c r="H151" s="29"/>
      <c r="I151" s="21"/>
      <c r="J151" s="30" t="str">
        <f aca="false">IF(OR($G151="",$I151="",NOT(ISNUMBER($G151))),"",IF($I151="Maund",ROUND($G151/37.32,2),$G151))</f>
        <v/>
      </c>
      <c r="K151" s="30" t="str">
        <f aca="false">IF(OR($H151="",$I151="",NOT(ISNUMBER($H151))),"",IF($I151="Maund",ROUND($H151/37.32,2),$H151))</f>
        <v/>
      </c>
      <c r="L151" s="29"/>
      <c r="M151" s="21"/>
      <c r="N151" s="30" t="str">
        <f aca="false">IF(OR($L151="",$M151="",NOT(ISNUMBER($L151))),"",IF($M151="Maund",ROUND($L151*37.32,2),$L151))</f>
        <v/>
      </c>
      <c r="O151" s="21"/>
      <c r="P151" s="22"/>
    </row>
    <row r="152" customFormat="false" ht="19.5" hidden="false" customHeight="true" outlineLevel="0" collapsed="false">
      <c r="B152" s="28" t="s">
        <v>540</v>
      </c>
      <c r="C152" s="21"/>
      <c r="D152" s="21"/>
      <c r="E152" s="21"/>
      <c r="F152" s="21"/>
      <c r="G152" s="29"/>
      <c r="H152" s="29"/>
      <c r="I152" s="21"/>
      <c r="J152" s="30" t="str">
        <f aca="false">IF(OR($G152="",$I152="",NOT(ISNUMBER($G152))),"",IF($I152="Maund",ROUND($G152/37.32,2),$G152))</f>
        <v/>
      </c>
      <c r="K152" s="30" t="str">
        <f aca="false">IF(OR($H152="",$I152="",NOT(ISNUMBER($H152))),"",IF($I152="Maund",ROUND($H152/37.32,2),$H152))</f>
        <v/>
      </c>
      <c r="L152" s="29"/>
      <c r="M152" s="21"/>
      <c r="N152" s="30" t="str">
        <f aca="false">IF(OR($L152="",$M152="",NOT(ISNUMBER($L152))),"",IF($M152="Maund",ROUND($L152*37.32,2),$L152))</f>
        <v/>
      </c>
      <c r="O152" s="21"/>
      <c r="P152" s="22"/>
    </row>
    <row r="153" customFormat="false" ht="19.5" hidden="false" customHeight="true" outlineLevel="0" collapsed="false">
      <c r="B153" s="28" t="s">
        <v>541</v>
      </c>
      <c r="C153" s="21"/>
      <c r="D153" s="21"/>
      <c r="E153" s="21"/>
      <c r="F153" s="21"/>
      <c r="G153" s="29"/>
      <c r="H153" s="29"/>
      <c r="I153" s="21"/>
      <c r="J153" s="30" t="str">
        <f aca="false">IF(OR($G153="",$I153="",NOT(ISNUMBER($G153))),"",IF($I153="Maund",ROUND($G153/37.32,2),$G153))</f>
        <v/>
      </c>
      <c r="K153" s="30" t="str">
        <f aca="false">IF(OR($H153="",$I153="",NOT(ISNUMBER($H153))),"",IF($I153="Maund",ROUND($H153/37.32,2),$H153))</f>
        <v/>
      </c>
      <c r="L153" s="29"/>
      <c r="M153" s="21"/>
      <c r="N153" s="30" t="str">
        <f aca="false">IF(OR($L153="",$M153="",NOT(ISNUMBER($L153))),"",IF($M153="Maund",ROUND($L153*37.32,2),$L153))</f>
        <v/>
      </c>
      <c r="O153" s="21"/>
      <c r="P153" s="22"/>
    </row>
    <row r="154" customFormat="false" ht="19.5" hidden="false" customHeight="true" outlineLevel="0" collapsed="false">
      <c r="B154" s="28" t="s">
        <v>542</v>
      </c>
      <c r="C154" s="21"/>
      <c r="D154" s="21"/>
      <c r="E154" s="21"/>
      <c r="F154" s="21"/>
      <c r="G154" s="29"/>
      <c r="H154" s="29"/>
      <c r="I154" s="21"/>
      <c r="J154" s="30" t="str">
        <f aca="false">IF(OR($G154="",$I154="",NOT(ISNUMBER($G154))),"",IF($I154="Maund",ROUND($G154/37.32,2),$G154))</f>
        <v/>
      </c>
      <c r="K154" s="30" t="str">
        <f aca="false">IF(OR($H154="",$I154="",NOT(ISNUMBER($H154))),"",IF($I154="Maund",ROUND($H154/37.32,2),$H154))</f>
        <v/>
      </c>
      <c r="L154" s="29"/>
      <c r="M154" s="21"/>
      <c r="N154" s="30" t="str">
        <f aca="false">IF(OR($L154="",$M154="",NOT(ISNUMBER($L154))),"",IF($M154="Maund",ROUND($L154*37.32,2),$L154))</f>
        <v/>
      </c>
      <c r="O154" s="21"/>
      <c r="P154" s="22"/>
    </row>
    <row r="155" customFormat="false" ht="19.5" hidden="false" customHeight="true" outlineLevel="0" collapsed="false">
      <c r="B155" s="28" t="s">
        <v>543</v>
      </c>
      <c r="C155" s="21"/>
      <c r="D155" s="21"/>
      <c r="E155" s="21"/>
      <c r="F155" s="21"/>
      <c r="G155" s="29"/>
      <c r="H155" s="29"/>
      <c r="I155" s="21"/>
      <c r="J155" s="30" t="str">
        <f aca="false">IF(OR($G155="",$I155="",NOT(ISNUMBER($G155))),"",IF($I155="Maund",ROUND($G155/37.32,2),$G155))</f>
        <v/>
      </c>
      <c r="K155" s="30" t="str">
        <f aca="false">IF(OR($H155="",$I155="",NOT(ISNUMBER($H155))),"",IF($I155="Maund",ROUND($H155/37.32,2),$H155))</f>
        <v/>
      </c>
      <c r="L155" s="29"/>
      <c r="M155" s="21"/>
      <c r="N155" s="30" t="str">
        <f aca="false">IF(OR($L155="",$M155="",NOT(ISNUMBER($L155))),"",IF($M155="Maund",ROUND($L155*37.32,2),$L155))</f>
        <v/>
      </c>
      <c r="O155" s="21"/>
      <c r="P155" s="22"/>
    </row>
    <row r="156" customFormat="false" ht="19.5" hidden="false" customHeight="true" outlineLevel="0" collapsed="false">
      <c r="B156" s="28" t="s">
        <v>544</v>
      </c>
      <c r="C156" s="21"/>
      <c r="D156" s="21"/>
      <c r="E156" s="21"/>
      <c r="F156" s="21"/>
      <c r="G156" s="29"/>
      <c r="H156" s="29"/>
      <c r="I156" s="21"/>
      <c r="J156" s="30" t="str">
        <f aca="false">IF(OR($G156="",$I156="",NOT(ISNUMBER($G156))),"",IF($I156="Maund",ROUND($G156/37.32,2),$G156))</f>
        <v/>
      </c>
      <c r="K156" s="30" t="str">
        <f aca="false">IF(OR($H156="",$I156="",NOT(ISNUMBER($H156))),"",IF($I156="Maund",ROUND($H156/37.32,2),$H156))</f>
        <v/>
      </c>
      <c r="L156" s="29"/>
      <c r="M156" s="21"/>
      <c r="N156" s="30" t="str">
        <f aca="false">IF(OR($L156="",$M156="",NOT(ISNUMBER($L156))),"",IF($M156="Maund",ROUND($L156*37.32,2),$L156))</f>
        <v/>
      </c>
      <c r="O156" s="21"/>
      <c r="P156" s="22"/>
    </row>
    <row r="157" customFormat="false" ht="19.5" hidden="false" customHeight="true" outlineLevel="0" collapsed="false">
      <c r="B157" s="28" t="s">
        <v>545</v>
      </c>
      <c r="C157" s="21"/>
      <c r="D157" s="21"/>
      <c r="E157" s="21"/>
      <c r="F157" s="21"/>
      <c r="G157" s="29"/>
      <c r="H157" s="29"/>
      <c r="I157" s="21"/>
      <c r="J157" s="30" t="str">
        <f aca="false">IF(OR($G157="",$I157="",NOT(ISNUMBER($G157))),"",IF($I157="Maund",ROUND($G157/37.32,2),$G157))</f>
        <v/>
      </c>
      <c r="K157" s="30" t="str">
        <f aca="false">IF(OR($H157="",$I157="",NOT(ISNUMBER($H157))),"",IF($I157="Maund",ROUND($H157/37.32,2),$H157))</f>
        <v/>
      </c>
      <c r="L157" s="29"/>
      <c r="M157" s="21"/>
      <c r="N157" s="30" t="str">
        <f aca="false">IF(OR($L157="",$M157="",NOT(ISNUMBER($L157))),"",IF($M157="Maund",ROUND($L157*37.32,2),$L157))</f>
        <v/>
      </c>
      <c r="O157" s="21"/>
      <c r="P157" s="22"/>
    </row>
    <row r="158" customFormat="false" ht="19.5" hidden="false" customHeight="true" outlineLevel="0" collapsed="false">
      <c r="B158" s="28" t="s">
        <v>546</v>
      </c>
      <c r="C158" s="21"/>
      <c r="D158" s="21"/>
      <c r="E158" s="21"/>
      <c r="F158" s="21"/>
      <c r="G158" s="29"/>
      <c r="H158" s="29"/>
      <c r="I158" s="21"/>
      <c r="J158" s="30" t="str">
        <f aca="false">IF(OR($G158="",$I158="",NOT(ISNUMBER($G158))),"",IF($I158="Maund",ROUND($G158/37.32,2),$G158))</f>
        <v/>
      </c>
      <c r="K158" s="30" t="str">
        <f aca="false">IF(OR($H158="",$I158="",NOT(ISNUMBER($H158))),"",IF($I158="Maund",ROUND($H158/37.32,2),$H158))</f>
        <v/>
      </c>
      <c r="L158" s="29"/>
      <c r="M158" s="21"/>
      <c r="N158" s="30" t="str">
        <f aca="false">IF(OR($L158="",$M158="",NOT(ISNUMBER($L158))),"",IF($M158="Maund",ROUND($L158*37.32,2),$L158))</f>
        <v/>
      </c>
      <c r="O158" s="21"/>
      <c r="P158" s="22"/>
    </row>
    <row r="159" customFormat="false" ht="19.5" hidden="false" customHeight="true" outlineLevel="0" collapsed="false">
      <c r="B159" s="28" t="s">
        <v>547</v>
      </c>
      <c r="C159" s="21"/>
      <c r="D159" s="21"/>
      <c r="E159" s="21"/>
      <c r="F159" s="21"/>
      <c r="G159" s="29"/>
      <c r="H159" s="29"/>
      <c r="I159" s="21"/>
      <c r="J159" s="30" t="str">
        <f aca="false">IF(OR($G159="",$I159="",NOT(ISNUMBER($G159))),"",IF($I159="Maund",ROUND($G159/37.32,2),$G159))</f>
        <v/>
      </c>
      <c r="K159" s="30" t="str">
        <f aca="false">IF(OR($H159="",$I159="",NOT(ISNUMBER($H159))),"",IF($I159="Maund",ROUND($H159/37.32,2),$H159))</f>
        <v/>
      </c>
      <c r="L159" s="29"/>
      <c r="M159" s="21"/>
      <c r="N159" s="30" t="str">
        <f aca="false">IF(OR($L159="",$M159="",NOT(ISNUMBER($L159))),"",IF($M159="Maund",ROUND($L159*37.32,2),$L159))</f>
        <v/>
      </c>
      <c r="O159" s="21"/>
      <c r="P159" s="22"/>
    </row>
    <row r="160" customFormat="false" ht="19.5" hidden="false" customHeight="true" outlineLevel="0" collapsed="false">
      <c r="B160" s="28" t="s">
        <v>548</v>
      </c>
      <c r="C160" s="21"/>
      <c r="D160" s="21"/>
      <c r="E160" s="21"/>
      <c r="F160" s="21"/>
      <c r="G160" s="29"/>
      <c r="H160" s="29"/>
      <c r="I160" s="21"/>
      <c r="J160" s="30" t="str">
        <f aca="false">IF(OR($G160="",$I160="",NOT(ISNUMBER($G160))),"",IF($I160="Maund",ROUND($G160/37.32,2),$G160))</f>
        <v/>
      </c>
      <c r="K160" s="30" t="str">
        <f aca="false">IF(OR($H160="",$I160="",NOT(ISNUMBER($H160))),"",IF($I160="Maund",ROUND($H160/37.32,2),$H160))</f>
        <v/>
      </c>
      <c r="L160" s="29"/>
      <c r="M160" s="21"/>
      <c r="N160" s="30" t="str">
        <f aca="false">IF(OR($L160="",$M160="",NOT(ISNUMBER($L160))),"",IF($M160="Maund",ROUND($L160*37.32,2),$L160))</f>
        <v/>
      </c>
      <c r="O160" s="21"/>
      <c r="P160" s="22"/>
    </row>
    <row r="161" customFormat="false" ht="19.5" hidden="false" customHeight="true" outlineLevel="0" collapsed="false">
      <c r="B161" s="28" t="s">
        <v>549</v>
      </c>
      <c r="C161" s="21"/>
      <c r="D161" s="21"/>
      <c r="E161" s="21"/>
      <c r="F161" s="21"/>
      <c r="G161" s="29"/>
      <c r="H161" s="29"/>
      <c r="I161" s="21"/>
      <c r="J161" s="30" t="str">
        <f aca="false">IF(OR($G161="",$I161="",NOT(ISNUMBER($G161))),"",IF($I161="Maund",ROUND($G161/37.32,2),$G161))</f>
        <v/>
      </c>
      <c r="K161" s="30" t="str">
        <f aca="false">IF(OR($H161="",$I161="",NOT(ISNUMBER($H161))),"",IF($I161="Maund",ROUND($H161/37.32,2),$H161))</f>
        <v/>
      </c>
      <c r="L161" s="29"/>
      <c r="M161" s="21"/>
      <c r="N161" s="30" t="str">
        <f aca="false">IF(OR($L161="",$M161="",NOT(ISNUMBER($L161))),"",IF($M161="Maund",ROUND($L161*37.32,2),$L161))</f>
        <v/>
      </c>
      <c r="O161" s="21"/>
      <c r="P161" s="22"/>
    </row>
    <row r="162" customFormat="false" ht="19.5" hidden="false" customHeight="true" outlineLevel="0" collapsed="false">
      <c r="B162" s="28" t="s">
        <v>550</v>
      </c>
      <c r="C162" s="21"/>
      <c r="D162" s="21"/>
      <c r="E162" s="21"/>
      <c r="F162" s="21"/>
      <c r="G162" s="29"/>
      <c r="H162" s="29"/>
      <c r="I162" s="21"/>
      <c r="J162" s="30" t="str">
        <f aca="false">IF(OR($G162="",$I162="",NOT(ISNUMBER($G162))),"",IF($I162="Maund",ROUND($G162/37.32,2),$G162))</f>
        <v/>
      </c>
      <c r="K162" s="30" t="str">
        <f aca="false">IF(OR($H162="",$I162="",NOT(ISNUMBER($H162))),"",IF($I162="Maund",ROUND($H162/37.32,2),$H162))</f>
        <v/>
      </c>
      <c r="L162" s="29"/>
      <c r="M162" s="21"/>
      <c r="N162" s="30" t="str">
        <f aca="false">IF(OR($L162="",$M162="",NOT(ISNUMBER($L162))),"",IF($M162="Maund",ROUND($L162*37.32,2),$L162))</f>
        <v/>
      </c>
      <c r="O162" s="21"/>
      <c r="P162" s="22"/>
    </row>
    <row r="163" customFormat="false" ht="19.5" hidden="false" customHeight="true" outlineLevel="0" collapsed="false">
      <c r="B163" s="28" t="s">
        <v>551</v>
      </c>
      <c r="C163" s="21"/>
      <c r="D163" s="21"/>
      <c r="E163" s="21"/>
      <c r="F163" s="21"/>
      <c r="G163" s="29"/>
      <c r="H163" s="29"/>
      <c r="I163" s="21"/>
      <c r="J163" s="30" t="str">
        <f aca="false">IF(OR($G163="",$I163="",NOT(ISNUMBER($G163))),"",IF($I163="Maund",ROUND($G163/37.32,2),$G163))</f>
        <v/>
      </c>
      <c r="K163" s="30" t="str">
        <f aca="false">IF(OR($H163="",$I163="",NOT(ISNUMBER($H163))),"",IF($I163="Maund",ROUND($H163/37.32,2),$H163))</f>
        <v/>
      </c>
      <c r="L163" s="29"/>
      <c r="M163" s="21"/>
      <c r="N163" s="30" t="str">
        <f aca="false">IF(OR($L163="",$M163="",NOT(ISNUMBER($L163))),"",IF($M163="Maund",ROUND($L163*37.32,2),$L163))</f>
        <v/>
      </c>
      <c r="O163" s="21"/>
      <c r="P163" s="22"/>
    </row>
    <row r="164" customFormat="false" ht="19.5" hidden="false" customHeight="true" outlineLevel="0" collapsed="false">
      <c r="B164" s="28" t="s">
        <v>552</v>
      </c>
      <c r="C164" s="21"/>
      <c r="D164" s="21"/>
      <c r="E164" s="21"/>
      <c r="F164" s="21"/>
      <c r="G164" s="29"/>
      <c r="H164" s="29"/>
      <c r="I164" s="21"/>
      <c r="J164" s="30" t="str">
        <f aca="false">IF(OR($G164="",$I164="",NOT(ISNUMBER($G164))),"",IF($I164="Maund",ROUND($G164/37.32,2),$G164))</f>
        <v/>
      </c>
      <c r="K164" s="30" t="str">
        <f aca="false">IF(OR($H164="",$I164="",NOT(ISNUMBER($H164))),"",IF($I164="Maund",ROUND($H164/37.32,2),$H164))</f>
        <v/>
      </c>
      <c r="L164" s="29"/>
      <c r="M164" s="21"/>
      <c r="N164" s="30" t="str">
        <f aca="false">IF(OR($L164="",$M164="",NOT(ISNUMBER($L164))),"",IF($M164="Maund",ROUND($L164*37.32,2),$L164))</f>
        <v/>
      </c>
      <c r="O164" s="21"/>
      <c r="P164" s="22"/>
    </row>
    <row r="165" customFormat="false" ht="19.5" hidden="false" customHeight="true" outlineLevel="0" collapsed="false">
      <c r="B165" s="28" t="s">
        <v>553</v>
      </c>
      <c r="C165" s="21"/>
      <c r="D165" s="21"/>
      <c r="E165" s="21"/>
      <c r="F165" s="21"/>
      <c r="G165" s="29"/>
      <c r="H165" s="29"/>
      <c r="I165" s="21"/>
      <c r="J165" s="30" t="str">
        <f aca="false">IF(OR($G165="",$I165="",NOT(ISNUMBER($G165))),"",IF($I165="Maund",ROUND($G165/37.32,2),$G165))</f>
        <v/>
      </c>
      <c r="K165" s="30" t="str">
        <f aca="false">IF(OR($H165="",$I165="",NOT(ISNUMBER($H165))),"",IF($I165="Maund",ROUND($H165/37.32,2),$H165))</f>
        <v/>
      </c>
      <c r="L165" s="29"/>
      <c r="M165" s="21"/>
      <c r="N165" s="30" t="str">
        <f aca="false">IF(OR($L165="",$M165="",NOT(ISNUMBER($L165))),"",IF($M165="Maund",ROUND($L165*37.32,2),$L165))</f>
        <v/>
      </c>
      <c r="O165" s="21"/>
      <c r="P165" s="22"/>
    </row>
    <row r="166" customFormat="false" ht="19.5" hidden="false" customHeight="true" outlineLevel="0" collapsed="false">
      <c r="B166" s="28" t="s">
        <v>554</v>
      </c>
      <c r="C166" s="21"/>
      <c r="D166" s="21"/>
      <c r="E166" s="21"/>
      <c r="F166" s="21"/>
      <c r="G166" s="29"/>
      <c r="H166" s="29"/>
      <c r="I166" s="21"/>
      <c r="J166" s="30" t="str">
        <f aca="false">IF(OR($G166="",$I166="",NOT(ISNUMBER($G166))),"",IF($I166="Maund",ROUND($G166/37.32,2),$G166))</f>
        <v/>
      </c>
      <c r="K166" s="30" t="str">
        <f aca="false">IF(OR($H166="",$I166="",NOT(ISNUMBER($H166))),"",IF($I166="Maund",ROUND($H166/37.32,2),$H166))</f>
        <v/>
      </c>
      <c r="L166" s="29"/>
      <c r="M166" s="21"/>
      <c r="N166" s="30" t="str">
        <f aca="false">IF(OR($L166="",$M166="",NOT(ISNUMBER($L166))),"",IF($M166="Maund",ROUND($L166*37.32,2),$L166))</f>
        <v/>
      </c>
      <c r="O166" s="21"/>
      <c r="P166" s="22"/>
    </row>
    <row r="167" customFormat="false" ht="19.5" hidden="false" customHeight="true" outlineLevel="0" collapsed="false">
      <c r="B167" s="28" t="s">
        <v>555</v>
      </c>
      <c r="C167" s="21"/>
      <c r="D167" s="21"/>
      <c r="E167" s="21"/>
      <c r="F167" s="21"/>
      <c r="G167" s="29"/>
      <c r="H167" s="29"/>
      <c r="I167" s="21"/>
      <c r="J167" s="30" t="str">
        <f aca="false">IF(OR($G167="",$I167="",NOT(ISNUMBER($G167))),"",IF($I167="Maund",ROUND($G167/37.32,2),$G167))</f>
        <v/>
      </c>
      <c r="K167" s="30" t="str">
        <f aca="false">IF(OR($H167="",$I167="",NOT(ISNUMBER($H167))),"",IF($I167="Maund",ROUND($H167/37.32,2),$H167))</f>
        <v/>
      </c>
      <c r="L167" s="29"/>
      <c r="M167" s="21"/>
      <c r="N167" s="30" t="str">
        <f aca="false">IF(OR($L167="",$M167="",NOT(ISNUMBER($L167))),"",IF($M167="Maund",ROUND($L167*37.32,2),$L167))</f>
        <v/>
      </c>
      <c r="O167" s="21"/>
      <c r="P167" s="22"/>
    </row>
    <row r="168" customFormat="false" ht="19.5" hidden="false" customHeight="true" outlineLevel="0" collapsed="false">
      <c r="B168" s="28" t="s">
        <v>556</v>
      </c>
      <c r="C168" s="21"/>
      <c r="D168" s="21"/>
      <c r="E168" s="21"/>
      <c r="F168" s="21"/>
      <c r="G168" s="29"/>
      <c r="H168" s="29"/>
      <c r="I168" s="21"/>
      <c r="J168" s="30" t="str">
        <f aca="false">IF(OR($G168="",$I168="",NOT(ISNUMBER($G168))),"",IF($I168="Maund",ROUND($G168/37.32,2),$G168))</f>
        <v/>
      </c>
      <c r="K168" s="30" t="str">
        <f aca="false">IF(OR($H168="",$I168="",NOT(ISNUMBER($H168))),"",IF($I168="Maund",ROUND($H168/37.32,2),$H168))</f>
        <v/>
      </c>
      <c r="L168" s="29"/>
      <c r="M168" s="21"/>
      <c r="N168" s="30" t="str">
        <f aca="false">IF(OR($L168="",$M168="",NOT(ISNUMBER($L168))),"",IF($M168="Maund",ROUND($L168*37.32,2),$L168))</f>
        <v/>
      </c>
      <c r="O168" s="21"/>
      <c r="P168" s="22"/>
    </row>
    <row r="169" customFormat="false" ht="19.5" hidden="false" customHeight="true" outlineLevel="0" collapsed="false">
      <c r="B169" s="28" t="s">
        <v>557</v>
      </c>
      <c r="C169" s="21"/>
      <c r="D169" s="21"/>
      <c r="E169" s="21"/>
      <c r="F169" s="21"/>
      <c r="G169" s="29"/>
      <c r="H169" s="29"/>
      <c r="I169" s="21"/>
      <c r="J169" s="30" t="str">
        <f aca="false">IF(OR($G169="",$I169="",NOT(ISNUMBER($G169))),"",IF($I169="Maund",ROUND($G169/37.32,2),$G169))</f>
        <v/>
      </c>
      <c r="K169" s="30" t="str">
        <f aca="false">IF(OR($H169="",$I169="",NOT(ISNUMBER($H169))),"",IF($I169="Maund",ROUND($H169/37.32,2),$H169))</f>
        <v/>
      </c>
      <c r="L169" s="29"/>
      <c r="M169" s="21"/>
      <c r="N169" s="30" t="str">
        <f aca="false">IF(OR($L169="",$M169="",NOT(ISNUMBER($L169))),"",IF($M169="Maund",ROUND($L169*37.32,2),$L169))</f>
        <v/>
      </c>
      <c r="O169" s="21"/>
      <c r="P169" s="22"/>
    </row>
    <row r="170" customFormat="false" ht="19.5" hidden="false" customHeight="true" outlineLevel="0" collapsed="false">
      <c r="B170" s="28" t="s">
        <v>558</v>
      </c>
      <c r="C170" s="21"/>
      <c r="D170" s="21"/>
      <c r="E170" s="21"/>
      <c r="F170" s="21"/>
      <c r="G170" s="29"/>
      <c r="H170" s="29"/>
      <c r="I170" s="21"/>
      <c r="J170" s="30" t="str">
        <f aca="false">IF(OR($G170="",$I170="",NOT(ISNUMBER($G170))),"",IF($I170="Maund",ROUND($G170/37.32,2),$G170))</f>
        <v/>
      </c>
      <c r="K170" s="30" t="str">
        <f aca="false">IF(OR($H170="",$I170="",NOT(ISNUMBER($H170))),"",IF($I170="Maund",ROUND($H170/37.32,2),$H170))</f>
        <v/>
      </c>
      <c r="L170" s="29"/>
      <c r="M170" s="21"/>
      <c r="N170" s="30" t="str">
        <f aca="false">IF(OR($L170="",$M170="",NOT(ISNUMBER($L170))),"",IF($M170="Maund",ROUND($L170*37.32,2),$L170))</f>
        <v/>
      </c>
      <c r="O170" s="21"/>
      <c r="P170" s="22"/>
    </row>
    <row r="171" customFormat="false" ht="19.5" hidden="false" customHeight="true" outlineLevel="0" collapsed="false">
      <c r="B171" s="28" t="s">
        <v>559</v>
      </c>
      <c r="C171" s="21"/>
      <c r="D171" s="21"/>
      <c r="E171" s="21"/>
      <c r="F171" s="21"/>
      <c r="G171" s="29"/>
      <c r="H171" s="29"/>
      <c r="I171" s="21"/>
      <c r="J171" s="30" t="str">
        <f aca="false">IF(OR($G171="",$I171="",NOT(ISNUMBER($G171))),"",IF($I171="Maund",ROUND($G171/37.32,2),$G171))</f>
        <v/>
      </c>
      <c r="K171" s="30" t="str">
        <f aca="false">IF(OR($H171="",$I171="",NOT(ISNUMBER($H171))),"",IF($I171="Maund",ROUND($H171/37.32,2),$H171))</f>
        <v/>
      </c>
      <c r="L171" s="29"/>
      <c r="M171" s="21"/>
      <c r="N171" s="30" t="str">
        <f aca="false">IF(OR($L171="",$M171="",NOT(ISNUMBER($L171))),"",IF($M171="Maund",ROUND($L171*37.32,2),$L171))</f>
        <v/>
      </c>
      <c r="O171" s="21"/>
      <c r="P171" s="22"/>
    </row>
    <row r="172" customFormat="false" ht="19.5" hidden="false" customHeight="true" outlineLevel="0" collapsed="false">
      <c r="B172" s="28" t="s">
        <v>560</v>
      </c>
      <c r="C172" s="21"/>
      <c r="D172" s="21"/>
      <c r="E172" s="21"/>
      <c r="F172" s="21"/>
      <c r="G172" s="29"/>
      <c r="H172" s="29"/>
      <c r="I172" s="21"/>
      <c r="J172" s="30" t="str">
        <f aca="false">IF(OR($G172="",$I172="",NOT(ISNUMBER($G172))),"",IF($I172="Maund",ROUND($G172/37.32,2),$G172))</f>
        <v/>
      </c>
      <c r="K172" s="30" t="str">
        <f aca="false">IF(OR($H172="",$I172="",NOT(ISNUMBER($H172))),"",IF($I172="Maund",ROUND($H172/37.32,2),$H172))</f>
        <v/>
      </c>
      <c r="L172" s="29"/>
      <c r="M172" s="21"/>
      <c r="N172" s="30" t="str">
        <f aca="false">IF(OR($L172="",$M172="",NOT(ISNUMBER($L172))),"",IF($M172="Maund",ROUND($L172*37.32,2),$L172))</f>
        <v/>
      </c>
      <c r="O172" s="21"/>
      <c r="P172" s="22"/>
    </row>
    <row r="173" customFormat="false" ht="19.5" hidden="false" customHeight="true" outlineLevel="0" collapsed="false">
      <c r="B173" s="28" t="s">
        <v>561</v>
      </c>
      <c r="C173" s="21"/>
      <c r="D173" s="21"/>
      <c r="E173" s="21"/>
      <c r="F173" s="21"/>
      <c r="G173" s="29"/>
      <c r="H173" s="29"/>
      <c r="I173" s="21"/>
      <c r="J173" s="30" t="str">
        <f aca="false">IF(OR($G173="",$I173="",NOT(ISNUMBER($G173))),"",IF($I173="Maund",ROUND($G173/37.32,2),$G173))</f>
        <v/>
      </c>
      <c r="K173" s="30" t="str">
        <f aca="false">IF(OR($H173="",$I173="",NOT(ISNUMBER($H173))),"",IF($I173="Maund",ROUND($H173/37.32,2),$H173))</f>
        <v/>
      </c>
      <c r="L173" s="29"/>
      <c r="M173" s="21"/>
      <c r="N173" s="30" t="str">
        <f aca="false">IF(OR($L173="",$M173="",NOT(ISNUMBER($L173))),"",IF($M173="Maund",ROUND($L173*37.32,2),$L173))</f>
        <v/>
      </c>
      <c r="O173" s="21"/>
      <c r="P173" s="22"/>
    </row>
    <row r="174" customFormat="false" ht="19.5" hidden="false" customHeight="true" outlineLevel="0" collapsed="false">
      <c r="B174" s="28" t="s">
        <v>562</v>
      </c>
      <c r="C174" s="21"/>
      <c r="D174" s="21"/>
      <c r="E174" s="21"/>
      <c r="F174" s="21"/>
      <c r="G174" s="29"/>
      <c r="H174" s="29"/>
      <c r="I174" s="21"/>
      <c r="J174" s="30" t="str">
        <f aca="false">IF(OR($G174="",$I174="",NOT(ISNUMBER($G174))),"",IF($I174="Maund",ROUND($G174/37.32,2),$G174))</f>
        <v/>
      </c>
      <c r="K174" s="30" t="str">
        <f aca="false">IF(OR($H174="",$I174="",NOT(ISNUMBER($H174))),"",IF($I174="Maund",ROUND($H174/37.32,2),$H174))</f>
        <v/>
      </c>
      <c r="L174" s="29"/>
      <c r="M174" s="21"/>
      <c r="N174" s="30" t="str">
        <f aca="false">IF(OR($L174="",$M174="",NOT(ISNUMBER($L174))),"",IF($M174="Maund",ROUND($L174*37.32,2),$L174))</f>
        <v/>
      </c>
      <c r="O174" s="21"/>
      <c r="P174" s="22"/>
    </row>
    <row r="175" customFormat="false" ht="19.5" hidden="false" customHeight="true" outlineLevel="0" collapsed="false">
      <c r="B175" s="28" t="s">
        <v>563</v>
      </c>
      <c r="C175" s="21"/>
      <c r="D175" s="21"/>
      <c r="E175" s="21"/>
      <c r="F175" s="21"/>
      <c r="G175" s="29"/>
      <c r="H175" s="29"/>
      <c r="I175" s="21"/>
      <c r="J175" s="30" t="str">
        <f aca="false">IF(OR($G175="",$I175="",NOT(ISNUMBER($G175))),"",IF($I175="Maund",ROUND($G175/37.32,2),$G175))</f>
        <v/>
      </c>
      <c r="K175" s="30" t="str">
        <f aca="false">IF(OR($H175="",$I175="",NOT(ISNUMBER($H175))),"",IF($I175="Maund",ROUND($H175/37.32,2),$H175))</f>
        <v/>
      </c>
      <c r="L175" s="29"/>
      <c r="M175" s="21"/>
      <c r="N175" s="30" t="str">
        <f aca="false">IF(OR($L175="",$M175="",NOT(ISNUMBER($L175))),"",IF($M175="Maund",ROUND($L175*37.32,2),$L175))</f>
        <v/>
      </c>
      <c r="O175" s="21"/>
      <c r="P175" s="22"/>
    </row>
    <row r="176" customFormat="false" ht="19.5" hidden="false" customHeight="true" outlineLevel="0" collapsed="false">
      <c r="B176" s="28" t="s">
        <v>564</v>
      </c>
      <c r="C176" s="21"/>
      <c r="D176" s="21"/>
      <c r="E176" s="21"/>
      <c r="F176" s="21"/>
      <c r="G176" s="29"/>
      <c r="H176" s="29"/>
      <c r="I176" s="21"/>
      <c r="J176" s="30" t="str">
        <f aca="false">IF(OR($G176="",$I176="",NOT(ISNUMBER($G176))),"",IF($I176="Maund",ROUND($G176/37.32,2),$G176))</f>
        <v/>
      </c>
      <c r="K176" s="30" t="str">
        <f aca="false">IF(OR($H176="",$I176="",NOT(ISNUMBER($H176))),"",IF($I176="Maund",ROUND($H176/37.32,2),$H176))</f>
        <v/>
      </c>
      <c r="L176" s="29"/>
      <c r="M176" s="21"/>
      <c r="N176" s="30" t="str">
        <f aca="false">IF(OR($L176="",$M176="",NOT(ISNUMBER($L176))),"",IF($M176="Maund",ROUND($L176*37.32,2),$L176))</f>
        <v/>
      </c>
      <c r="O176" s="21"/>
      <c r="P176" s="22"/>
    </row>
    <row r="177" customFormat="false" ht="19.5" hidden="false" customHeight="true" outlineLevel="0" collapsed="false">
      <c r="B177" s="28" t="s">
        <v>565</v>
      </c>
      <c r="C177" s="21"/>
      <c r="D177" s="21"/>
      <c r="E177" s="21"/>
      <c r="F177" s="21"/>
      <c r="G177" s="29"/>
      <c r="H177" s="29"/>
      <c r="I177" s="21"/>
      <c r="J177" s="30" t="str">
        <f aca="false">IF(OR($G177="",$I177="",NOT(ISNUMBER($G177))),"",IF($I177="Maund",ROUND($G177/37.32,2),$G177))</f>
        <v/>
      </c>
      <c r="K177" s="30" t="str">
        <f aca="false">IF(OR($H177="",$I177="",NOT(ISNUMBER($H177))),"",IF($I177="Maund",ROUND($H177/37.32,2),$H177))</f>
        <v/>
      </c>
      <c r="L177" s="29"/>
      <c r="M177" s="21"/>
      <c r="N177" s="30" t="str">
        <f aca="false">IF(OR($L177="",$M177="",NOT(ISNUMBER($L177))),"",IF($M177="Maund",ROUND($L177*37.32,2),$L177))</f>
        <v/>
      </c>
      <c r="O177" s="21"/>
      <c r="P177" s="22"/>
    </row>
    <row r="178" customFormat="false" ht="19.5" hidden="false" customHeight="true" outlineLevel="0" collapsed="false">
      <c r="B178" s="28" t="s">
        <v>566</v>
      </c>
      <c r="C178" s="21"/>
      <c r="D178" s="21"/>
      <c r="E178" s="21"/>
      <c r="F178" s="21"/>
      <c r="G178" s="29"/>
      <c r="H178" s="29"/>
      <c r="I178" s="21"/>
      <c r="J178" s="30" t="str">
        <f aca="false">IF(OR($G178="",$I178="",NOT(ISNUMBER($G178))),"",IF($I178="Maund",ROUND($G178/37.32,2),$G178))</f>
        <v/>
      </c>
      <c r="K178" s="30" t="str">
        <f aca="false">IF(OR($H178="",$I178="",NOT(ISNUMBER($H178))),"",IF($I178="Maund",ROUND($H178/37.32,2),$H178))</f>
        <v/>
      </c>
      <c r="L178" s="29"/>
      <c r="M178" s="21"/>
      <c r="N178" s="30" t="str">
        <f aca="false">IF(OR($L178="",$M178="",NOT(ISNUMBER($L178))),"",IF($M178="Maund",ROUND($L178*37.32,2),$L178))</f>
        <v/>
      </c>
      <c r="O178" s="21"/>
      <c r="P178" s="22"/>
    </row>
    <row r="179" customFormat="false" ht="19.5" hidden="false" customHeight="true" outlineLevel="0" collapsed="false">
      <c r="B179" s="28" t="s">
        <v>567</v>
      </c>
      <c r="C179" s="21"/>
      <c r="D179" s="21"/>
      <c r="E179" s="21"/>
      <c r="F179" s="21"/>
      <c r="G179" s="29"/>
      <c r="H179" s="29"/>
      <c r="I179" s="21"/>
      <c r="J179" s="30" t="str">
        <f aca="false">IF(OR($G179="",$I179="",NOT(ISNUMBER($G179))),"",IF($I179="Maund",ROUND($G179/37.32,2),$G179))</f>
        <v/>
      </c>
      <c r="K179" s="30" t="str">
        <f aca="false">IF(OR($H179="",$I179="",NOT(ISNUMBER($H179))),"",IF($I179="Maund",ROUND($H179/37.32,2),$H179))</f>
        <v/>
      </c>
      <c r="L179" s="29"/>
      <c r="M179" s="21"/>
      <c r="N179" s="30" t="str">
        <f aca="false">IF(OR($L179="",$M179="",NOT(ISNUMBER($L179))),"",IF($M179="Maund",ROUND($L179*37.32,2),$L179))</f>
        <v/>
      </c>
      <c r="O179" s="21"/>
      <c r="P179" s="22"/>
    </row>
    <row r="180" customFormat="false" ht="19.5" hidden="false" customHeight="true" outlineLevel="0" collapsed="false">
      <c r="B180" s="28" t="s">
        <v>568</v>
      </c>
      <c r="C180" s="21"/>
      <c r="D180" s="21"/>
      <c r="E180" s="21"/>
      <c r="F180" s="21"/>
      <c r="G180" s="29"/>
      <c r="H180" s="29"/>
      <c r="I180" s="21"/>
      <c r="J180" s="30" t="str">
        <f aca="false">IF(OR($G180="",$I180="",NOT(ISNUMBER($G180))),"",IF($I180="Maund",ROUND($G180/37.32,2),$G180))</f>
        <v/>
      </c>
      <c r="K180" s="30" t="str">
        <f aca="false">IF(OR($H180="",$I180="",NOT(ISNUMBER($H180))),"",IF($I180="Maund",ROUND($H180/37.32,2),$H180))</f>
        <v/>
      </c>
      <c r="L180" s="29"/>
      <c r="M180" s="21"/>
      <c r="N180" s="30" t="str">
        <f aca="false">IF(OR($L180="",$M180="",NOT(ISNUMBER($L180))),"",IF($M180="Maund",ROUND($L180*37.32,2),$L180))</f>
        <v/>
      </c>
      <c r="O180" s="21"/>
      <c r="P180" s="22"/>
    </row>
    <row r="181" customFormat="false" ht="19.5" hidden="false" customHeight="true" outlineLevel="0" collapsed="false">
      <c r="B181" s="28" t="s">
        <v>569</v>
      </c>
      <c r="C181" s="21"/>
      <c r="D181" s="21"/>
      <c r="E181" s="21"/>
      <c r="F181" s="21"/>
      <c r="G181" s="29"/>
      <c r="H181" s="29"/>
      <c r="I181" s="21"/>
      <c r="J181" s="30" t="str">
        <f aca="false">IF(OR($G181="",$I181="",NOT(ISNUMBER($G181))),"",IF($I181="Maund",ROUND($G181/37.32,2),$G181))</f>
        <v/>
      </c>
      <c r="K181" s="30" t="str">
        <f aca="false">IF(OR($H181="",$I181="",NOT(ISNUMBER($H181))),"",IF($I181="Maund",ROUND($H181/37.32,2),$H181))</f>
        <v/>
      </c>
      <c r="L181" s="29"/>
      <c r="M181" s="21"/>
      <c r="N181" s="30" t="str">
        <f aca="false">IF(OR($L181="",$M181="",NOT(ISNUMBER($L181))),"",IF($M181="Maund",ROUND($L181*37.32,2),$L181))</f>
        <v/>
      </c>
      <c r="O181" s="21"/>
      <c r="P181" s="22"/>
    </row>
    <row r="182" customFormat="false" ht="19.5" hidden="false" customHeight="true" outlineLevel="0" collapsed="false">
      <c r="B182" s="28" t="s">
        <v>570</v>
      </c>
      <c r="C182" s="21"/>
      <c r="D182" s="21"/>
      <c r="E182" s="21"/>
      <c r="F182" s="21"/>
      <c r="G182" s="29"/>
      <c r="H182" s="29"/>
      <c r="I182" s="21"/>
      <c r="J182" s="30" t="str">
        <f aca="false">IF(OR($G182="",$I182="",NOT(ISNUMBER($G182))),"",IF($I182="Maund",ROUND($G182/37.32,2),$G182))</f>
        <v/>
      </c>
      <c r="K182" s="30" t="str">
        <f aca="false">IF(OR($H182="",$I182="",NOT(ISNUMBER($H182))),"",IF($I182="Maund",ROUND($H182/37.32,2),$H182))</f>
        <v/>
      </c>
      <c r="L182" s="29"/>
      <c r="M182" s="21"/>
      <c r="N182" s="30" t="str">
        <f aca="false">IF(OR($L182="",$M182="",NOT(ISNUMBER($L182))),"",IF($M182="Maund",ROUND($L182*37.32,2),$L182))</f>
        <v/>
      </c>
      <c r="O182" s="21"/>
      <c r="P182" s="22"/>
    </row>
    <row r="183" customFormat="false" ht="19.5" hidden="false" customHeight="true" outlineLevel="0" collapsed="false">
      <c r="B183" s="28" t="s">
        <v>571</v>
      </c>
      <c r="C183" s="21"/>
      <c r="D183" s="21"/>
      <c r="E183" s="21"/>
      <c r="F183" s="21"/>
      <c r="G183" s="29"/>
      <c r="H183" s="29"/>
      <c r="I183" s="21"/>
      <c r="J183" s="30" t="str">
        <f aca="false">IF(OR($G183="",$I183="",NOT(ISNUMBER($G183))),"",IF($I183="Maund",ROUND($G183/37.32,2),$G183))</f>
        <v/>
      </c>
      <c r="K183" s="30" t="str">
        <f aca="false">IF(OR($H183="",$I183="",NOT(ISNUMBER($H183))),"",IF($I183="Maund",ROUND($H183/37.32,2),$H183))</f>
        <v/>
      </c>
      <c r="L183" s="29"/>
      <c r="M183" s="21"/>
      <c r="N183" s="30" t="str">
        <f aca="false">IF(OR($L183="",$M183="",NOT(ISNUMBER($L183))),"",IF($M183="Maund",ROUND($L183*37.32,2),$L183))</f>
        <v/>
      </c>
      <c r="O183" s="21"/>
      <c r="P183" s="22"/>
    </row>
    <row r="184" customFormat="false" ht="19.5" hidden="false" customHeight="true" outlineLevel="0" collapsed="false">
      <c r="B184" s="28" t="s">
        <v>572</v>
      </c>
      <c r="C184" s="21"/>
      <c r="D184" s="21"/>
      <c r="E184" s="21"/>
      <c r="F184" s="21"/>
      <c r="G184" s="29"/>
      <c r="H184" s="29"/>
      <c r="I184" s="21"/>
      <c r="J184" s="30" t="str">
        <f aca="false">IF(OR($G184="",$I184="",NOT(ISNUMBER($G184))),"",IF($I184="Maund",ROUND($G184/37.32,2),$G184))</f>
        <v/>
      </c>
      <c r="K184" s="30" t="str">
        <f aca="false">IF(OR($H184="",$I184="",NOT(ISNUMBER($H184))),"",IF($I184="Maund",ROUND($H184/37.32,2),$H184))</f>
        <v/>
      </c>
      <c r="L184" s="29"/>
      <c r="M184" s="21"/>
      <c r="N184" s="30" t="str">
        <f aca="false">IF(OR($L184="",$M184="",NOT(ISNUMBER($L184))),"",IF($M184="Maund",ROUND($L184*37.32,2),$L184))</f>
        <v/>
      </c>
      <c r="O184" s="21"/>
      <c r="P184" s="22"/>
    </row>
    <row r="185" customFormat="false" ht="19.5" hidden="false" customHeight="true" outlineLevel="0" collapsed="false">
      <c r="B185" s="28" t="s">
        <v>573</v>
      </c>
      <c r="C185" s="21"/>
      <c r="D185" s="21"/>
      <c r="E185" s="21"/>
      <c r="F185" s="21"/>
      <c r="G185" s="29"/>
      <c r="H185" s="29"/>
      <c r="I185" s="21"/>
      <c r="J185" s="30" t="str">
        <f aca="false">IF(OR($G185="",$I185="",NOT(ISNUMBER($G185))),"",IF($I185="Maund",ROUND($G185/37.32,2),$G185))</f>
        <v/>
      </c>
      <c r="K185" s="30" t="str">
        <f aca="false">IF(OR($H185="",$I185="",NOT(ISNUMBER($H185))),"",IF($I185="Maund",ROUND($H185/37.32,2),$H185))</f>
        <v/>
      </c>
      <c r="L185" s="29"/>
      <c r="M185" s="21"/>
      <c r="N185" s="30" t="str">
        <f aca="false">IF(OR($L185="",$M185="",NOT(ISNUMBER($L185))),"",IF($M185="Maund",ROUND($L185*37.32,2),$L185))</f>
        <v/>
      </c>
      <c r="O185" s="21"/>
      <c r="P185" s="22"/>
    </row>
    <row r="186" customFormat="false" ht="19.5" hidden="false" customHeight="true" outlineLevel="0" collapsed="false">
      <c r="B186" s="28" t="s">
        <v>574</v>
      </c>
      <c r="C186" s="21"/>
      <c r="D186" s="21"/>
      <c r="E186" s="21"/>
      <c r="F186" s="21"/>
      <c r="G186" s="29"/>
      <c r="H186" s="29"/>
      <c r="I186" s="21"/>
      <c r="J186" s="30" t="str">
        <f aca="false">IF(OR($G186="",$I186="",NOT(ISNUMBER($G186))),"",IF($I186="Maund",ROUND($G186/37.32,2),$G186))</f>
        <v/>
      </c>
      <c r="K186" s="30" t="str">
        <f aca="false">IF(OR($H186="",$I186="",NOT(ISNUMBER($H186))),"",IF($I186="Maund",ROUND($H186/37.32,2),$H186))</f>
        <v/>
      </c>
      <c r="L186" s="29"/>
      <c r="M186" s="21"/>
      <c r="N186" s="30" t="str">
        <f aca="false">IF(OR($L186="",$M186="",NOT(ISNUMBER($L186))),"",IF($M186="Maund",ROUND($L186*37.32,2),$L186))</f>
        <v/>
      </c>
      <c r="O186" s="21"/>
      <c r="P186" s="22"/>
    </row>
    <row r="187" customFormat="false" ht="19.5" hidden="false" customHeight="true" outlineLevel="0" collapsed="false">
      <c r="B187" s="28" t="s">
        <v>575</v>
      </c>
      <c r="C187" s="21"/>
      <c r="D187" s="21"/>
      <c r="E187" s="21"/>
      <c r="F187" s="21"/>
      <c r="G187" s="29"/>
      <c r="H187" s="29"/>
      <c r="I187" s="21"/>
      <c r="J187" s="30" t="str">
        <f aca="false">IF(OR($G187="",$I187="",NOT(ISNUMBER($G187))),"",IF($I187="Maund",ROUND($G187/37.32,2),$G187))</f>
        <v/>
      </c>
      <c r="K187" s="30" t="str">
        <f aca="false">IF(OR($H187="",$I187="",NOT(ISNUMBER($H187))),"",IF($I187="Maund",ROUND($H187/37.32,2),$H187))</f>
        <v/>
      </c>
      <c r="L187" s="29"/>
      <c r="M187" s="21"/>
      <c r="N187" s="30" t="str">
        <f aca="false">IF(OR($L187="",$M187="",NOT(ISNUMBER($L187))),"",IF($M187="Maund",ROUND($L187*37.32,2),$L187))</f>
        <v/>
      </c>
      <c r="O187" s="21"/>
      <c r="P187" s="22"/>
    </row>
    <row r="188" customFormat="false" ht="19.5" hidden="false" customHeight="true" outlineLevel="0" collapsed="false">
      <c r="B188" s="28" t="s">
        <v>576</v>
      </c>
      <c r="C188" s="21"/>
      <c r="D188" s="21"/>
      <c r="E188" s="21"/>
      <c r="F188" s="21"/>
      <c r="G188" s="29"/>
      <c r="H188" s="29"/>
      <c r="I188" s="21"/>
      <c r="J188" s="30" t="str">
        <f aca="false">IF(OR($G188="",$I188="",NOT(ISNUMBER($G188))),"",IF($I188="Maund",ROUND($G188/37.32,2),$G188))</f>
        <v/>
      </c>
      <c r="K188" s="30" t="str">
        <f aca="false">IF(OR($H188="",$I188="",NOT(ISNUMBER($H188))),"",IF($I188="Maund",ROUND($H188/37.32,2),$H188))</f>
        <v/>
      </c>
      <c r="L188" s="29"/>
      <c r="M188" s="21"/>
      <c r="N188" s="30" t="str">
        <f aca="false">IF(OR($L188="",$M188="",NOT(ISNUMBER($L188))),"",IF($M188="Maund",ROUND($L188*37.32,2),$L188))</f>
        <v/>
      </c>
      <c r="O188" s="21"/>
      <c r="P188" s="22"/>
    </row>
    <row r="189" customFormat="false" ht="19.5" hidden="false" customHeight="true" outlineLevel="0" collapsed="false">
      <c r="B189" s="28" t="s">
        <v>577</v>
      </c>
      <c r="C189" s="21"/>
      <c r="D189" s="21"/>
      <c r="E189" s="21"/>
      <c r="F189" s="21"/>
      <c r="G189" s="29"/>
      <c r="H189" s="29"/>
      <c r="I189" s="21"/>
      <c r="J189" s="30" t="str">
        <f aca="false">IF(OR($G189="",$I189="",NOT(ISNUMBER($G189))),"",IF($I189="Maund",ROUND($G189/37.32,2),$G189))</f>
        <v/>
      </c>
      <c r="K189" s="30" t="str">
        <f aca="false">IF(OR($H189="",$I189="",NOT(ISNUMBER($H189))),"",IF($I189="Maund",ROUND($H189/37.32,2),$H189))</f>
        <v/>
      </c>
      <c r="L189" s="29"/>
      <c r="M189" s="21"/>
      <c r="N189" s="30" t="str">
        <f aca="false">IF(OR($L189="",$M189="",NOT(ISNUMBER($L189))),"",IF($M189="Maund",ROUND($L189*37.32,2),$L189))</f>
        <v/>
      </c>
      <c r="O189" s="21"/>
      <c r="P189" s="22"/>
    </row>
    <row r="190" customFormat="false" ht="19.5" hidden="false" customHeight="true" outlineLevel="0" collapsed="false">
      <c r="B190" s="28" t="s">
        <v>578</v>
      </c>
      <c r="C190" s="21"/>
      <c r="D190" s="21"/>
      <c r="E190" s="21"/>
      <c r="F190" s="21"/>
      <c r="G190" s="29"/>
      <c r="H190" s="29"/>
      <c r="I190" s="21"/>
      <c r="J190" s="30" t="str">
        <f aca="false">IF(OR($G190="",$I190="",NOT(ISNUMBER($G190))),"",IF($I190="Maund",ROUND($G190/37.32,2),$G190))</f>
        <v/>
      </c>
      <c r="K190" s="30" t="str">
        <f aca="false">IF(OR($H190="",$I190="",NOT(ISNUMBER($H190))),"",IF($I190="Maund",ROUND($H190/37.32,2),$H190))</f>
        <v/>
      </c>
      <c r="L190" s="29"/>
      <c r="M190" s="21"/>
      <c r="N190" s="30" t="str">
        <f aca="false">IF(OR($L190="",$M190="",NOT(ISNUMBER($L190))),"",IF($M190="Maund",ROUND($L190*37.32,2),$L190))</f>
        <v/>
      </c>
      <c r="O190" s="21"/>
      <c r="P190" s="22"/>
    </row>
    <row r="191" customFormat="false" ht="19.5" hidden="false" customHeight="true" outlineLevel="0" collapsed="false">
      <c r="B191" s="28" t="s">
        <v>579</v>
      </c>
      <c r="C191" s="21"/>
      <c r="D191" s="21"/>
      <c r="E191" s="21"/>
      <c r="F191" s="21"/>
      <c r="G191" s="29"/>
      <c r="H191" s="29"/>
      <c r="I191" s="21"/>
      <c r="J191" s="30" t="str">
        <f aca="false">IF(OR($G191="",$I191="",NOT(ISNUMBER($G191))),"",IF($I191="Maund",ROUND($G191/37.32,2),$G191))</f>
        <v/>
      </c>
      <c r="K191" s="30" t="str">
        <f aca="false">IF(OR($H191="",$I191="",NOT(ISNUMBER($H191))),"",IF($I191="Maund",ROUND($H191/37.32,2),$H191))</f>
        <v/>
      </c>
      <c r="L191" s="29"/>
      <c r="M191" s="21"/>
      <c r="N191" s="30" t="str">
        <f aca="false">IF(OR($L191="",$M191="",NOT(ISNUMBER($L191))),"",IF($M191="Maund",ROUND($L191*37.32,2),$L191))</f>
        <v/>
      </c>
      <c r="O191" s="21"/>
      <c r="P191" s="22"/>
    </row>
    <row r="192" customFormat="false" ht="19.5" hidden="false" customHeight="true" outlineLevel="0" collapsed="false">
      <c r="B192" s="28" t="s">
        <v>580</v>
      </c>
      <c r="C192" s="21"/>
      <c r="D192" s="21"/>
      <c r="E192" s="21"/>
      <c r="F192" s="21"/>
      <c r="G192" s="29"/>
      <c r="H192" s="29"/>
      <c r="I192" s="21"/>
      <c r="J192" s="30" t="str">
        <f aca="false">IF(OR($G192="",$I192="",NOT(ISNUMBER($G192))),"",IF($I192="Maund",ROUND($G192/37.32,2),$G192))</f>
        <v/>
      </c>
      <c r="K192" s="30" t="str">
        <f aca="false">IF(OR($H192="",$I192="",NOT(ISNUMBER($H192))),"",IF($I192="Maund",ROUND($H192/37.32,2),$H192))</f>
        <v/>
      </c>
      <c r="L192" s="29"/>
      <c r="M192" s="21"/>
      <c r="N192" s="30" t="str">
        <f aca="false">IF(OR($L192="",$M192="",NOT(ISNUMBER($L192))),"",IF($M192="Maund",ROUND($L192*37.32,2),$L192))</f>
        <v/>
      </c>
      <c r="O192" s="21"/>
      <c r="P192" s="22"/>
    </row>
    <row r="193" customFormat="false" ht="19.5" hidden="false" customHeight="true" outlineLevel="0" collapsed="false">
      <c r="B193" s="28" t="s">
        <v>581</v>
      </c>
      <c r="C193" s="21"/>
      <c r="D193" s="21"/>
      <c r="E193" s="21"/>
      <c r="F193" s="21"/>
      <c r="G193" s="29"/>
      <c r="H193" s="29"/>
      <c r="I193" s="21"/>
      <c r="J193" s="30" t="str">
        <f aca="false">IF(OR($G193="",$I193="",NOT(ISNUMBER($G193))),"",IF($I193="Maund",ROUND($G193/37.32,2),$G193))</f>
        <v/>
      </c>
      <c r="K193" s="30" t="str">
        <f aca="false">IF(OR($H193="",$I193="",NOT(ISNUMBER($H193))),"",IF($I193="Maund",ROUND($H193/37.32,2),$H193))</f>
        <v/>
      </c>
      <c r="L193" s="29"/>
      <c r="M193" s="21"/>
      <c r="N193" s="30" t="str">
        <f aca="false">IF(OR($L193="",$M193="",NOT(ISNUMBER($L193))),"",IF($M193="Maund",ROUND($L193*37.32,2),$L193))</f>
        <v/>
      </c>
      <c r="O193" s="21"/>
      <c r="P193" s="22"/>
    </row>
    <row r="194" customFormat="false" ht="19.5" hidden="false" customHeight="true" outlineLevel="0" collapsed="false">
      <c r="B194" s="28" t="s">
        <v>582</v>
      </c>
      <c r="C194" s="21"/>
      <c r="D194" s="21"/>
      <c r="E194" s="21"/>
      <c r="F194" s="21"/>
      <c r="G194" s="29"/>
      <c r="H194" s="29"/>
      <c r="I194" s="21"/>
      <c r="J194" s="30" t="str">
        <f aca="false">IF(OR($G194="",$I194="",NOT(ISNUMBER($G194))),"",IF($I194="Maund",ROUND($G194/37.32,2),$G194))</f>
        <v/>
      </c>
      <c r="K194" s="30" t="str">
        <f aca="false">IF(OR($H194="",$I194="",NOT(ISNUMBER($H194))),"",IF($I194="Maund",ROUND($H194/37.32,2),$H194))</f>
        <v/>
      </c>
      <c r="L194" s="29"/>
      <c r="M194" s="21"/>
      <c r="N194" s="30" t="str">
        <f aca="false">IF(OR($L194="",$M194="",NOT(ISNUMBER($L194))),"",IF($M194="Maund",ROUND($L194*37.32,2),$L194))</f>
        <v/>
      </c>
      <c r="O194" s="21"/>
      <c r="P194" s="22"/>
    </row>
    <row r="195" customFormat="false" ht="19.5" hidden="false" customHeight="true" outlineLevel="0" collapsed="false">
      <c r="B195" s="28" t="s">
        <v>583</v>
      </c>
      <c r="C195" s="21"/>
      <c r="D195" s="21"/>
      <c r="E195" s="21"/>
      <c r="F195" s="21"/>
      <c r="G195" s="29"/>
      <c r="H195" s="29"/>
      <c r="I195" s="21"/>
      <c r="J195" s="30" t="str">
        <f aca="false">IF(OR($G195="",$I195="",NOT(ISNUMBER($G195))),"",IF($I195="Maund",ROUND($G195/37.32,2),$G195))</f>
        <v/>
      </c>
      <c r="K195" s="30" t="str">
        <f aca="false">IF(OR($H195="",$I195="",NOT(ISNUMBER($H195))),"",IF($I195="Maund",ROUND($H195/37.32,2),$H195))</f>
        <v/>
      </c>
      <c r="L195" s="29"/>
      <c r="M195" s="21"/>
      <c r="N195" s="30" t="str">
        <f aca="false">IF(OR($L195="",$M195="",NOT(ISNUMBER($L195))),"",IF($M195="Maund",ROUND($L195*37.32,2),$L195))</f>
        <v/>
      </c>
      <c r="O195" s="21"/>
      <c r="P195" s="22"/>
    </row>
    <row r="196" customFormat="false" ht="19.5" hidden="false" customHeight="true" outlineLevel="0" collapsed="false">
      <c r="B196" s="28" t="s">
        <v>584</v>
      </c>
      <c r="C196" s="21"/>
      <c r="D196" s="21"/>
      <c r="E196" s="21"/>
      <c r="F196" s="21"/>
      <c r="G196" s="29"/>
      <c r="H196" s="29"/>
      <c r="I196" s="21"/>
      <c r="J196" s="30" t="str">
        <f aca="false">IF(OR($G196="",$I196="",NOT(ISNUMBER($G196))),"",IF($I196="Maund",ROUND($G196/37.32,2),$G196))</f>
        <v/>
      </c>
      <c r="K196" s="30" t="str">
        <f aca="false">IF(OR($H196="",$I196="",NOT(ISNUMBER($H196))),"",IF($I196="Maund",ROUND($H196/37.32,2),$H196))</f>
        <v/>
      </c>
      <c r="L196" s="29"/>
      <c r="M196" s="21"/>
      <c r="N196" s="30" t="str">
        <f aca="false">IF(OR($L196="",$M196="",NOT(ISNUMBER($L196))),"",IF($M196="Maund",ROUND($L196*37.32,2),$L196))</f>
        <v/>
      </c>
      <c r="O196" s="21"/>
      <c r="P196" s="22"/>
    </row>
    <row r="197" customFormat="false" ht="19.5" hidden="false" customHeight="true" outlineLevel="0" collapsed="false">
      <c r="B197" s="28" t="s">
        <v>585</v>
      </c>
      <c r="C197" s="21"/>
      <c r="D197" s="21"/>
      <c r="E197" s="21"/>
      <c r="F197" s="21"/>
      <c r="G197" s="29"/>
      <c r="H197" s="29"/>
      <c r="I197" s="21"/>
      <c r="J197" s="30" t="str">
        <f aca="false">IF(OR($G197="",$I197="",NOT(ISNUMBER($G197))),"",IF($I197="Maund",ROUND($G197/37.32,2),$G197))</f>
        <v/>
      </c>
      <c r="K197" s="30" t="str">
        <f aca="false">IF(OR($H197="",$I197="",NOT(ISNUMBER($H197))),"",IF($I197="Maund",ROUND($H197/37.32,2),$H197))</f>
        <v/>
      </c>
      <c r="L197" s="29"/>
      <c r="M197" s="21"/>
      <c r="N197" s="30" t="str">
        <f aca="false">IF(OR($L197="",$M197="",NOT(ISNUMBER($L197))),"",IF($M197="Maund",ROUND($L197*37.32,2),$L197))</f>
        <v/>
      </c>
      <c r="O197" s="21"/>
      <c r="P197" s="22"/>
    </row>
    <row r="198" customFormat="false" ht="19.5" hidden="false" customHeight="true" outlineLevel="0" collapsed="false">
      <c r="B198" s="28" t="s">
        <v>586</v>
      </c>
      <c r="C198" s="21"/>
      <c r="D198" s="21"/>
      <c r="E198" s="21"/>
      <c r="F198" s="21"/>
      <c r="G198" s="29"/>
      <c r="H198" s="29"/>
      <c r="I198" s="21"/>
      <c r="J198" s="30" t="str">
        <f aca="false">IF(OR($G198="",$I198="",NOT(ISNUMBER($G198))),"",IF($I198="Maund",ROUND($G198/37.32,2),$G198))</f>
        <v/>
      </c>
      <c r="K198" s="30" t="str">
        <f aca="false">IF(OR($H198="",$I198="",NOT(ISNUMBER($H198))),"",IF($I198="Maund",ROUND($H198/37.32,2),$H198))</f>
        <v/>
      </c>
      <c r="L198" s="29"/>
      <c r="M198" s="21"/>
      <c r="N198" s="30" t="str">
        <f aca="false">IF(OR($L198="",$M198="",NOT(ISNUMBER($L198))),"",IF($M198="Maund",ROUND($L198*37.32,2),$L198))</f>
        <v/>
      </c>
      <c r="O198" s="21"/>
      <c r="P198" s="22"/>
    </row>
    <row r="199" customFormat="false" ht="19.5" hidden="false" customHeight="true" outlineLevel="0" collapsed="false">
      <c r="B199" s="28" t="s">
        <v>587</v>
      </c>
      <c r="C199" s="21"/>
      <c r="D199" s="21"/>
      <c r="E199" s="21"/>
      <c r="F199" s="21"/>
      <c r="G199" s="29"/>
      <c r="H199" s="29"/>
      <c r="I199" s="21"/>
      <c r="J199" s="30" t="str">
        <f aca="false">IF(OR($G199="",$I199="",NOT(ISNUMBER($G199))),"",IF($I199="Maund",ROUND($G199/37.32,2),$G199))</f>
        <v/>
      </c>
      <c r="K199" s="30" t="str">
        <f aca="false">IF(OR($H199="",$I199="",NOT(ISNUMBER($H199))),"",IF($I199="Maund",ROUND($H199/37.32,2),$H199))</f>
        <v/>
      </c>
      <c r="L199" s="29"/>
      <c r="M199" s="21"/>
      <c r="N199" s="30" t="str">
        <f aca="false">IF(OR($L199="",$M199="",NOT(ISNUMBER($L199))),"",IF($M199="Maund",ROUND($L199*37.32,2),$L199))</f>
        <v/>
      </c>
      <c r="O199" s="21"/>
      <c r="P199" s="22"/>
    </row>
    <row r="200" customFormat="false" ht="19.5" hidden="false" customHeight="true" outlineLevel="0" collapsed="false">
      <c r="B200" s="28" t="s">
        <v>588</v>
      </c>
      <c r="C200" s="21"/>
      <c r="D200" s="21"/>
      <c r="E200" s="21"/>
      <c r="F200" s="21"/>
      <c r="G200" s="29"/>
      <c r="H200" s="29"/>
      <c r="I200" s="21"/>
      <c r="J200" s="30" t="str">
        <f aca="false">IF(OR($G200="",$I200="",NOT(ISNUMBER($G200))),"",IF($I200="Maund",ROUND($G200/37.32,2),$G200))</f>
        <v/>
      </c>
      <c r="K200" s="30" t="str">
        <f aca="false">IF(OR($H200="",$I200="",NOT(ISNUMBER($H200))),"",IF($I200="Maund",ROUND($H200/37.32,2),$H200))</f>
        <v/>
      </c>
      <c r="L200" s="29"/>
      <c r="M200" s="21"/>
      <c r="N200" s="30" t="str">
        <f aca="false">IF(OR($L200="",$M200="",NOT(ISNUMBER($L200))),"",IF($M200="Maund",ROUND($L200*37.32,2),$L200))</f>
        <v/>
      </c>
      <c r="O200" s="21"/>
      <c r="P200" s="22"/>
    </row>
    <row r="201" customFormat="false" ht="19.5" hidden="false" customHeight="true" outlineLevel="0" collapsed="false">
      <c r="B201" s="28" t="s">
        <v>589</v>
      </c>
      <c r="C201" s="21"/>
      <c r="D201" s="21"/>
      <c r="E201" s="21"/>
      <c r="F201" s="21"/>
      <c r="G201" s="29"/>
      <c r="H201" s="29"/>
      <c r="I201" s="21"/>
      <c r="J201" s="30" t="str">
        <f aca="false">IF(OR($G201="",$I201="",NOT(ISNUMBER($G201))),"",IF($I201="Maund",ROUND($G201/37.32,2),$G201))</f>
        <v/>
      </c>
      <c r="K201" s="30" t="str">
        <f aca="false">IF(OR($H201="",$I201="",NOT(ISNUMBER($H201))),"",IF($I201="Maund",ROUND($H201/37.32,2),$H201))</f>
        <v/>
      </c>
      <c r="L201" s="29"/>
      <c r="M201" s="21"/>
      <c r="N201" s="30" t="str">
        <f aca="false">IF(OR($L201="",$M201="",NOT(ISNUMBER($L201))),"",IF($M201="Maund",ROUND($L201*37.32,2),$L201))</f>
        <v/>
      </c>
      <c r="O201" s="21"/>
      <c r="P201" s="22"/>
    </row>
    <row r="202" customFormat="false" ht="19.5" hidden="false" customHeight="true" outlineLevel="0" collapsed="false">
      <c r="B202" s="28" t="s">
        <v>590</v>
      </c>
      <c r="C202" s="21"/>
      <c r="D202" s="21"/>
      <c r="E202" s="21"/>
      <c r="F202" s="21"/>
      <c r="G202" s="29"/>
      <c r="H202" s="29"/>
      <c r="I202" s="21"/>
      <c r="J202" s="30" t="str">
        <f aca="false">IF(OR($G202="",$I202="",NOT(ISNUMBER($G202))),"",IF($I202="Maund",ROUND($G202/37.32,2),$G202))</f>
        <v/>
      </c>
      <c r="K202" s="30" t="str">
        <f aca="false">IF(OR($H202="",$I202="",NOT(ISNUMBER($H202))),"",IF($I202="Maund",ROUND($H202/37.32,2),$H202))</f>
        <v/>
      </c>
      <c r="L202" s="29"/>
      <c r="M202" s="21"/>
      <c r="N202" s="30" t="str">
        <f aca="false">IF(OR($L202="",$M202="",NOT(ISNUMBER($L202))),"",IF($M202="Maund",ROUND($L202*37.32,2),$L202))</f>
        <v/>
      </c>
      <c r="O202" s="21"/>
      <c r="P202" s="22"/>
    </row>
    <row r="203" customFormat="false" ht="19.5" hidden="false" customHeight="true" outlineLevel="0" collapsed="false">
      <c r="B203" s="28" t="s">
        <v>591</v>
      </c>
      <c r="C203" s="21"/>
      <c r="D203" s="21"/>
      <c r="E203" s="21"/>
      <c r="F203" s="21"/>
      <c r="G203" s="29"/>
      <c r="H203" s="29"/>
      <c r="I203" s="21"/>
      <c r="J203" s="30" t="str">
        <f aca="false">IF(OR($G203="",$I203="",NOT(ISNUMBER($G203))),"",IF($I203="Maund",ROUND($G203/37.32,2),$G203))</f>
        <v/>
      </c>
      <c r="K203" s="30" t="str">
        <f aca="false">IF(OR($H203="",$I203="",NOT(ISNUMBER($H203))),"",IF($I203="Maund",ROUND($H203/37.32,2),$H203))</f>
        <v/>
      </c>
      <c r="L203" s="29"/>
      <c r="M203" s="21"/>
      <c r="N203" s="30" t="str">
        <f aca="false">IF(OR($L203="",$M203="",NOT(ISNUMBER($L203))),"",IF($M203="Maund",ROUND($L203*37.32,2),$L203))</f>
        <v/>
      </c>
      <c r="O203" s="21"/>
      <c r="P203" s="22"/>
    </row>
    <row r="204" customFormat="false" ht="19.5" hidden="false" customHeight="true" outlineLevel="0" collapsed="false">
      <c r="B204" s="28" t="s">
        <v>592</v>
      </c>
      <c r="C204" s="21"/>
      <c r="D204" s="21"/>
      <c r="E204" s="21"/>
      <c r="F204" s="21"/>
      <c r="G204" s="29"/>
      <c r="H204" s="29"/>
      <c r="I204" s="21"/>
      <c r="J204" s="30" t="str">
        <f aca="false">IF(OR($G204="",$I204="",NOT(ISNUMBER($G204))),"",IF($I204="Maund",ROUND($G204/37.32,2),$G204))</f>
        <v/>
      </c>
      <c r="K204" s="30" t="str">
        <f aca="false">IF(OR($H204="",$I204="",NOT(ISNUMBER($H204))),"",IF($I204="Maund",ROUND($H204/37.32,2),$H204))</f>
        <v/>
      </c>
      <c r="L204" s="29"/>
      <c r="M204" s="21"/>
      <c r="N204" s="30" t="str">
        <f aca="false">IF(OR($L204="",$M204="",NOT(ISNUMBER($L204))),"",IF($M204="Maund",ROUND($L204*37.32,2),$L204))</f>
        <v/>
      </c>
      <c r="O204" s="21"/>
      <c r="P204" s="22"/>
    </row>
    <row r="205" customFormat="false" ht="19.5" hidden="false" customHeight="true" outlineLevel="0" collapsed="false">
      <c r="B205" s="28" t="s">
        <v>593</v>
      </c>
      <c r="C205" s="21"/>
      <c r="D205" s="21"/>
      <c r="E205" s="21"/>
      <c r="F205" s="21"/>
      <c r="G205" s="29"/>
      <c r="H205" s="29"/>
      <c r="I205" s="21"/>
      <c r="J205" s="30" t="str">
        <f aca="false">IF(OR($G205="",$I205="",NOT(ISNUMBER($G205))),"",IF($I205="Maund",ROUND($G205/37.32,2),$G205))</f>
        <v/>
      </c>
      <c r="K205" s="30" t="str">
        <f aca="false">IF(OR($H205="",$I205="",NOT(ISNUMBER($H205))),"",IF($I205="Maund",ROUND($H205/37.32,2),$H205))</f>
        <v/>
      </c>
      <c r="L205" s="29"/>
      <c r="M205" s="21"/>
      <c r="N205" s="30" t="str">
        <f aca="false">IF(OR($L205="",$M205="",NOT(ISNUMBER($L205))),"",IF($M205="Maund",ROUND($L205*37.32,2),$L205))</f>
        <v/>
      </c>
      <c r="O205" s="21"/>
      <c r="P205" s="22"/>
    </row>
    <row r="206" customFormat="false" ht="19.5" hidden="false" customHeight="true" outlineLevel="0" collapsed="false">
      <c r="B206" s="28" t="s">
        <v>594</v>
      </c>
      <c r="C206" s="21"/>
      <c r="D206" s="21"/>
      <c r="E206" s="21"/>
      <c r="F206" s="21"/>
      <c r="G206" s="29"/>
      <c r="H206" s="29"/>
      <c r="I206" s="21"/>
      <c r="J206" s="30" t="str">
        <f aca="false">IF(OR($G206="",$I206="",NOT(ISNUMBER($G206))),"",IF($I206="Maund",ROUND($G206/37.32,2),$G206))</f>
        <v/>
      </c>
      <c r="K206" s="30" t="str">
        <f aca="false">IF(OR($H206="",$I206="",NOT(ISNUMBER($H206))),"",IF($I206="Maund",ROUND($H206/37.32,2),$H206))</f>
        <v/>
      </c>
      <c r="L206" s="29"/>
      <c r="M206" s="21"/>
      <c r="N206" s="30" t="str">
        <f aca="false">IF(OR($L206="",$M206="",NOT(ISNUMBER($L206))),"",IF($M206="Maund",ROUND($L206*37.32,2),$L206))</f>
        <v/>
      </c>
      <c r="O206" s="21"/>
      <c r="P206" s="22"/>
    </row>
    <row r="207" customFormat="false" ht="19.5" hidden="false" customHeight="true" outlineLevel="0" collapsed="false">
      <c r="B207" s="28" t="s">
        <v>595</v>
      </c>
      <c r="C207" s="21"/>
      <c r="D207" s="21"/>
      <c r="E207" s="21"/>
      <c r="F207" s="21"/>
      <c r="G207" s="29"/>
      <c r="H207" s="29"/>
      <c r="I207" s="21"/>
      <c r="J207" s="30" t="str">
        <f aca="false">IF(OR($G207="",$I207="",NOT(ISNUMBER($G207))),"",IF($I207="Maund",ROUND($G207/37.32,2),$G207))</f>
        <v/>
      </c>
      <c r="K207" s="30" t="str">
        <f aca="false">IF(OR($H207="",$I207="",NOT(ISNUMBER($H207))),"",IF($I207="Maund",ROUND($H207/37.32,2),$H207))</f>
        <v/>
      </c>
      <c r="L207" s="29"/>
      <c r="M207" s="21"/>
      <c r="N207" s="30" t="str">
        <f aca="false">IF(OR($L207="",$M207="",NOT(ISNUMBER($L207))),"",IF($M207="Maund",ROUND($L207*37.32,2),$L207))</f>
        <v/>
      </c>
      <c r="O207" s="21"/>
      <c r="P207" s="22"/>
    </row>
    <row r="208" customFormat="false" ht="19.5" hidden="false" customHeight="true" outlineLevel="0" collapsed="false">
      <c r="B208" s="28" t="s">
        <v>596</v>
      </c>
      <c r="C208" s="21"/>
      <c r="D208" s="21"/>
      <c r="E208" s="21"/>
      <c r="F208" s="21"/>
      <c r="G208" s="29"/>
      <c r="H208" s="29"/>
      <c r="I208" s="21"/>
      <c r="J208" s="30" t="str">
        <f aca="false">IF(OR($G208="",$I208="",NOT(ISNUMBER($G208))),"",IF($I208="Maund",ROUND($G208/37.32,2),$G208))</f>
        <v/>
      </c>
      <c r="K208" s="30" t="str">
        <f aca="false">IF(OR($H208="",$I208="",NOT(ISNUMBER($H208))),"",IF($I208="Maund",ROUND($H208/37.32,2),$H208))</f>
        <v/>
      </c>
      <c r="L208" s="29"/>
      <c r="M208" s="21"/>
      <c r="N208" s="30" t="str">
        <f aca="false">IF(OR($L208="",$M208="",NOT(ISNUMBER($L208))),"",IF($M208="Maund",ROUND($L208*37.32,2),$L208))</f>
        <v/>
      </c>
      <c r="O208" s="21"/>
      <c r="P208" s="22"/>
    </row>
    <row r="209" customFormat="false" ht="19.5" hidden="false" customHeight="true" outlineLevel="0" collapsed="false">
      <c r="B209" s="28" t="s">
        <v>597</v>
      </c>
      <c r="C209" s="21"/>
      <c r="D209" s="21"/>
      <c r="E209" s="21"/>
      <c r="F209" s="21"/>
      <c r="G209" s="29"/>
      <c r="H209" s="29"/>
      <c r="I209" s="21"/>
      <c r="J209" s="30" t="str">
        <f aca="false">IF(OR($G209="",$I209="",NOT(ISNUMBER($G209))),"",IF($I209="Maund",ROUND($G209/37.32,2),$G209))</f>
        <v/>
      </c>
      <c r="K209" s="30" t="str">
        <f aca="false">IF(OR($H209="",$I209="",NOT(ISNUMBER($H209))),"",IF($I209="Maund",ROUND($H209/37.32,2),$H209))</f>
        <v/>
      </c>
      <c r="L209" s="29"/>
      <c r="M209" s="21"/>
      <c r="N209" s="30" t="str">
        <f aca="false">IF(OR($L209="",$M209="",NOT(ISNUMBER($L209))),"",IF($M209="Maund",ROUND($L209*37.32,2),$L209))</f>
        <v/>
      </c>
      <c r="O209" s="21"/>
      <c r="P209" s="22"/>
    </row>
    <row r="210" customFormat="false" ht="19.5" hidden="false" customHeight="true" outlineLevel="0" collapsed="false">
      <c r="B210" s="28" t="s">
        <v>598</v>
      </c>
      <c r="C210" s="21"/>
      <c r="D210" s="21"/>
      <c r="E210" s="21"/>
      <c r="F210" s="21"/>
      <c r="G210" s="29"/>
      <c r="H210" s="29"/>
      <c r="I210" s="21"/>
      <c r="J210" s="30" t="str">
        <f aca="false">IF(OR($G210="",$I210="",NOT(ISNUMBER($G210))),"",IF($I210="Maund",ROUND($G210/37.32,2),$G210))</f>
        <v/>
      </c>
      <c r="K210" s="30" t="str">
        <f aca="false">IF(OR($H210="",$I210="",NOT(ISNUMBER($H210))),"",IF($I210="Maund",ROUND($H210/37.32,2),$H210))</f>
        <v/>
      </c>
      <c r="L210" s="29"/>
      <c r="M210" s="21"/>
      <c r="N210" s="30" t="str">
        <f aca="false">IF(OR($L210="",$M210="",NOT(ISNUMBER($L210))),"",IF($M210="Maund",ROUND($L210*37.32,2),$L210))</f>
        <v/>
      </c>
      <c r="O210" s="21"/>
      <c r="P210" s="22"/>
    </row>
    <row r="211" customFormat="false" ht="19.5" hidden="false" customHeight="true" outlineLevel="0" collapsed="false">
      <c r="B211" s="28" t="s">
        <v>599</v>
      </c>
      <c r="C211" s="21"/>
      <c r="D211" s="21"/>
      <c r="E211" s="21"/>
      <c r="F211" s="21"/>
      <c r="G211" s="29"/>
      <c r="H211" s="29"/>
      <c r="I211" s="21"/>
      <c r="J211" s="30" t="str">
        <f aca="false">IF(OR($G211="",$I211="",NOT(ISNUMBER($G211))),"",IF($I211="Maund",ROUND($G211/37.32,2),$G211))</f>
        <v/>
      </c>
      <c r="K211" s="30" t="str">
        <f aca="false">IF(OR($H211="",$I211="",NOT(ISNUMBER($H211))),"",IF($I211="Maund",ROUND($H211/37.32,2),$H211))</f>
        <v/>
      </c>
      <c r="L211" s="29"/>
      <c r="M211" s="21"/>
      <c r="N211" s="30" t="str">
        <f aca="false">IF(OR($L211="",$M211="",NOT(ISNUMBER($L211))),"",IF($M211="Maund",ROUND($L211*37.32,2),$L211))</f>
        <v/>
      </c>
      <c r="O211" s="21"/>
      <c r="P211" s="22"/>
    </row>
    <row r="212" customFormat="false" ht="19.5" hidden="false" customHeight="true" outlineLevel="0" collapsed="false">
      <c r="B212" s="28" t="s">
        <v>600</v>
      </c>
      <c r="C212" s="21"/>
      <c r="D212" s="21"/>
      <c r="E212" s="21"/>
      <c r="F212" s="21"/>
      <c r="G212" s="29"/>
      <c r="H212" s="29"/>
      <c r="I212" s="21"/>
      <c r="J212" s="30" t="str">
        <f aca="false">IF(OR($G212="",$I212="",NOT(ISNUMBER($G212))),"",IF($I212="Maund",ROUND($G212/37.32,2),$G212))</f>
        <v/>
      </c>
      <c r="K212" s="30" t="str">
        <f aca="false">IF(OR($H212="",$I212="",NOT(ISNUMBER($H212))),"",IF($I212="Maund",ROUND($H212/37.32,2),$H212))</f>
        <v/>
      </c>
      <c r="L212" s="29"/>
      <c r="M212" s="21"/>
      <c r="N212" s="30" t="str">
        <f aca="false">IF(OR($L212="",$M212="",NOT(ISNUMBER($L212))),"",IF($M212="Maund",ROUND($L212*37.32,2),$L212))</f>
        <v/>
      </c>
      <c r="O212" s="21"/>
      <c r="P212" s="22"/>
    </row>
    <row r="213" customFormat="false" ht="19.5" hidden="false" customHeight="true" outlineLevel="0" collapsed="false">
      <c r="B213" s="28" t="s">
        <v>601</v>
      </c>
      <c r="C213" s="21"/>
      <c r="D213" s="21"/>
      <c r="E213" s="21"/>
      <c r="F213" s="21"/>
      <c r="G213" s="29"/>
      <c r="H213" s="29"/>
      <c r="I213" s="21"/>
      <c r="J213" s="30" t="str">
        <f aca="false">IF(OR($G213="",$I213="",NOT(ISNUMBER($G213))),"",IF($I213="Maund",ROUND($G213/37.32,2),$G213))</f>
        <v/>
      </c>
      <c r="K213" s="30" t="str">
        <f aca="false">IF(OR($H213="",$I213="",NOT(ISNUMBER($H213))),"",IF($I213="Maund",ROUND($H213/37.32,2),$H213))</f>
        <v/>
      </c>
      <c r="L213" s="29"/>
      <c r="M213" s="21"/>
      <c r="N213" s="30" t="str">
        <f aca="false">IF(OR($L213="",$M213="",NOT(ISNUMBER($L213))),"",IF($M213="Maund",ROUND($L213*37.32,2),$L213))</f>
        <v/>
      </c>
      <c r="O213" s="21"/>
      <c r="P213" s="22"/>
    </row>
    <row r="214" customFormat="false" ht="19.5" hidden="false" customHeight="true" outlineLevel="0" collapsed="false">
      <c r="B214" s="28" t="s">
        <v>602</v>
      </c>
      <c r="C214" s="21"/>
      <c r="D214" s="21"/>
      <c r="E214" s="21"/>
      <c r="F214" s="21"/>
      <c r="G214" s="29"/>
      <c r="H214" s="29"/>
      <c r="I214" s="21"/>
      <c r="J214" s="30" t="str">
        <f aca="false">IF(OR($G214="",$I214="",NOT(ISNUMBER($G214))),"",IF($I214="Maund",ROUND($G214/37.32,2),$G214))</f>
        <v/>
      </c>
      <c r="K214" s="30" t="str">
        <f aca="false">IF(OR($H214="",$I214="",NOT(ISNUMBER($H214))),"",IF($I214="Maund",ROUND($H214/37.32,2),$H214))</f>
        <v/>
      </c>
      <c r="L214" s="29"/>
      <c r="M214" s="21"/>
      <c r="N214" s="30" t="str">
        <f aca="false">IF(OR($L214="",$M214="",NOT(ISNUMBER($L214))),"",IF($M214="Maund",ROUND($L214*37.32,2),$L214))</f>
        <v/>
      </c>
      <c r="O214" s="21"/>
      <c r="P214" s="22"/>
    </row>
    <row r="215" customFormat="false" ht="19.5" hidden="false" customHeight="true" outlineLevel="0" collapsed="false">
      <c r="B215" s="28" t="s">
        <v>603</v>
      </c>
      <c r="C215" s="21"/>
      <c r="D215" s="21"/>
      <c r="E215" s="21"/>
      <c r="F215" s="21"/>
      <c r="G215" s="29"/>
      <c r="H215" s="29"/>
      <c r="I215" s="21"/>
      <c r="J215" s="30" t="str">
        <f aca="false">IF(OR($G215="",$I215="",NOT(ISNUMBER($G215))),"",IF($I215="Maund",ROUND($G215/37.32,2),$G215))</f>
        <v/>
      </c>
      <c r="K215" s="30" t="str">
        <f aca="false">IF(OR($H215="",$I215="",NOT(ISNUMBER($H215))),"",IF($I215="Maund",ROUND($H215/37.32,2),$H215))</f>
        <v/>
      </c>
      <c r="L215" s="29"/>
      <c r="M215" s="21"/>
      <c r="N215" s="30" t="str">
        <f aca="false">IF(OR($L215="",$M215="",NOT(ISNUMBER($L215))),"",IF($M215="Maund",ROUND($L215*37.32,2),$L215))</f>
        <v/>
      </c>
      <c r="O215" s="21"/>
      <c r="P215" s="22"/>
    </row>
    <row r="216" customFormat="false" ht="19.5" hidden="false" customHeight="true" outlineLevel="0" collapsed="false">
      <c r="B216" s="28" t="s">
        <v>604</v>
      </c>
      <c r="C216" s="21"/>
      <c r="D216" s="21"/>
      <c r="E216" s="21"/>
      <c r="F216" s="21"/>
      <c r="G216" s="29"/>
      <c r="H216" s="29"/>
      <c r="I216" s="21"/>
      <c r="J216" s="30" t="str">
        <f aca="false">IF(OR($G216="",$I216="",NOT(ISNUMBER($G216))),"",IF($I216="Maund",ROUND($G216/37.32,2),$G216))</f>
        <v/>
      </c>
      <c r="K216" s="30" t="str">
        <f aca="false">IF(OR($H216="",$I216="",NOT(ISNUMBER($H216))),"",IF($I216="Maund",ROUND($H216/37.32,2),$H216))</f>
        <v/>
      </c>
      <c r="L216" s="29"/>
      <c r="M216" s="21"/>
      <c r="N216" s="30" t="str">
        <f aca="false">IF(OR($L216="",$M216="",NOT(ISNUMBER($L216))),"",IF($M216="Maund",ROUND($L216*37.32,2),$L216))</f>
        <v/>
      </c>
      <c r="O216" s="21"/>
      <c r="P216" s="22"/>
    </row>
    <row r="217" customFormat="false" ht="19.5" hidden="false" customHeight="true" outlineLevel="0" collapsed="false">
      <c r="B217" s="28" t="s">
        <v>605</v>
      </c>
      <c r="C217" s="21"/>
      <c r="D217" s="21"/>
      <c r="E217" s="21"/>
      <c r="F217" s="21"/>
      <c r="G217" s="29"/>
      <c r="H217" s="29"/>
      <c r="I217" s="21"/>
      <c r="J217" s="30" t="str">
        <f aca="false">IF(OR($G217="",$I217="",NOT(ISNUMBER($G217))),"",IF($I217="Maund",ROUND($G217/37.32,2),$G217))</f>
        <v/>
      </c>
      <c r="K217" s="30" t="str">
        <f aca="false">IF(OR($H217="",$I217="",NOT(ISNUMBER($H217))),"",IF($I217="Maund",ROUND($H217/37.32,2),$H217))</f>
        <v/>
      </c>
      <c r="L217" s="29"/>
      <c r="M217" s="21"/>
      <c r="N217" s="30" t="str">
        <f aca="false">IF(OR($L217="",$M217="",NOT(ISNUMBER($L217))),"",IF($M217="Maund",ROUND($L217*37.32,2),$L217))</f>
        <v/>
      </c>
      <c r="O217" s="21"/>
      <c r="P217" s="22"/>
    </row>
    <row r="218" customFormat="false" ht="19.5" hidden="false" customHeight="true" outlineLevel="0" collapsed="false">
      <c r="B218" s="28" t="s">
        <v>606</v>
      </c>
      <c r="C218" s="21"/>
      <c r="D218" s="21"/>
      <c r="E218" s="21"/>
      <c r="F218" s="21"/>
      <c r="G218" s="29"/>
      <c r="H218" s="29"/>
      <c r="I218" s="21"/>
      <c r="J218" s="30" t="str">
        <f aca="false">IF(OR($G218="",$I218="",NOT(ISNUMBER($G218))),"",IF($I218="Maund",ROUND($G218/37.32,2),$G218))</f>
        <v/>
      </c>
      <c r="K218" s="30" t="str">
        <f aca="false">IF(OR($H218="",$I218="",NOT(ISNUMBER($H218))),"",IF($I218="Maund",ROUND($H218/37.32,2),$H218))</f>
        <v/>
      </c>
      <c r="L218" s="29"/>
      <c r="M218" s="21"/>
      <c r="N218" s="30" t="str">
        <f aca="false">IF(OR($L218="",$M218="",NOT(ISNUMBER($L218))),"",IF($M218="Maund",ROUND($L218*37.32,2),$L218))</f>
        <v/>
      </c>
      <c r="O218" s="21"/>
      <c r="P218" s="22"/>
    </row>
    <row r="219" customFormat="false" ht="19.5" hidden="false" customHeight="true" outlineLevel="0" collapsed="false">
      <c r="B219" s="28" t="s">
        <v>607</v>
      </c>
      <c r="C219" s="21"/>
      <c r="D219" s="21"/>
      <c r="E219" s="21"/>
      <c r="F219" s="21"/>
      <c r="G219" s="29"/>
      <c r="H219" s="29"/>
      <c r="I219" s="21"/>
      <c r="J219" s="30" t="str">
        <f aca="false">IF(OR($G219="",$I219="",NOT(ISNUMBER($G219))),"",IF($I219="Maund",ROUND($G219/37.32,2),$G219))</f>
        <v/>
      </c>
      <c r="K219" s="30" t="str">
        <f aca="false">IF(OR($H219="",$I219="",NOT(ISNUMBER($H219))),"",IF($I219="Maund",ROUND($H219/37.32,2),$H219))</f>
        <v/>
      </c>
      <c r="L219" s="29"/>
      <c r="M219" s="21"/>
      <c r="N219" s="30" t="str">
        <f aca="false">IF(OR($L219="",$M219="",NOT(ISNUMBER($L219))),"",IF($M219="Maund",ROUND($L219*37.32,2),$L219))</f>
        <v/>
      </c>
      <c r="O219" s="21"/>
      <c r="P219" s="22"/>
    </row>
    <row r="220" customFormat="false" ht="19.5" hidden="false" customHeight="true" outlineLevel="0" collapsed="false">
      <c r="B220" s="28" t="s">
        <v>608</v>
      </c>
      <c r="C220" s="21"/>
      <c r="D220" s="21"/>
      <c r="E220" s="21"/>
      <c r="F220" s="21"/>
      <c r="G220" s="29"/>
      <c r="H220" s="29"/>
      <c r="I220" s="21"/>
      <c r="J220" s="30" t="str">
        <f aca="false">IF(OR($G220="",$I220="",NOT(ISNUMBER($G220))),"",IF($I220="Maund",ROUND($G220/37.32,2),$G220))</f>
        <v/>
      </c>
      <c r="K220" s="30" t="str">
        <f aca="false">IF(OR($H220="",$I220="",NOT(ISNUMBER($H220))),"",IF($I220="Maund",ROUND($H220/37.32,2),$H220))</f>
        <v/>
      </c>
      <c r="L220" s="29"/>
      <c r="M220" s="21"/>
      <c r="N220" s="30" t="str">
        <f aca="false">IF(OR($L220="",$M220="",NOT(ISNUMBER($L220))),"",IF($M220="Maund",ROUND($L220*37.32,2),$L220))</f>
        <v/>
      </c>
      <c r="O220" s="21"/>
      <c r="P220" s="22"/>
    </row>
    <row r="221" customFormat="false" ht="19.5" hidden="false" customHeight="true" outlineLevel="0" collapsed="false">
      <c r="B221" s="28" t="s">
        <v>609</v>
      </c>
      <c r="C221" s="21"/>
      <c r="D221" s="21"/>
      <c r="E221" s="21"/>
      <c r="F221" s="21"/>
      <c r="G221" s="29"/>
      <c r="H221" s="29"/>
      <c r="I221" s="21"/>
      <c r="J221" s="30" t="str">
        <f aca="false">IF(OR($G221="",$I221="",NOT(ISNUMBER($G221))),"",IF($I221="Maund",ROUND($G221/37.32,2),$G221))</f>
        <v/>
      </c>
      <c r="K221" s="30" t="str">
        <f aca="false">IF(OR($H221="",$I221="",NOT(ISNUMBER($H221))),"",IF($I221="Maund",ROUND($H221/37.32,2),$H221))</f>
        <v/>
      </c>
      <c r="L221" s="29"/>
      <c r="M221" s="21"/>
      <c r="N221" s="30" t="str">
        <f aca="false">IF(OR($L221="",$M221="",NOT(ISNUMBER($L221))),"",IF($M221="Maund",ROUND($L221*37.32,2),$L221))</f>
        <v/>
      </c>
      <c r="O221" s="21"/>
      <c r="P221" s="22"/>
    </row>
    <row r="222" customFormat="false" ht="19.5" hidden="false" customHeight="true" outlineLevel="0" collapsed="false">
      <c r="B222" s="28" t="s">
        <v>610</v>
      </c>
      <c r="C222" s="21"/>
      <c r="D222" s="21"/>
      <c r="E222" s="21"/>
      <c r="F222" s="21"/>
      <c r="G222" s="29"/>
      <c r="H222" s="29"/>
      <c r="I222" s="21"/>
      <c r="J222" s="30" t="str">
        <f aca="false">IF(OR($G222="",$I222="",NOT(ISNUMBER($G222))),"",IF($I222="Maund",ROUND($G222/37.32,2),$G222))</f>
        <v/>
      </c>
      <c r="K222" s="30" t="str">
        <f aca="false">IF(OR($H222="",$I222="",NOT(ISNUMBER($H222))),"",IF($I222="Maund",ROUND($H222/37.32,2),$H222))</f>
        <v/>
      </c>
      <c r="L222" s="29"/>
      <c r="M222" s="21"/>
      <c r="N222" s="30" t="str">
        <f aca="false">IF(OR($L222="",$M222="",NOT(ISNUMBER($L222))),"",IF($M222="Maund",ROUND($L222*37.32,2),$L222))</f>
        <v/>
      </c>
      <c r="O222" s="21"/>
      <c r="P222" s="22"/>
    </row>
    <row r="223" customFormat="false" ht="19.5" hidden="false" customHeight="true" outlineLevel="0" collapsed="false">
      <c r="B223" s="28" t="s">
        <v>611</v>
      </c>
      <c r="C223" s="21"/>
      <c r="D223" s="21"/>
      <c r="E223" s="21"/>
      <c r="F223" s="21"/>
      <c r="G223" s="29"/>
      <c r="H223" s="29"/>
      <c r="I223" s="21"/>
      <c r="J223" s="30" t="str">
        <f aca="false">IF(OR($G223="",$I223="",NOT(ISNUMBER($G223))),"",IF($I223="Maund",ROUND($G223/37.32,2),$G223))</f>
        <v/>
      </c>
      <c r="K223" s="30" t="str">
        <f aca="false">IF(OR($H223="",$I223="",NOT(ISNUMBER($H223))),"",IF($I223="Maund",ROUND($H223/37.32,2),$H223))</f>
        <v/>
      </c>
      <c r="L223" s="29"/>
      <c r="M223" s="21"/>
      <c r="N223" s="30" t="str">
        <f aca="false">IF(OR($L223="",$M223="",NOT(ISNUMBER($L223))),"",IF($M223="Maund",ROUND($L223*37.32,2),$L223))</f>
        <v/>
      </c>
      <c r="O223" s="21"/>
      <c r="P223" s="22"/>
    </row>
    <row r="224" customFormat="false" ht="19.5" hidden="false" customHeight="true" outlineLevel="0" collapsed="false">
      <c r="B224" s="28" t="s">
        <v>612</v>
      </c>
      <c r="C224" s="21"/>
      <c r="D224" s="21"/>
      <c r="E224" s="21"/>
      <c r="F224" s="21"/>
      <c r="G224" s="29"/>
      <c r="H224" s="29"/>
      <c r="I224" s="21"/>
      <c r="J224" s="30" t="str">
        <f aca="false">IF(OR($G224="",$I224="",NOT(ISNUMBER($G224))),"",IF($I224="Maund",ROUND($G224/37.32,2),$G224))</f>
        <v/>
      </c>
      <c r="K224" s="30" t="str">
        <f aca="false">IF(OR($H224="",$I224="",NOT(ISNUMBER($H224))),"",IF($I224="Maund",ROUND($H224/37.32,2),$H224))</f>
        <v/>
      </c>
      <c r="L224" s="29"/>
      <c r="M224" s="21"/>
      <c r="N224" s="30" t="str">
        <f aca="false">IF(OR($L224="",$M224="",NOT(ISNUMBER($L224))),"",IF($M224="Maund",ROUND($L224*37.32,2),$L224))</f>
        <v/>
      </c>
      <c r="O224" s="21"/>
      <c r="P224" s="22"/>
    </row>
    <row r="225" customFormat="false" ht="19.5" hidden="false" customHeight="true" outlineLevel="0" collapsed="false">
      <c r="B225" s="28" t="s">
        <v>613</v>
      </c>
      <c r="C225" s="21"/>
      <c r="D225" s="21"/>
      <c r="E225" s="21"/>
      <c r="F225" s="21"/>
      <c r="G225" s="29"/>
      <c r="H225" s="29"/>
      <c r="I225" s="21"/>
      <c r="J225" s="30" t="str">
        <f aca="false">IF(OR($G225="",$I225="",NOT(ISNUMBER($G225))),"",IF($I225="Maund",ROUND($G225/37.32,2),$G225))</f>
        <v/>
      </c>
      <c r="K225" s="30" t="str">
        <f aca="false">IF(OR($H225="",$I225="",NOT(ISNUMBER($H225))),"",IF($I225="Maund",ROUND($H225/37.32,2),$H225))</f>
        <v/>
      </c>
      <c r="L225" s="29"/>
      <c r="M225" s="21"/>
      <c r="N225" s="30" t="str">
        <f aca="false">IF(OR($L225="",$M225="",NOT(ISNUMBER($L225))),"",IF($M225="Maund",ROUND($L225*37.32,2),$L225))</f>
        <v/>
      </c>
      <c r="O225" s="21"/>
      <c r="P225" s="22"/>
    </row>
    <row r="226" customFormat="false" ht="19.5" hidden="false" customHeight="true" outlineLevel="0" collapsed="false">
      <c r="B226" s="28" t="s">
        <v>614</v>
      </c>
      <c r="C226" s="21"/>
      <c r="D226" s="21"/>
      <c r="E226" s="21"/>
      <c r="F226" s="21"/>
      <c r="G226" s="29"/>
      <c r="H226" s="29"/>
      <c r="I226" s="21"/>
      <c r="J226" s="30" t="str">
        <f aca="false">IF(OR($G226="",$I226="",NOT(ISNUMBER($G226))),"",IF($I226="Maund",ROUND($G226/37.32,2),$G226))</f>
        <v/>
      </c>
      <c r="K226" s="30" t="str">
        <f aca="false">IF(OR($H226="",$I226="",NOT(ISNUMBER($H226))),"",IF($I226="Maund",ROUND($H226/37.32,2),$H226))</f>
        <v/>
      </c>
      <c r="L226" s="29"/>
      <c r="M226" s="21"/>
      <c r="N226" s="30" t="str">
        <f aca="false">IF(OR($L226="",$M226="",NOT(ISNUMBER($L226))),"",IF($M226="Maund",ROUND($L226*37.32,2),$L226))</f>
        <v/>
      </c>
      <c r="O226" s="21"/>
      <c r="P226" s="22"/>
    </row>
    <row r="227" customFormat="false" ht="19.5" hidden="false" customHeight="true" outlineLevel="0" collapsed="false">
      <c r="B227" s="28" t="s">
        <v>615</v>
      </c>
      <c r="C227" s="21"/>
      <c r="D227" s="21"/>
      <c r="E227" s="21"/>
      <c r="F227" s="21"/>
      <c r="G227" s="29"/>
      <c r="H227" s="29"/>
      <c r="I227" s="21"/>
      <c r="J227" s="30" t="str">
        <f aca="false">IF(OR($G227="",$I227="",NOT(ISNUMBER($G227))),"",IF($I227="Maund",ROUND($G227/37.32,2),$G227))</f>
        <v/>
      </c>
      <c r="K227" s="30" t="str">
        <f aca="false">IF(OR($H227="",$I227="",NOT(ISNUMBER($H227))),"",IF($I227="Maund",ROUND($H227/37.32,2),$H227))</f>
        <v/>
      </c>
      <c r="L227" s="29"/>
      <c r="M227" s="21"/>
      <c r="N227" s="30" t="str">
        <f aca="false">IF(OR($L227="",$M227="",NOT(ISNUMBER($L227))),"",IF($M227="Maund",ROUND($L227*37.32,2),$L227))</f>
        <v/>
      </c>
      <c r="O227" s="21"/>
      <c r="P227" s="22"/>
    </row>
    <row r="228" customFormat="false" ht="19.5" hidden="false" customHeight="true" outlineLevel="0" collapsed="false">
      <c r="B228" s="28" t="s">
        <v>616</v>
      </c>
      <c r="C228" s="21"/>
      <c r="D228" s="21"/>
      <c r="E228" s="21"/>
      <c r="F228" s="21"/>
      <c r="G228" s="29"/>
      <c r="H228" s="29"/>
      <c r="I228" s="21"/>
      <c r="J228" s="30" t="str">
        <f aca="false">IF(OR($G228="",$I228="",NOT(ISNUMBER($G228))),"",IF($I228="Maund",ROUND($G228/37.32,2),$G228))</f>
        <v/>
      </c>
      <c r="K228" s="30" t="str">
        <f aca="false">IF(OR($H228="",$I228="",NOT(ISNUMBER($H228))),"",IF($I228="Maund",ROUND($H228/37.32,2),$H228))</f>
        <v/>
      </c>
      <c r="L228" s="29"/>
      <c r="M228" s="21"/>
      <c r="N228" s="30" t="str">
        <f aca="false">IF(OR($L228="",$M228="",NOT(ISNUMBER($L228))),"",IF($M228="Maund",ROUND($L228*37.32,2),$L228))</f>
        <v/>
      </c>
      <c r="O228" s="21"/>
      <c r="P228" s="22"/>
    </row>
    <row r="229" customFormat="false" ht="19.5" hidden="false" customHeight="true" outlineLevel="0" collapsed="false">
      <c r="B229" s="28" t="s">
        <v>617</v>
      </c>
      <c r="C229" s="21"/>
      <c r="D229" s="21"/>
      <c r="E229" s="21"/>
      <c r="F229" s="21"/>
      <c r="G229" s="29"/>
      <c r="H229" s="29"/>
      <c r="I229" s="21"/>
      <c r="J229" s="30" t="str">
        <f aca="false">IF(OR($G229="",$I229="",NOT(ISNUMBER($G229))),"",IF($I229="Maund",ROUND($G229/37.32,2),$G229))</f>
        <v/>
      </c>
      <c r="K229" s="30" t="str">
        <f aca="false">IF(OR($H229="",$I229="",NOT(ISNUMBER($H229))),"",IF($I229="Maund",ROUND($H229/37.32,2),$H229))</f>
        <v/>
      </c>
      <c r="L229" s="29"/>
      <c r="M229" s="21"/>
      <c r="N229" s="30" t="str">
        <f aca="false">IF(OR($L229="",$M229="",NOT(ISNUMBER($L229))),"",IF($M229="Maund",ROUND($L229*37.32,2),$L229))</f>
        <v/>
      </c>
      <c r="O229" s="21"/>
      <c r="P229" s="22"/>
    </row>
    <row r="230" customFormat="false" ht="19.5" hidden="false" customHeight="true" outlineLevel="0" collapsed="false">
      <c r="B230" s="28" t="s">
        <v>618</v>
      </c>
      <c r="C230" s="21"/>
      <c r="D230" s="21"/>
      <c r="E230" s="21"/>
      <c r="F230" s="21"/>
      <c r="G230" s="29"/>
      <c r="H230" s="29"/>
      <c r="I230" s="21"/>
      <c r="J230" s="30" t="str">
        <f aca="false">IF(OR($G230="",$I230="",NOT(ISNUMBER($G230))),"",IF($I230="Maund",ROUND($G230/37.32,2),$G230))</f>
        <v/>
      </c>
      <c r="K230" s="30" t="str">
        <f aca="false">IF(OR($H230="",$I230="",NOT(ISNUMBER($H230))),"",IF($I230="Maund",ROUND($H230/37.32,2),$H230))</f>
        <v/>
      </c>
      <c r="L230" s="29"/>
      <c r="M230" s="21"/>
      <c r="N230" s="30" t="str">
        <f aca="false">IF(OR($L230="",$M230="",NOT(ISNUMBER($L230))),"",IF($M230="Maund",ROUND($L230*37.32,2),$L230))</f>
        <v/>
      </c>
      <c r="O230" s="21"/>
      <c r="P230" s="22"/>
    </row>
    <row r="231" customFormat="false" ht="19.5" hidden="false" customHeight="true" outlineLevel="0" collapsed="false">
      <c r="B231" s="28" t="s">
        <v>619</v>
      </c>
      <c r="C231" s="21"/>
      <c r="D231" s="21"/>
      <c r="E231" s="21"/>
      <c r="F231" s="21"/>
      <c r="G231" s="29"/>
      <c r="H231" s="29"/>
      <c r="I231" s="21"/>
      <c r="J231" s="30" t="str">
        <f aca="false">IF(OR($G231="",$I231="",NOT(ISNUMBER($G231))),"",IF($I231="Maund",ROUND($G231/37.32,2),$G231))</f>
        <v/>
      </c>
      <c r="K231" s="30" t="str">
        <f aca="false">IF(OR($H231="",$I231="",NOT(ISNUMBER($H231))),"",IF($I231="Maund",ROUND($H231/37.32,2),$H231))</f>
        <v/>
      </c>
      <c r="L231" s="29"/>
      <c r="M231" s="21"/>
      <c r="N231" s="30" t="str">
        <f aca="false">IF(OR($L231="",$M231="",NOT(ISNUMBER($L231))),"",IF($M231="Maund",ROUND($L231*37.32,2),$L231))</f>
        <v/>
      </c>
      <c r="O231" s="21"/>
      <c r="P231" s="22"/>
    </row>
    <row r="232" customFormat="false" ht="19.5" hidden="false" customHeight="true" outlineLevel="0" collapsed="false">
      <c r="B232" s="28" t="s">
        <v>620</v>
      </c>
      <c r="C232" s="21"/>
      <c r="D232" s="21"/>
      <c r="E232" s="21"/>
      <c r="F232" s="21"/>
      <c r="G232" s="29"/>
      <c r="H232" s="29"/>
      <c r="I232" s="21"/>
      <c r="J232" s="30" t="str">
        <f aca="false">IF(OR($G232="",$I232="",NOT(ISNUMBER($G232))),"",IF($I232="Maund",ROUND($G232/37.32,2),$G232))</f>
        <v/>
      </c>
      <c r="K232" s="30" t="str">
        <f aca="false">IF(OR($H232="",$I232="",NOT(ISNUMBER($H232))),"",IF($I232="Maund",ROUND($H232/37.32,2),$H232))</f>
        <v/>
      </c>
      <c r="L232" s="29"/>
      <c r="M232" s="21"/>
      <c r="N232" s="30" t="str">
        <f aca="false">IF(OR($L232="",$M232="",NOT(ISNUMBER($L232))),"",IF($M232="Maund",ROUND($L232*37.32,2),$L232))</f>
        <v/>
      </c>
      <c r="O232" s="21"/>
      <c r="P232" s="22"/>
    </row>
    <row r="233" customFormat="false" ht="19.5" hidden="false" customHeight="true" outlineLevel="0" collapsed="false">
      <c r="B233" s="28" t="s">
        <v>621</v>
      </c>
      <c r="C233" s="21"/>
      <c r="D233" s="21"/>
      <c r="E233" s="21"/>
      <c r="F233" s="21"/>
      <c r="G233" s="29"/>
      <c r="H233" s="29"/>
      <c r="I233" s="21"/>
      <c r="J233" s="30" t="str">
        <f aca="false">IF(OR($G233="",$I233="",NOT(ISNUMBER($G233))),"",IF($I233="Maund",ROUND($G233/37.32,2),$G233))</f>
        <v/>
      </c>
      <c r="K233" s="30" t="str">
        <f aca="false">IF(OR($H233="",$I233="",NOT(ISNUMBER($H233))),"",IF($I233="Maund",ROUND($H233/37.32,2),$H233))</f>
        <v/>
      </c>
      <c r="L233" s="29"/>
      <c r="M233" s="21"/>
      <c r="N233" s="30" t="str">
        <f aca="false">IF(OR($L233="",$M233="",NOT(ISNUMBER($L233))),"",IF($M233="Maund",ROUND($L233*37.32,2),$L233))</f>
        <v/>
      </c>
      <c r="O233" s="21"/>
      <c r="P233" s="22"/>
    </row>
    <row r="234" customFormat="false" ht="19.5" hidden="false" customHeight="true" outlineLevel="0" collapsed="false">
      <c r="B234" s="28" t="s">
        <v>622</v>
      </c>
      <c r="C234" s="21"/>
      <c r="D234" s="21"/>
      <c r="E234" s="21"/>
      <c r="F234" s="21"/>
      <c r="G234" s="29"/>
      <c r="H234" s="29"/>
      <c r="I234" s="21"/>
      <c r="J234" s="30" t="str">
        <f aca="false">IF(OR($G234="",$I234="",NOT(ISNUMBER($G234))),"",IF($I234="Maund",ROUND($G234/37.32,2),$G234))</f>
        <v/>
      </c>
      <c r="K234" s="30" t="str">
        <f aca="false">IF(OR($H234="",$I234="",NOT(ISNUMBER($H234))),"",IF($I234="Maund",ROUND($H234/37.32,2),$H234))</f>
        <v/>
      </c>
      <c r="L234" s="29"/>
      <c r="M234" s="21"/>
      <c r="N234" s="30" t="str">
        <f aca="false">IF(OR($L234="",$M234="",NOT(ISNUMBER($L234))),"",IF($M234="Maund",ROUND($L234*37.32,2),$L234))</f>
        <v/>
      </c>
      <c r="O234" s="21"/>
      <c r="P234" s="22"/>
    </row>
    <row r="235" customFormat="false" ht="19.5" hidden="false" customHeight="true" outlineLevel="0" collapsed="false">
      <c r="B235" s="28" t="s">
        <v>623</v>
      </c>
      <c r="C235" s="21"/>
      <c r="D235" s="21"/>
      <c r="E235" s="21"/>
      <c r="F235" s="21"/>
      <c r="G235" s="29"/>
      <c r="H235" s="29"/>
      <c r="I235" s="21"/>
      <c r="J235" s="30" t="str">
        <f aca="false">IF(OR($G235="",$I235="",NOT(ISNUMBER($G235))),"",IF($I235="Maund",ROUND($G235/37.32,2),$G235))</f>
        <v/>
      </c>
      <c r="K235" s="30" t="str">
        <f aca="false">IF(OR($H235="",$I235="",NOT(ISNUMBER($H235))),"",IF($I235="Maund",ROUND($H235/37.32,2),$H235))</f>
        <v/>
      </c>
      <c r="L235" s="29"/>
      <c r="M235" s="21"/>
      <c r="N235" s="30" t="str">
        <f aca="false">IF(OR($L235="",$M235="",NOT(ISNUMBER($L235))),"",IF($M235="Maund",ROUND($L235*37.32,2),$L235))</f>
        <v/>
      </c>
      <c r="O235" s="21"/>
      <c r="P235" s="22"/>
    </row>
    <row r="236" customFormat="false" ht="19.5" hidden="false" customHeight="true" outlineLevel="0" collapsed="false">
      <c r="B236" s="28" t="s">
        <v>624</v>
      </c>
      <c r="C236" s="21"/>
      <c r="D236" s="21"/>
      <c r="E236" s="21"/>
      <c r="F236" s="21"/>
      <c r="G236" s="29"/>
      <c r="H236" s="29"/>
      <c r="I236" s="21"/>
      <c r="J236" s="30" t="str">
        <f aca="false">IF(OR($G236="",$I236="",NOT(ISNUMBER($G236))),"",IF($I236="Maund",ROUND($G236/37.32,2),$G236))</f>
        <v/>
      </c>
      <c r="K236" s="30" t="str">
        <f aca="false">IF(OR($H236="",$I236="",NOT(ISNUMBER($H236))),"",IF($I236="Maund",ROUND($H236/37.32,2),$H236))</f>
        <v/>
      </c>
      <c r="L236" s="29"/>
      <c r="M236" s="21"/>
      <c r="N236" s="30" t="str">
        <f aca="false">IF(OR($L236="",$M236="",NOT(ISNUMBER($L236))),"",IF($M236="Maund",ROUND($L236*37.32,2),$L236))</f>
        <v/>
      </c>
      <c r="O236" s="21"/>
      <c r="P236" s="22"/>
    </row>
    <row r="237" customFormat="false" ht="19.5" hidden="false" customHeight="true" outlineLevel="0" collapsed="false">
      <c r="B237" s="28" t="s">
        <v>625</v>
      </c>
      <c r="C237" s="21"/>
      <c r="D237" s="21"/>
      <c r="E237" s="21"/>
      <c r="F237" s="21"/>
      <c r="G237" s="29"/>
      <c r="H237" s="29"/>
      <c r="I237" s="21"/>
      <c r="J237" s="30" t="str">
        <f aca="false">IF(OR($G237="",$I237="",NOT(ISNUMBER($G237))),"",IF($I237="Maund",ROUND($G237/37.32,2),$G237))</f>
        <v/>
      </c>
      <c r="K237" s="30" t="str">
        <f aca="false">IF(OR($H237="",$I237="",NOT(ISNUMBER($H237))),"",IF($I237="Maund",ROUND($H237/37.32,2),$H237))</f>
        <v/>
      </c>
      <c r="L237" s="29"/>
      <c r="M237" s="21"/>
      <c r="N237" s="30" t="str">
        <f aca="false">IF(OR($L237="",$M237="",NOT(ISNUMBER($L237))),"",IF($M237="Maund",ROUND($L237*37.32,2),$L237))</f>
        <v/>
      </c>
      <c r="O237" s="21"/>
      <c r="P237" s="22"/>
    </row>
    <row r="238" customFormat="false" ht="19.5" hidden="false" customHeight="true" outlineLevel="0" collapsed="false">
      <c r="B238" s="28" t="s">
        <v>626</v>
      </c>
      <c r="C238" s="21"/>
      <c r="D238" s="21"/>
      <c r="E238" s="21"/>
      <c r="F238" s="21"/>
      <c r="G238" s="29"/>
      <c r="H238" s="29"/>
      <c r="I238" s="21"/>
      <c r="J238" s="30" t="str">
        <f aca="false">IF(OR($G238="",$I238="",NOT(ISNUMBER($G238))),"",IF($I238="Maund",ROUND($G238/37.32,2),$G238))</f>
        <v/>
      </c>
      <c r="K238" s="30" t="str">
        <f aca="false">IF(OR($H238="",$I238="",NOT(ISNUMBER($H238))),"",IF($I238="Maund",ROUND($H238/37.32,2),$H238))</f>
        <v/>
      </c>
      <c r="L238" s="29"/>
      <c r="M238" s="21"/>
      <c r="N238" s="30" t="str">
        <f aca="false">IF(OR($L238="",$M238="",NOT(ISNUMBER($L238))),"",IF($M238="Maund",ROUND($L238*37.32,2),$L238))</f>
        <v/>
      </c>
      <c r="O238" s="21"/>
      <c r="P238" s="22"/>
    </row>
    <row r="239" customFormat="false" ht="19.5" hidden="false" customHeight="true" outlineLevel="0" collapsed="false">
      <c r="B239" s="28" t="s">
        <v>627</v>
      </c>
      <c r="C239" s="21"/>
      <c r="D239" s="21"/>
      <c r="E239" s="21"/>
      <c r="F239" s="21"/>
      <c r="G239" s="29"/>
      <c r="H239" s="29"/>
      <c r="I239" s="21"/>
      <c r="J239" s="30" t="str">
        <f aca="false">IF(OR($G239="",$I239="",NOT(ISNUMBER($G239))),"",IF($I239="Maund",ROUND($G239/37.32,2),$G239))</f>
        <v/>
      </c>
      <c r="K239" s="30" t="str">
        <f aca="false">IF(OR($H239="",$I239="",NOT(ISNUMBER($H239))),"",IF($I239="Maund",ROUND($H239/37.32,2),$H239))</f>
        <v/>
      </c>
      <c r="L239" s="29"/>
      <c r="M239" s="21"/>
      <c r="N239" s="30" t="str">
        <f aca="false">IF(OR($L239="",$M239="",NOT(ISNUMBER($L239))),"",IF($M239="Maund",ROUND($L239*37.32,2),$L239))</f>
        <v/>
      </c>
      <c r="O239" s="21"/>
      <c r="P239" s="22"/>
    </row>
    <row r="240" customFormat="false" ht="19.5" hidden="false" customHeight="true" outlineLevel="0" collapsed="false">
      <c r="B240" s="28" t="s">
        <v>628</v>
      </c>
      <c r="C240" s="21"/>
      <c r="D240" s="21"/>
      <c r="E240" s="21"/>
      <c r="F240" s="21"/>
      <c r="G240" s="29"/>
      <c r="H240" s="29"/>
      <c r="I240" s="21"/>
      <c r="J240" s="30" t="str">
        <f aca="false">IF(OR($G240="",$I240="",NOT(ISNUMBER($G240))),"",IF($I240="Maund",ROUND($G240/37.32,2),$G240))</f>
        <v/>
      </c>
      <c r="K240" s="30" t="str">
        <f aca="false">IF(OR($H240="",$I240="",NOT(ISNUMBER($H240))),"",IF($I240="Maund",ROUND($H240/37.32,2),$H240))</f>
        <v/>
      </c>
      <c r="L240" s="29"/>
      <c r="M240" s="21"/>
      <c r="N240" s="30" t="str">
        <f aca="false">IF(OR($L240="",$M240="",NOT(ISNUMBER($L240))),"",IF($M240="Maund",ROUND($L240*37.32,2),$L240))</f>
        <v/>
      </c>
      <c r="O240" s="21"/>
      <c r="P240" s="22"/>
    </row>
    <row r="241" customFormat="false" ht="19.5" hidden="false" customHeight="true" outlineLevel="0" collapsed="false">
      <c r="B241" s="28" t="s">
        <v>629</v>
      </c>
      <c r="C241" s="21"/>
      <c r="D241" s="21"/>
      <c r="E241" s="21"/>
      <c r="F241" s="21"/>
      <c r="G241" s="29"/>
      <c r="H241" s="29"/>
      <c r="I241" s="21"/>
      <c r="J241" s="30" t="str">
        <f aca="false">IF(OR($G241="",$I241="",NOT(ISNUMBER($G241))),"",IF($I241="Maund",ROUND($G241/37.32,2),$G241))</f>
        <v/>
      </c>
      <c r="K241" s="30" t="str">
        <f aca="false">IF(OR($H241="",$I241="",NOT(ISNUMBER($H241))),"",IF($I241="Maund",ROUND($H241/37.32,2),$H241))</f>
        <v/>
      </c>
      <c r="L241" s="29"/>
      <c r="M241" s="21"/>
      <c r="N241" s="30" t="str">
        <f aca="false">IF(OR($L241="",$M241="",NOT(ISNUMBER($L241))),"",IF($M241="Maund",ROUND($L241*37.32,2),$L241))</f>
        <v/>
      </c>
      <c r="O241" s="21"/>
      <c r="P241" s="22"/>
    </row>
    <row r="242" customFormat="false" ht="19.5" hidden="false" customHeight="true" outlineLevel="0" collapsed="false">
      <c r="B242" s="28" t="s">
        <v>630</v>
      </c>
      <c r="C242" s="21"/>
      <c r="D242" s="21"/>
      <c r="E242" s="21"/>
      <c r="F242" s="21"/>
      <c r="G242" s="29"/>
      <c r="H242" s="29"/>
      <c r="I242" s="21"/>
      <c r="J242" s="30" t="str">
        <f aca="false">IF(OR($G242="",$I242="",NOT(ISNUMBER($G242))),"",IF($I242="Maund",ROUND($G242/37.32,2),$G242))</f>
        <v/>
      </c>
      <c r="K242" s="30" t="str">
        <f aca="false">IF(OR($H242="",$I242="",NOT(ISNUMBER($H242))),"",IF($I242="Maund",ROUND($H242/37.32,2),$H242))</f>
        <v/>
      </c>
      <c r="L242" s="29"/>
      <c r="M242" s="21"/>
      <c r="N242" s="30" t="str">
        <f aca="false">IF(OR($L242="",$M242="",NOT(ISNUMBER($L242))),"",IF($M242="Maund",ROUND($L242*37.32,2),$L242))</f>
        <v/>
      </c>
      <c r="O242" s="21"/>
      <c r="P242" s="22"/>
    </row>
    <row r="243" customFormat="false" ht="19.5" hidden="false" customHeight="true" outlineLevel="0" collapsed="false">
      <c r="B243" s="28" t="s">
        <v>631</v>
      </c>
      <c r="C243" s="21"/>
      <c r="D243" s="21"/>
      <c r="E243" s="21"/>
      <c r="F243" s="21"/>
      <c r="G243" s="29"/>
      <c r="H243" s="29"/>
      <c r="I243" s="21"/>
      <c r="J243" s="30" t="str">
        <f aca="false">IF(OR($G243="",$I243="",NOT(ISNUMBER($G243))),"",IF($I243="Maund",ROUND($G243/37.32,2),$G243))</f>
        <v/>
      </c>
      <c r="K243" s="30" t="str">
        <f aca="false">IF(OR($H243="",$I243="",NOT(ISNUMBER($H243))),"",IF($I243="Maund",ROUND($H243/37.32,2),$H243))</f>
        <v/>
      </c>
      <c r="L243" s="29"/>
      <c r="M243" s="21"/>
      <c r="N243" s="30" t="str">
        <f aca="false">IF(OR($L243="",$M243="",NOT(ISNUMBER($L243))),"",IF($M243="Maund",ROUND($L243*37.32,2),$L243))</f>
        <v/>
      </c>
      <c r="O243" s="21"/>
      <c r="P243" s="22"/>
    </row>
    <row r="244" customFormat="false" ht="19.5" hidden="false" customHeight="true" outlineLevel="0" collapsed="false">
      <c r="B244" s="28" t="s">
        <v>632</v>
      </c>
      <c r="C244" s="21"/>
      <c r="D244" s="21"/>
      <c r="E244" s="21"/>
      <c r="F244" s="21"/>
      <c r="G244" s="29"/>
      <c r="H244" s="29"/>
      <c r="I244" s="21"/>
      <c r="J244" s="30" t="str">
        <f aca="false">IF(OR($G244="",$I244="",NOT(ISNUMBER($G244))),"",IF($I244="Maund",ROUND($G244/37.32,2),$G244))</f>
        <v/>
      </c>
      <c r="K244" s="30" t="str">
        <f aca="false">IF(OR($H244="",$I244="",NOT(ISNUMBER($H244))),"",IF($I244="Maund",ROUND($H244/37.32,2),$H244))</f>
        <v/>
      </c>
      <c r="L244" s="29"/>
      <c r="M244" s="21"/>
      <c r="N244" s="30" t="str">
        <f aca="false">IF(OR($L244="",$M244="",NOT(ISNUMBER($L244))),"",IF($M244="Maund",ROUND($L244*37.32,2),$L244))</f>
        <v/>
      </c>
      <c r="O244" s="21"/>
      <c r="P244" s="22"/>
    </row>
    <row r="245" customFormat="false" ht="19.5" hidden="false" customHeight="true" outlineLevel="0" collapsed="false">
      <c r="B245" s="28" t="s">
        <v>633</v>
      </c>
      <c r="C245" s="21"/>
      <c r="D245" s="21"/>
      <c r="E245" s="21"/>
      <c r="F245" s="21"/>
      <c r="G245" s="29"/>
      <c r="H245" s="29"/>
      <c r="I245" s="21"/>
      <c r="J245" s="30" t="str">
        <f aca="false">IF(OR($G245="",$I245="",NOT(ISNUMBER($G245))),"",IF($I245="Maund",ROUND($G245/37.32,2),$G245))</f>
        <v/>
      </c>
      <c r="K245" s="30" t="str">
        <f aca="false">IF(OR($H245="",$I245="",NOT(ISNUMBER($H245))),"",IF($I245="Maund",ROUND($H245/37.32,2),$H245))</f>
        <v/>
      </c>
      <c r="L245" s="29"/>
      <c r="M245" s="21"/>
      <c r="N245" s="30" t="str">
        <f aca="false">IF(OR($L245="",$M245="",NOT(ISNUMBER($L245))),"",IF($M245="Maund",ROUND($L245*37.32,2),$L245))</f>
        <v/>
      </c>
      <c r="O245" s="21"/>
      <c r="P245" s="22"/>
    </row>
    <row r="246" customFormat="false" ht="19.5" hidden="false" customHeight="true" outlineLevel="0" collapsed="false">
      <c r="B246" s="28" t="s">
        <v>634</v>
      </c>
      <c r="C246" s="21"/>
      <c r="D246" s="21"/>
      <c r="E246" s="21"/>
      <c r="F246" s="21"/>
      <c r="G246" s="29"/>
      <c r="H246" s="29"/>
      <c r="I246" s="21"/>
      <c r="J246" s="30" t="str">
        <f aca="false">IF(OR($G246="",$I246="",NOT(ISNUMBER($G246))),"",IF($I246="Maund",ROUND($G246/37.32,2),$G246))</f>
        <v/>
      </c>
      <c r="K246" s="30" t="str">
        <f aca="false">IF(OR($H246="",$I246="",NOT(ISNUMBER($H246))),"",IF($I246="Maund",ROUND($H246/37.32,2),$H246))</f>
        <v/>
      </c>
      <c r="L246" s="29"/>
      <c r="M246" s="21"/>
      <c r="N246" s="30" t="str">
        <f aca="false">IF(OR($L246="",$M246="",NOT(ISNUMBER($L246))),"",IF($M246="Maund",ROUND($L246*37.32,2),$L246))</f>
        <v/>
      </c>
      <c r="O246" s="21"/>
      <c r="P246" s="22"/>
    </row>
    <row r="247" customFormat="false" ht="19.5" hidden="false" customHeight="true" outlineLevel="0" collapsed="false">
      <c r="B247" s="28" t="s">
        <v>635</v>
      </c>
      <c r="C247" s="21"/>
      <c r="D247" s="21"/>
      <c r="E247" s="21"/>
      <c r="F247" s="21"/>
      <c r="G247" s="29"/>
      <c r="H247" s="29"/>
      <c r="I247" s="21"/>
      <c r="J247" s="30" t="str">
        <f aca="false">IF(OR($G247="",$I247="",NOT(ISNUMBER($G247))),"",IF($I247="Maund",ROUND($G247/37.32,2),$G247))</f>
        <v/>
      </c>
      <c r="K247" s="30" t="str">
        <f aca="false">IF(OR($H247="",$I247="",NOT(ISNUMBER($H247))),"",IF($I247="Maund",ROUND($H247/37.32,2),$H247))</f>
        <v/>
      </c>
      <c r="L247" s="29"/>
      <c r="M247" s="21"/>
      <c r="N247" s="30" t="str">
        <f aca="false">IF(OR($L247="",$M247="",NOT(ISNUMBER($L247))),"",IF($M247="Maund",ROUND($L247*37.32,2),$L247))</f>
        <v/>
      </c>
      <c r="O247" s="21"/>
      <c r="P247" s="22"/>
    </row>
    <row r="248" customFormat="false" ht="19.5" hidden="false" customHeight="true" outlineLevel="0" collapsed="false">
      <c r="B248" s="28" t="s">
        <v>636</v>
      </c>
      <c r="C248" s="21"/>
      <c r="D248" s="21"/>
      <c r="E248" s="21"/>
      <c r="F248" s="21"/>
      <c r="G248" s="29"/>
      <c r="H248" s="29"/>
      <c r="I248" s="21"/>
      <c r="J248" s="30" t="str">
        <f aca="false">IF(OR($G248="",$I248="",NOT(ISNUMBER($G248))),"",IF($I248="Maund",ROUND($G248/37.32,2),$G248))</f>
        <v/>
      </c>
      <c r="K248" s="30" t="str">
        <f aca="false">IF(OR($H248="",$I248="",NOT(ISNUMBER($H248))),"",IF($I248="Maund",ROUND($H248/37.32,2),$H248))</f>
        <v/>
      </c>
      <c r="L248" s="29"/>
      <c r="M248" s="21"/>
      <c r="N248" s="30" t="str">
        <f aca="false">IF(OR($L248="",$M248="",NOT(ISNUMBER($L248))),"",IF($M248="Maund",ROUND($L248*37.32,2),$L248))</f>
        <v/>
      </c>
      <c r="O248" s="21"/>
      <c r="P248" s="22"/>
    </row>
    <row r="249" customFormat="false" ht="19.5" hidden="false" customHeight="true" outlineLevel="0" collapsed="false">
      <c r="B249" s="28" t="s">
        <v>637</v>
      </c>
      <c r="C249" s="21"/>
      <c r="D249" s="21"/>
      <c r="E249" s="21"/>
      <c r="F249" s="21"/>
      <c r="G249" s="29"/>
      <c r="H249" s="29"/>
      <c r="I249" s="21"/>
      <c r="J249" s="30" t="str">
        <f aca="false">IF(OR($G249="",$I249="",NOT(ISNUMBER($G249))),"",IF($I249="Maund",ROUND($G249/37.32,2),$G249))</f>
        <v/>
      </c>
      <c r="K249" s="30" t="str">
        <f aca="false">IF(OR($H249="",$I249="",NOT(ISNUMBER($H249))),"",IF($I249="Maund",ROUND($H249/37.32,2),$H249))</f>
        <v/>
      </c>
      <c r="L249" s="29"/>
      <c r="M249" s="21"/>
      <c r="N249" s="30" t="str">
        <f aca="false">IF(OR($L249="",$M249="",NOT(ISNUMBER($L249))),"",IF($M249="Maund",ROUND($L249*37.32,2),$L249))</f>
        <v/>
      </c>
      <c r="O249" s="21"/>
      <c r="P249" s="22"/>
    </row>
    <row r="250" customFormat="false" ht="19.5" hidden="false" customHeight="true" outlineLevel="0" collapsed="false">
      <c r="B250" s="28" t="s">
        <v>638</v>
      </c>
      <c r="C250" s="21"/>
      <c r="D250" s="21"/>
      <c r="E250" s="21"/>
      <c r="F250" s="21"/>
      <c r="G250" s="29"/>
      <c r="H250" s="29"/>
      <c r="I250" s="21"/>
      <c r="J250" s="30" t="str">
        <f aca="false">IF(OR($G250="",$I250="",NOT(ISNUMBER($G250))),"",IF($I250="Maund",ROUND($G250/37.32,2),$G250))</f>
        <v/>
      </c>
      <c r="K250" s="30" t="str">
        <f aca="false">IF(OR($H250="",$I250="",NOT(ISNUMBER($H250))),"",IF($I250="Maund",ROUND($H250/37.32,2),$H250))</f>
        <v/>
      </c>
      <c r="L250" s="29"/>
      <c r="M250" s="21"/>
      <c r="N250" s="30" t="str">
        <f aca="false">IF(OR($L250="",$M250="",NOT(ISNUMBER($L250))),"",IF($M250="Maund",ROUND($L250*37.32,2),$L250))</f>
        <v/>
      </c>
      <c r="O250" s="21"/>
      <c r="P250" s="22"/>
    </row>
    <row r="251" customFormat="false" ht="19.5" hidden="false" customHeight="true" outlineLevel="0" collapsed="false">
      <c r="B251" s="28" t="s">
        <v>639</v>
      </c>
      <c r="C251" s="21"/>
      <c r="D251" s="21"/>
      <c r="E251" s="21"/>
      <c r="F251" s="21"/>
      <c r="G251" s="29"/>
      <c r="H251" s="29"/>
      <c r="I251" s="21"/>
      <c r="J251" s="30" t="str">
        <f aca="false">IF(OR($G251="",$I251="",NOT(ISNUMBER($G251))),"",IF($I251="Maund",ROUND($G251/37.32,2),$G251))</f>
        <v/>
      </c>
      <c r="K251" s="30" t="str">
        <f aca="false">IF(OR($H251="",$I251="",NOT(ISNUMBER($H251))),"",IF($I251="Maund",ROUND($H251/37.32,2),$H251))</f>
        <v/>
      </c>
      <c r="L251" s="29"/>
      <c r="M251" s="21"/>
      <c r="N251" s="30" t="str">
        <f aca="false">IF(OR($L251="",$M251="",NOT(ISNUMBER($L251))),"",IF($M251="Maund",ROUND($L251*37.32,2),$L251))</f>
        <v/>
      </c>
      <c r="O251" s="21"/>
      <c r="P251" s="22"/>
    </row>
    <row r="252" customFormat="false" ht="19.5" hidden="false" customHeight="true" outlineLevel="0" collapsed="false">
      <c r="B252" s="28" t="s">
        <v>640</v>
      </c>
      <c r="C252" s="21"/>
      <c r="D252" s="21"/>
      <c r="E252" s="21"/>
      <c r="F252" s="21"/>
      <c r="G252" s="29"/>
      <c r="H252" s="29"/>
      <c r="I252" s="21"/>
      <c r="J252" s="30" t="str">
        <f aca="false">IF(OR($G252="",$I252="",NOT(ISNUMBER($G252))),"",IF($I252="Maund",ROUND($G252/37.32,2),$G252))</f>
        <v/>
      </c>
      <c r="K252" s="30" t="str">
        <f aca="false">IF(OR($H252="",$I252="",NOT(ISNUMBER($H252))),"",IF($I252="Maund",ROUND($H252/37.32,2),$H252))</f>
        <v/>
      </c>
      <c r="L252" s="29"/>
      <c r="M252" s="21"/>
      <c r="N252" s="30" t="str">
        <f aca="false">IF(OR($L252="",$M252="",NOT(ISNUMBER($L252))),"",IF($M252="Maund",ROUND($L252*37.32,2),$L252))</f>
        <v/>
      </c>
      <c r="O252" s="21"/>
      <c r="P252" s="22"/>
    </row>
    <row r="253" customFormat="false" ht="19.5" hidden="false" customHeight="true" outlineLevel="0" collapsed="false">
      <c r="B253" s="28" t="s">
        <v>641</v>
      </c>
      <c r="C253" s="21"/>
      <c r="D253" s="21"/>
      <c r="E253" s="21"/>
      <c r="F253" s="21"/>
      <c r="G253" s="29"/>
      <c r="H253" s="29"/>
      <c r="I253" s="21"/>
      <c r="J253" s="30" t="str">
        <f aca="false">IF(OR($G253="",$I253="",NOT(ISNUMBER($G253))),"",IF($I253="Maund",ROUND($G253/37.32,2),$G253))</f>
        <v/>
      </c>
      <c r="K253" s="30" t="str">
        <f aca="false">IF(OR($H253="",$I253="",NOT(ISNUMBER($H253))),"",IF($I253="Maund",ROUND($H253/37.32,2),$H253))</f>
        <v/>
      </c>
      <c r="L253" s="29"/>
      <c r="M253" s="21"/>
      <c r="N253" s="30" t="str">
        <f aca="false">IF(OR($L253="",$M253="",NOT(ISNUMBER($L253))),"",IF($M253="Maund",ROUND($L253*37.32,2),$L253))</f>
        <v/>
      </c>
      <c r="O253" s="21"/>
      <c r="P253" s="22"/>
    </row>
    <row r="254" customFormat="false" ht="19.5" hidden="false" customHeight="true" outlineLevel="0" collapsed="false">
      <c r="B254" s="28" t="s">
        <v>642</v>
      </c>
      <c r="C254" s="21"/>
      <c r="D254" s="21"/>
      <c r="E254" s="21"/>
      <c r="F254" s="21"/>
      <c r="G254" s="29"/>
      <c r="H254" s="29"/>
      <c r="I254" s="21"/>
      <c r="J254" s="30" t="str">
        <f aca="false">IF(OR($G254="",$I254="",NOT(ISNUMBER($G254))),"",IF($I254="Maund",ROUND($G254/37.32,2),$G254))</f>
        <v/>
      </c>
      <c r="K254" s="30" t="str">
        <f aca="false">IF(OR($H254="",$I254="",NOT(ISNUMBER($H254))),"",IF($I254="Maund",ROUND($H254/37.32,2),$H254))</f>
        <v/>
      </c>
      <c r="L254" s="29"/>
      <c r="M254" s="21"/>
      <c r="N254" s="30" t="str">
        <f aca="false">IF(OR($L254="",$M254="",NOT(ISNUMBER($L254))),"",IF($M254="Maund",ROUND($L254*37.32,2),$L254))</f>
        <v/>
      </c>
      <c r="O254" s="21"/>
      <c r="P254" s="22"/>
    </row>
    <row r="255" customFormat="false" ht="19.5" hidden="false" customHeight="true" outlineLevel="0" collapsed="false">
      <c r="B255" s="28" t="s">
        <v>643</v>
      </c>
      <c r="C255" s="21"/>
      <c r="D255" s="21"/>
      <c r="E255" s="21"/>
      <c r="F255" s="21"/>
      <c r="G255" s="29"/>
      <c r="H255" s="29"/>
      <c r="I255" s="21"/>
      <c r="J255" s="30" t="str">
        <f aca="false">IF(OR($G255="",$I255="",NOT(ISNUMBER($G255))),"",IF($I255="Maund",ROUND($G255/37.32,2),$G255))</f>
        <v/>
      </c>
      <c r="K255" s="30" t="str">
        <f aca="false">IF(OR($H255="",$I255="",NOT(ISNUMBER($H255))),"",IF($I255="Maund",ROUND($H255/37.32,2),$H255))</f>
        <v/>
      </c>
      <c r="L255" s="29"/>
      <c r="M255" s="21"/>
      <c r="N255" s="30" t="str">
        <f aca="false">IF(OR($L255="",$M255="",NOT(ISNUMBER($L255))),"",IF($M255="Maund",ROUND($L255*37.32,2),$L255))</f>
        <v/>
      </c>
      <c r="O255" s="21"/>
      <c r="P255" s="22"/>
    </row>
    <row r="256" customFormat="false" ht="19.5" hidden="false" customHeight="true" outlineLevel="0" collapsed="false">
      <c r="B256" s="28" t="s">
        <v>644</v>
      </c>
      <c r="C256" s="21"/>
      <c r="D256" s="21"/>
      <c r="E256" s="21"/>
      <c r="F256" s="21"/>
      <c r="G256" s="29"/>
      <c r="H256" s="29"/>
      <c r="I256" s="21"/>
      <c r="J256" s="30" t="str">
        <f aca="false">IF(OR($G256="",$I256="",NOT(ISNUMBER($G256))),"",IF($I256="Maund",ROUND($G256/37.32,2),$G256))</f>
        <v/>
      </c>
      <c r="K256" s="30" t="str">
        <f aca="false">IF(OR($H256="",$I256="",NOT(ISNUMBER($H256))),"",IF($I256="Maund",ROUND($H256/37.32,2),$H256))</f>
        <v/>
      </c>
      <c r="L256" s="29"/>
      <c r="M256" s="21"/>
      <c r="N256" s="30" t="str">
        <f aca="false">IF(OR($L256="",$M256="",NOT(ISNUMBER($L256))),"",IF($M256="Maund",ROUND($L256*37.32,2),$L256))</f>
        <v/>
      </c>
      <c r="O256" s="21"/>
      <c r="P256" s="22"/>
    </row>
    <row r="257" customFormat="false" ht="19.5" hidden="false" customHeight="true" outlineLevel="0" collapsed="false">
      <c r="B257" s="28" t="s">
        <v>645</v>
      </c>
      <c r="C257" s="21"/>
      <c r="D257" s="21"/>
      <c r="E257" s="21"/>
      <c r="F257" s="21"/>
      <c r="G257" s="29"/>
      <c r="H257" s="29"/>
      <c r="I257" s="21"/>
      <c r="J257" s="30" t="str">
        <f aca="false">IF(OR($G257="",$I257="",NOT(ISNUMBER($G257))),"",IF($I257="Maund",ROUND($G257/37.32,2),$G257))</f>
        <v/>
      </c>
      <c r="K257" s="30" t="str">
        <f aca="false">IF(OR($H257="",$I257="",NOT(ISNUMBER($H257))),"",IF($I257="Maund",ROUND($H257/37.32,2),$H257))</f>
        <v/>
      </c>
      <c r="L257" s="29"/>
      <c r="M257" s="21"/>
      <c r="N257" s="30" t="str">
        <f aca="false">IF(OR($L257="",$M257="",NOT(ISNUMBER($L257))),"",IF($M257="Maund",ROUND($L257*37.32,2),$L257))</f>
        <v/>
      </c>
      <c r="O257" s="21"/>
      <c r="P257" s="22"/>
    </row>
    <row r="258" customFormat="false" ht="19.5" hidden="false" customHeight="true" outlineLevel="0" collapsed="false">
      <c r="B258" s="28" t="s">
        <v>646</v>
      </c>
      <c r="C258" s="21"/>
      <c r="D258" s="21"/>
      <c r="E258" s="21"/>
      <c r="F258" s="21"/>
      <c r="G258" s="29"/>
      <c r="H258" s="29"/>
      <c r="I258" s="21"/>
      <c r="J258" s="30" t="str">
        <f aca="false">IF(OR($G258="",$I258="",NOT(ISNUMBER($G258))),"",IF($I258="Maund",ROUND($G258/37.32,2),$G258))</f>
        <v/>
      </c>
      <c r="K258" s="30" t="str">
        <f aca="false">IF(OR($H258="",$I258="",NOT(ISNUMBER($H258))),"",IF($I258="Maund",ROUND($H258/37.32,2),$H258))</f>
        <v/>
      </c>
      <c r="L258" s="29"/>
      <c r="M258" s="21"/>
      <c r="N258" s="30" t="str">
        <f aca="false">IF(OR($L258="",$M258="",NOT(ISNUMBER($L258))),"",IF($M258="Maund",ROUND($L258*37.32,2),$L258))</f>
        <v/>
      </c>
      <c r="O258" s="21"/>
      <c r="P258" s="22"/>
    </row>
    <row r="259" customFormat="false" ht="19.5" hidden="false" customHeight="true" outlineLevel="0" collapsed="false">
      <c r="B259" s="28" t="s">
        <v>647</v>
      </c>
      <c r="C259" s="21"/>
      <c r="D259" s="21"/>
      <c r="E259" s="21"/>
      <c r="F259" s="21"/>
      <c r="G259" s="29"/>
      <c r="H259" s="29"/>
      <c r="I259" s="21"/>
      <c r="J259" s="30" t="str">
        <f aca="false">IF(OR($G259="",$I259="",NOT(ISNUMBER($G259))),"",IF($I259="Maund",ROUND($G259/37.32,2),$G259))</f>
        <v/>
      </c>
      <c r="K259" s="30" t="str">
        <f aca="false">IF(OR($H259="",$I259="",NOT(ISNUMBER($H259))),"",IF($I259="Maund",ROUND($H259/37.32,2),$H259))</f>
        <v/>
      </c>
      <c r="L259" s="29"/>
      <c r="M259" s="21"/>
      <c r="N259" s="30" t="str">
        <f aca="false">IF(OR($L259="",$M259="",NOT(ISNUMBER($L259))),"",IF($M259="Maund",ROUND($L259*37.32,2),$L259))</f>
        <v/>
      </c>
      <c r="O259" s="21"/>
      <c r="P259" s="22"/>
    </row>
    <row r="260" customFormat="false" ht="19.5" hidden="false" customHeight="true" outlineLevel="0" collapsed="false">
      <c r="B260" s="28" t="s">
        <v>648</v>
      </c>
      <c r="C260" s="21"/>
      <c r="D260" s="21"/>
      <c r="E260" s="21"/>
      <c r="F260" s="21"/>
      <c r="G260" s="29"/>
      <c r="H260" s="29"/>
      <c r="I260" s="21"/>
      <c r="J260" s="30" t="str">
        <f aca="false">IF(OR($G260="",$I260="",NOT(ISNUMBER($G260))),"",IF($I260="Maund",ROUND($G260/37.32,2),$G260))</f>
        <v/>
      </c>
      <c r="K260" s="30" t="str">
        <f aca="false">IF(OR($H260="",$I260="",NOT(ISNUMBER($H260))),"",IF($I260="Maund",ROUND($H260/37.32,2),$H260))</f>
        <v/>
      </c>
      <c r="L260" s="29"/>
      <c r="M260" s="21"/>
      <c r="N260" s="30" t="str">
        <f aca="false">IF(OR($L260="",$M260="",NOT(ISNUMBER($L260))),"",IF($M260="Maund",ROUND($L260*37.32,2),$L260))</f>
        <v/>
      </c>
      <c r="O260" s="21"/>
      <c r="P260" s="22"/>
    </row>
    <row r="261" customFormat="false" ht="19.5" hidden="false" customHeight="true" outlineLevel="0" collapsed="false">
      <c r="B261" s="28" t="s">
        <v>649</v>
      </c>
      <c r="C261" s="21"/>
      <c r="D261" s="21"/>
      <c r="E261" s="21"/>
      <c r="F261" s="21"/>
      <c r="G261" s="29"/>
      <c r="H261" s="29"/>
      <c r="I261" s="21"/>
      <c r="J261" s="30" t="str">
        <f aca="false">IF(OR($G261="",$I261="",NOT(ISNUMBER($G261))),"",IF($I261="Maund",ROUND($G261/37.32,2),$G261))</f>
        <v/>
      </c>
      <c r="K261" s="30" t="str">
        <f aca="false">IF(OR($H261="",$I261="",NOT(ISNUMBER($H261))),"",IF($I261="Maund",ROUND($H261/37.32,2),$H261))</f>
        <v/>
      </c>
      <c r="L261" s="29"/>
      <c r="M261" s="21"/>
      <c r="N261" s="30" t="str">
        <f aca="false">IF(OR($L261="",$M261="",NOT(ISNUMBER($L261))),"",IF($M261="Maund",ROUND($L261*37.32,2),$L261))</f>
        <v/>
      </c>
      <c r="O261" s="21"/>
      <c r="P261" s="22"/>
    </row>
    <row r="262" customFormat="false" ht="19.5" hidden="false" customHeight="true" outlineLevel="0" collapsed="false">
      <c r="B262" s="28" t="s">
        <v>650</v>
      </c>
      <c r="C262" s="21"/>
      <c r="D262" s="21"/>
      <c r="E262" s="21"/>
      <c r="F262" s="21"/>
      <c r="G262" s="29"/>
      <c r="H262" s="29"/>
      <c r="I262" s="21"/>
      <c r="J262" s="30" t="str">
        <f aca="false">IF(OR($G262="",$I262="",NOT(ISNUMBER($G262))),"",IF($I262="Maund",ROUND($G262/37.32,2),$G262))</f>
        <v/>
      </c>
      <c r="K262" s="30" t="str">
        <f aca="false">IF(OR($H262="",$I262="",NOT(ISNUMBER($H262))),"",IF($I262="Maund",ROUND($H262/37.32,2),$H262))</f>
        <v/>
      </c>
      <c r="L262" s="29"/>
      <c r="M262" s="21"/>
      <c r="N262" s="30" t="str">
        <f aca="false">IF(OR($L262="",$M262="",NOT(ISNUMBER($L262))),"",IF($M262="Maund",ROUND($L262*37.32,2),$L262))</f>
        <v/>
      </c>
      <c r="O262" s="21"/>
      <c r="P262" s="22"/>
    </row>
    <row r="263" customFormat="false" ht="19.5" hidden="false" customHeight="true" outlineLevel="0" collapsed="false">
      <c r="B263" s="28" t="s">
        <v>651</v>
      </c>
      <c r="C263" s="21"/>
      <c r="D263" s="21"/>
      <c r="E263" s="21"/>
      <c r="F263" s="21"/>
      <c r="G263" s="29"/>
      <c r="H263" s="29"/>
      <c r="I263" s="21"/>
      <c r="J263" s="30" t="str">
        <f aca="false">IF(OR($G263="",$I263="",NOT(ISNUMBER($G263))),"",IF($I263="Maund",ROUND($G263/37.32,2),$G263))</f>
        <v/>
      </c>
      <c r="K263" s="30" t="str">
        <f aca="false">IF(OR($H263="",$I263="",NOT(ISNUMBER($H263))),"",IF($I263="Maund",ROUND($H263/37.32,2),$H263))</f>
        <v/>
      </c>
      <c r="L263" s="29"/>
      <c r="M263" s="21"/>
      <c r="N263" s="30" t="str">
        <f aca="false">IF(OR($L263="",$M263="",NOT(ISNUMBER($L263))),"",IF($M263="Maund",ROUND($L263*37.32,2),$L263))</f>
        <v/>
      </c>
      <c r="O263" s="21"/>
      <c r="P263" s="22"/>
    </row>
    <row r="264" customFormat="false" ht="19.5" hidden="false" customHeight="true" outlineLevel="0" collapsed="false">
      <c r="B264" s="28" t="s">
        <v>652</v>
      </c>
      <c r="C264" s="21"/>
      <c r="D264" s="21"/>
      <c r="E264" s="21"/>
      <c r="F264" s="21"/>
      <c r="G264" s="29"/>
      <c r="H264" s="29"/>
      <c r="I264" s="21"/>
      <c r="J264" s="30" t="str">
        <f aca="false">IF(OR($G264="",$I264="",NOT(ISNUMBER($G264))),"",IF($I264="Maund",ROUND($G264/37.32,2),$G264))</f>
        <v/>
      </c>
      <c r="K264" s="30" t="str">
        <f aca="false">IF(OR($H264="",$I264="",NOT(ISNUMBER($H264))),"",IF($I264="Maund",ROUND($H264/37.32,2),$H264))</f>
        <v/>
      </c>
      <c r="L264" s="29"/>
      <c r="M264" s="21"/>
      <c r="N264" s="30" t="str">
        <f aca="false">IF(OR($L264="",$M264="",NOT(ISNUMBER($L264))),"",IF($M264="Maund",ROUND($L264*37.32,2),$L264))</f>
        <v/>
      </c>
      <c r="O264" s="21"/>
      <c r="P264" s="22"/>
    </row>
    <row r="265" customFormat="false" ht="19.5" hidden="false" customHeight="true" outlineLevel="0" collapsed="false">
      <c r="B265" s="28" t="s">
        <v>653</v>
      </c>
      <c r="C265" s="21"/>
      <c r="D265" s="21"/>
      <c r="E265" s="21"/>
      <c r="F265" s="21"/>
      <c r="G265" s="29"/>
      <c r="H265" s="29"/>
      <c r="I265" s="21"/>
      <c r="J265" s="30" t="str">
        <f aca="false">IF(OR($G265="",$I265="",NOT(ISNUMBER($G265))),"",IF($I265="Maund",ROUND($G265/37.32,2),$G265))</f>
        <v/>
      </c>
      <c r="K265" s="30" t="str">
        <f aca="false">IF(OR($H265="",$I265="",NOT(ISNUMBER($H265))),"",IF($I265="Maund",ROUND($H265/37.32,2),$H265))</f>
        <v/>
      </c>
      <c r="L265" s="29"/>
      <c r="M265" s="21"/>
      <c r="N265" s="30" t="str">
        <f aca="false">IF(OR($L265="",$M265="",NOT(ISNUMBER($L265))),"",IF($M265="Maund",ROUND($L265*37.32,2),$L265))</f>
        <v/>
      </c>
      <c r="O265" s="21"/>
      <c r="P265" s="22"/>
    </row>
    <row r="266" customFormat="false" ht="19.5" hidden="false" customHeight="true" outlineLevel="0" collapsed="false">
      <c r="B266" s="28" t="s">
        <v>654</v>
      </c>
      <c r="C266" s="21"/>
      <c r="D266" s="21"/>
      <c r="E266" s="21"/>
      <c r="F266" s="21"/>
      <c r="G266" s="29"/>
      <c r="H266" s="29"/>
      <c r="I266" s="21"/>
      <c r="J266" s="30" t="str">
        <f aca="false">IF(OR($G266="",$I266="",NOT(ISNUMBER($G266))),"",IF($I266="Maund",ROUND($G266/37.32,2),$G266))</f>
        <v/>
      </c>
      <c r="K266" s="30" t="str">
        <f aca="false">IF(OR($H266="",$I266="",NOT(ISNUMBER($H266))),"",IF($I266="Maund",ROUND($H266/37.32,2),$H266))</f>
        <v/>
      </c>
      <c r="L266" s="29"/>
      <c r="M266" s="21"/>
      <c r="N266" s="30" t="str">
        <f aca="false">IF(OR($L266="",$M266="",NOT(ISNUMBER($L266))),"",IF($M266="Maund",ROUND($L266*37.32,2),$L266))</f>
        <v/>
      </c>
      <c r="O266" s="21"/>
      <c r="P266" s="22"/>
    </row>
    <row r="267" customFormat="false" ht="19.5" hidden="false" customHeight="true" outlineLevel="0" collapsed="false">
      <c r="B267" s="28" t="s">
        <v>655</v>
      </c>
      <c r="C267" s="21"/>
      <c r="D267" s="21"/>
      <c r="E267" s="21"/>
      <c r="F267" s="21"/>
      <c r="G267" s="29"/>
      <c r="H267" s="29"/>
      <c r="I267" s="21"/>
      <c r="J267" s="30" t="str">
        <f aca="false">IF(OR($G267="",$I267="",NOT(ISNUMBER($G267))),"",IF($I267="Maund",ROUND($G267/37.32,2),$G267))</f>
        <v/>
      </c>
      <c r="K267" s="30" t="str">
        <f aca="false">IF(OR($H267="",$I267="",NOT(ISNUMBER($H267))),"",IF($I267="Maund",ROUND($H267/37.32,2),$H267))</f>
        <v/>
      </c>
      <c r="L267" s="29"/>
      <c r="M267" s="21"/>
      <c r="N267" s="30" t="str">
        <f aca="false">IF(OR($L267="",$M267="",NOT(ISNUMBER($L267))),"",IF($M267="Maund",ROUND($L267*37.32,2),$L267))</f>
        <v/>
      </c>
      <c r="O267" s="21"/>
      <c r="P267" s="22"/>
    </row>
    <row r="268" customFormat="false" ht="19.5" hidden="false" customHeight="true" outlineLevel="0" collapsed="false">
      <c r="B268" s="28" t="s">
        <v>656</v>
      </c>
      <c r="C268" s="21"/>
      <c r="D268" s="21"/>
      <c r="E268" s="21"/>
      <c r="F268" s="21"/>
      <c r="G268" s="29"/>
      <c r="H268" s="29"/>
      <c r="I268" s="21"/>
      <c r="J268" s="30" t="str">
        <f aca="false">IF(OR($G268="",$I268="",NOT(ISNUMBER($G268))),"",IF($I268="Maund",ROUND($G268/37.32,2),$G268))</f>
        <v/>
      </c>
      <c r="K268" s="30" t="str">
        <f aca="false">IF(OR($H268="",$I268="",NOT(ISNUMBER($H268))),"",IF($I268="Maund",ROUND($H268/37.32,2),$H268))</f>
        <v/>
      </c>
      <c r="L268" s="29"/>
      <c r="M268" s="21"/>
      <c r="N268" s="30" t="str">
        <f aca="false">IF(OR($L268="",$M268="",NOT(ISNUMBER($L268))),"",IF($M268="Maund",ROUND($L268*37.32,2),$L268))</f>
        <v/>
      </c>
      <c r="O268" s="21"/>
      <c r="P268" s="22"/>
    </row>
    <row r="269" customFormat="false" ht="19.5" hidden="false" customHeight="true" outlineLevel="0" collapsed="false">
      <c r="B269" s="28" t="s">
        <v>657</v>
      </c>
      <c r="C269" s="21"/>
      <c r="D269" s="21"/>
      <c r="E269" s="21"/>
      <c r="F269" s="21"/>
      <c r="G269" s="29"/>
      <c r="H269" s="29"/>
      <c r="I269" s="21"/>
      <c r="J269" s="30" t="str">
        <f aca="false">IF(OR($G269="",$I269="",NOT(ISNUMBER($G269))),"",IF($I269="Maund",ROUND($G269/37.32,2),$G269))</f>
        <v/>
      </c>
      <c r="K269" s="30" t="str">
        <f aca="false">IF(OR($H269="",$I269="",NOT(ISNUMBER($H269))),"",IF($I269="Maund",ROUND($H269/37.32,2),$H269))</f>
        <v/>
      </c>
      <c r="L269" s="29"/>
      <c r="M269" s="21"/>
      <c r="N269" s="30" t="str">
        <f aca="false">IF(OR($L269="",$M269="",NOT(ISNUMBER($L269))),"",IF($M269="Maund",ROUND($L269*37.32,2),$L269))</f>
        <v/>
      </c>
      <c r="O269" s="21"/>
      <c r="P269" s="22"/>
    </row>
    <row r="270" customFormat="false" ht="19.5" hidden="false" customHeight="true" outlineLevel="0" collapsed="false">
      <c r="B270" s="28" t="s">
        <v>658</v>
      </c>
      <c r="C270" s="21"/>
      <c r="D270" s="21"/>
      <c r="E270" s="21"/>
      <c r="F270" s="21"/>
      <c r="G270" s="29"/>
      <c r="H270" s="29"/>
      <c r="I270" s="21"/>
      <c r="J270" s="30" t="str">
        <f aca="false">IF(OR($G270="",$I270="",NOT(ISNUMBER($G270))),"",IF($I270="Maund",ROUND($G270/37.32,2),$G270))</f>
        <v/>
      </c>
      <c r="K270" s="30" t="str">
        <f aca="false">IF(OR($H270="",$I270="",NOT(ISNUMBER($H270))),"",IF($I270="Maund",ROUND($H270/37.32,2),$H270))</f>
        <v/>
      </c>
      <c r="L270" s="29"/>
      <c r="M270" s="21"/>
      <c r="N270" s="30" t="str">
        <f aca="false">IF(OR($L270="",$M270="",NOT(ISNUMBER($L270))),"",IF($M270="Maund",ROUND($L270*37.32,2),$L270))</f>
        <v/>
      </c>
      <c r="O270" s="21"/>
      <c r="P270" s="22"/>
    </row>
    <row r="271" customFormat="false" ht="19.5" hidden="false" customHeight="true" outlineLevel="0" collapsed="false">
      <c r="B271" s="28" t="s">
        <v>659</v>
      </c>
      <c r="C271" s="21"/>
      <c r="D271" s="21"/>
      <c r="E271" s="21"/>
      <c r="F271" s="21"/>
      <c r="G271" s="29"/>
      <c r="H271" s="29"/>
      <c r="I271" s="21"/>
      <c r="J271" s="30" t="str">
        <f aca="false">IF(OR($G271="",$I271="",NOT(ISNUMBER($G271))),"",IF($I271="Maund",ROUND($G271/37.32,2),$G271))</f>
        <v/>
      </c>
      <c r="K271" s="30" t="str">
        <f aca="false">IF(OR($H271="",$I271="",NOT(ISNUMBER($H271))),"",IF($I271="Maund",ROUND($H271/37.32,2),$H271))</f>
        <v/>
      </c>
      <c r="L271" s="29"/>
      <c r="M271" s="21"/>
      <c r="N271" s="30" t="str">
        <f aca="false">IF(OR($L271="",$M271="",NOT(ISNUMBER($L271))),"",IF($M271="Maund",ROUND($L271*37.32,2),$L271))</f>
        <v/>
      </c>
      <c r="O271" s="21"/>
      <c r="P271" s="22"/>
    </row>
    <row r="272" customFormat="false" ht="19.5" hidden="false" customHeight="true" outlineLevel="0" collapsed="false">
      <c r="B272" s="28" t="s">
        <v>660</v>
      </c>
      <c r="C272" s="21"/>
      <c r="D272" s="21"/>
      <c r="E272" s="21"/>
      <c r="F272" s="21"/>
      <c r="G272" s="29"/>
      <c r="H272" s="29"/>
      <c r="I272" s="21"/>
      <c r="J272" s="30" t="str">
        <f aca="false">IF(OR($G272="",$I272="",NOT(ISNUMBER($G272))),"",IF($I272="Maund",ROUND($G272/37.32,2),$G272))</f>
        <v/>
      </c>
      <c r="K272" s="30" t="str">
        <f aca="false">IF(OR($H272="",$I272="",NOT(ISNUMBER($H272))),"",IF($I272="Maund",ROUND($H272/37.32,2),$H272))</f>
        <v/>
      </c>
      <c r="L272" s="29"/>
      <c r="M272" s="21"/>
      <c r="N272" s="30" t="str">
        <f aca="false">IF(OR($L272="",$M272="",NOT(ISNUMBER($L272))),"",IF($M272="Maund",ROUND($L272*37.32,2),$L272))</f>
        <v/>
      </c>
      <c r="O272" s="21"/>
      <c r="P272" s="22"/>
    </row>
    <row r="273" customFormat="false" ht="19.5" hidden="false" customHeight="true" outlineLevel="0" collapsed="false">
      <c r="B273" s="28" t="s">
        <v>661</v>
      </c>
      <c r="C273" s="21"/>
      <c r="D273" s="21"/>
      <c r="E273" s="21"/>
      <c r="F273" s="21"/>
      <c r="G273" s="29"/>
      <c r="H273" s="29"/>
      <c r="I273" s="21"/>
      <c r="J273" s="30" t="str">
        <f aca="false">IF(OR($G273="",$I273="",NOT(ISNUMBER($G273))),"",IF($I273="Maund",ROUND($G273/37.32,2),$G273))</f>
        <v/>
      </c>
      <c r="K273" s="30" t="str">
        <f aca="false">IF(OR($H273="",$I273="",NOT(ISNUMBER($H273))),"",IF($I273="Maund",ROUND($H273/37.32,2),$H273))</f>
        <v/>
      </c>
      <c r="L273" s="29"/>
      <c r="M273" s="21"/>
      <c r="N273" s="30" t="str">
        <f aca="false">IF(OR($L273="",$M273="",NOT(ISNUMBER($L273))),"",IF($M273="Maund",ROUND($L273*37.32,2),$L273))</f>
        <v/>
      </c>
      <c r="O273" s="21"/>
      <c r="P273" s="22"/>
    </row>
    <row r="274" customFormat="false" ht="19.5" hidden="false" customHeight="true" outlineLevel="0" collapsed="false">
      <c r="B274" s="28" t="s">
        <v>662</v>
      </c>
      <c r="C274" s="21"/>
      <c r="D274" s="21"/>
      <c r="E274" s="21"/>
      <c r="F274" s="21"/>
      <c r="G274" s="29"/>
      <c r="H274" s="29"/>
      <c r="I274" s="21"/>
      <c r="J274" s="30" t="str">
        <f aca="false">IF(OR($G274="",$I274="",NOT(ISNUMBER($G274))),"",IF($I274="Maund",ROUND($G274/37.32,2),$G274))</f>
        <v/>
      </c>
      <c r="K274" s="30" t="str">
        <f aca="false">IF(OR($H274="",$I274="",NOT(ISNUMBER($H274))),"",IF($I274="Maund",ROUND($H274/37.32,2),$H274))</f>
        <v/>
      </c>
      <c r="L274" s="29"/>
      <c r="M274" s="21"/>
      <c r="N274" s="30" t="str">
        <f aca="false">IF(OR($L274="",$M274="",NOT(ISNUMBER($L274))),"",IF($M274="Maund",ROUND($L274*37.32,2),$L274))</f>
        <v/>
      </c>
      <c r="O274" s="21"/>
      <c r="P274" s="22"/>
    </row>
    <row r="275" customFormat="false" ht="19.5" hidden="false" customHeight="true" outlineLevel="0" collapsed="false">
      <c r="B275" s="28" t="s">
        <v>663</v>
      </c>
      <c r="C275" s="21"/>
      <c r="D275" s="21"/>
      <c r="E275" s="21"/>
      <c r="F275" s="21"/>
      <c r="G275" s="29"/>
      <c r="H275" s="29"/>
      <c r="I275" s="21"/>
      <c r="J275" s="30" t="str">
        <f aca="false">IF(OR($G275="",$I275="",NOT(ISNUMBER($G275))),"",IF($I275="Maund",ROUND($G275/37.32,2),$G275))</f>
        <v/>
      </c>
      <c r="K275" s="30" t="str">
        <f aca="false">IF(OR($H275="",$I275="",NOT(ISNUMBER($H275))),"",IF($I275="Maund",ROUND($H275/37.32,2),$H275))</f>
        <v/>
      </c>
      <c r="L275" s="29"/>
      <c r="M275" s="21"/>
      <c r="N275" s="30" t="str">
        <f aca="false">IF(OR($L275="",$M275="",NOT(ISNUMBER($L275))),"",IF($M275="Maund",ROUND($L275*37.32,2),$L275))</f>
        <v/>
      </c>
      <c r="O275" s="21"/>
      <c r="P275" s="22"/>
    </row>
    <row r="276" customFormat="false" ht="19.5" hidden="false" customHeight="true" outlineLevel="0" collapsed="false">
      <c r="B276" s="28" t="s">
        <v>664</v>
      </c>
      <c r="C276" s="21"/>
      <c r="D276" s="21"/>
      <c r="E276" s="21"/>
      <c r="F276" s="21"/>
      <c r="G276" s="29"/>
      <c r="H276" s="29"/>
      <c r="I276" s="21"/>
      <c r="J276" s="30" t="str">
        <f aca="false">IF(OR($G276="",$I276="",NOT(ISNUMBER($G276))),"",IF($I276="Maund",ROUND($G276/37.32,2),$G276))</f>
        <v/>
      </c>
      <c r="K276" s="30" t="str">
        <f aca="false">IF(OR($H276="",$I276="",NOT(ISNUMBER($H276))),"",IF($I276="Maund",ROUND($H276/37.32,2),$H276))</f>
        <v/>
      </c>
      <c r="L276" s="29"/>
      <c r="M276" s="21"/>
      <c r="N276" s="30" t="str">
        <f aca="false">IF(OR($L276="",$M276="",NOT(ISNUMBER($L276))),"",IF($M276="Maund",ROUND($L276*37.32,2),$L276))</f>
        <v/>
      </c>
      <c r="O276" s="21"/>
      <c r="P276" s="22"/>
    </row>
    <row r="277" customFormat="false" ht="19.5" hidden="false" customHeight="true" outlineLevel="0" collapsed="false">
      <c r="B277" s="28" t="s">
        <v>665</v>
      </c>
      <c r="C277" s="21"/>
      <c r="D277" s="21"/>
      <c r="E277" s="21"/>
      <c r="F277" s="21"/>
      <c r="G277" s="29"/>
      <c r="H277" s="29"/>
      <c r="I277" s="21"/>
      <c r="J277" s="30" t="str">
        <f aca="false">IF(OR($G277="",$I277="",NOT(ISNUMBER($G277))),"",IF($I277="Maund",ROUND($G277/37.32,2),$G277))</f>
        <v/>
      </c>
      <c r="K277" s="30" t="str">
        <f aca="false">IF(OR($H277="",$I277="",NOT(ISNUMBER($H277))),"",IF($I277="Maund",ROUND($H277/37.32,2),$H277))</f>
        <v/>
      </c>
      <c r="L277" s="29"/>
      <c r="M277" s="21"/>
      <c r="N277" s="30" t="str">
        <f aca="false">IF(OR($L277="",$M277="",NOT(ISNUMBER($L277))),"",IF($M277="Maund",ROUND($L277*37.32,2),$L277))</f>
        <v/>
      </c>
      <c r="O277" s="21"/>
      <c r="P277" s="22"/>
    </row>
    <row r="278" customFormat="false" ht="19.5" hidden="false" customHeight="true" outlineLevel="0" collapsed="false">
      <c r="B278" s="28" t="s">
        <v>666</v>
      </c>
      <c r="C278" s="21"/>
      <c r="D278" s="21"/>
      <c r="E278" s="21"/>
      <c r="F278" s="21"/>
      <c r="G278" s="29"/>
      <c r="H278" s="29"/>
      <c r="I278" s="21"/>
      <c r="J278" s="30" t="str">
        <f aca="false">IF(OR($G278="",$I278="",NOT(ISNUMBER($G278))),"",IF($I278="Maund",ROUND($G278/37.32,2),$G278))</f>
        <v/>
      </c>
      <c r="K278" s="30" t="str">
        <f aca="false">IF(OR($H278="",$I278="",NOT(ISNUMBER($H278))),"",IF($I278="Maund",ROUND($H278/37.32,2),$H278))</f>
        <v/>
      </c>
      <c r="L278" s="29"/>
      <c r="M278" s="21"/>
      <c r="N278" s="30" t="str">
        <f aca="false">IF(OR($L278="",$M278="",NOT(ISNUMBER($L278))),"",IF($M278="Maund",ROUND($L278*37.32,2),$L278))</f>
        <v/>
      </c>
      <c r="O278" s="21"/>
      <c r="P278" s="22"/>
    </row>
    <row r="279" customFormat="false" ht="19.5" hidden="false" customHeight="true" outlineLevel="0" collapsed="false">
      <c r="B279" s="28" t="s">
        <v>667</v>
      </c>
      <c r="C279" s="21"/>
      <c r="D279" s="21"/>
      <c r="E279" s="21"/>
      <c r="F279" s="21"/>
      <c r="G279" s="29"/>
      <c r="H279" s="29"/>
      <c r="I279" s="21"/>
      <c r="J279" s="30" t="str">
        <f aca="false">IF(OR($G279="",$I279="",NOT(ISNUMBER($G279))),"",IF($I279="Maund",ROUND($G279/37.32,2),$G279))</f>
        <v/>
      </c>
      <c r="K279" s="30" t="str">
        <f aca="false">IF(OR($H279="",$I279="",NOT(ISNUMBER($H279))),"",IF($I279="Maund",ROUND($H279/37.32,2),$H279))</f>
        <v/>
      </c>
      <c r="L279" s="29"/>
      <c r="M279" s="21"/>
      <c r="N279" s="30" t="str">
        <f aca="false">IF(OR($L279="",$M279="",NOT(ISNUMBER($L279))),"",IF($M279="Maund",ROUND($L279*37.32,2),$L279))</f>
        <v/>
      </c>
      <c r="O279" s="21"/>
      <c r="P279" s="22"/>
    </row>
    <row r="280" customFormat="false" ht="19.5" hidden="false" customHeight="true" outlineLevel="0" collapsed="false">
      <c r="B280" s="28" t="s">
        <v>668</v>
      </c>
      <c r="C280" s="21"/>
      <c r="D280" s="21"/>
      <c r="E280" s="21"/>
      <c r="F280" s="21"/>
      <c r="G280" s="29"/>
      <c r="H280" s="29"/>
      <c r="I280" s="21"/>
      <c r="J280" s="30" t="str">
        <f aca="false">IF(OR($G280="",$I280="",NOT(ISNUMBER($G280))),"",IF($I280="Maund",ROUND($G280/37.32,2),$G280))</f>
        <v/>
      </c>
      <c r="K280" s="30" t="str">
        <f aca="false">IF(OR($H280="",$I280="",NOT(ISNUMBER($H280))),"",IF($I280="Maund",ROUND($H280/37.32,2),$H280))</f>
        <v/>
      </c>
      <c r="L280" s="29"/>
      <c r="M280" s="21"/>
      <c r="N280" s="30" t="str">
        <f aca="false">IF(OR($L280="",$M280="",NOT(ISNUMBER($L280))),"",IF($M280="Maund",ROUND($L280*37.32,2),$L280))</f>
        <v/>
      </c>
      <c r="O280" s="21"/>
      <c r="P280" s="22"/>
    </row>
    <row r="281" customFormat="false" ht="19.5" hidden="false" customHeight="true" outlineLevel="0" collapsed="false">
      <c r="B281" s="28" t="s">
        <v>669</v>
      </c>
      <c r="C281" s="21"/>
      <c r="D281" s="21"/>
      <c r="E281" s="21"/>
      <c r="F281" s="21"/>
      <c r="G281" s="29"/>
      <c r="H281" s="29"/>
      <c r="I281" s="21"/>
      <c r="J281" s="30" t="str">
        <f aca="false">IF(OR($G281="",$I281="",NOT(ISNUMBER($G281))),"",IF($I281="Maund",ROUND($G281/37.32,2),$G281))</f>
        <v/>
      </c>
      <c r="K281" s="30" t="str">
        <f aca="false">IF(OR($H281="",$I281="",NOT(ISNUMBER($H281))),"",IF($I281="Maund",ROUND($H281/37.32,2),$H281))</f>
        <v/>
      </c>
      <c r="L281" s="29"/>
      <c r="M281" s="21"/>
      <c r="N281" s="30" t="str">
        <f aca="false">IF(OR($L281="",$M281="",NOT(ISNUMBER($L281))),"",IF($M281="Maund",ROUND($L281*37.32,2),$L281))</f>
        <v/>
      </c>
      <c r="O281" s="21"/>
      <c r="P281" s="22"/>
    </row>
    <row r="282" customFormat="false" ht="19.5" hidden="false" customHeight="true" outlineLevel="0" collapsed="false">
      <c r="B282" s="28" t="s">
        <v>670</v>
      </c>
      <c r="C282" s="21"/>
      <c r="D282" s="21"/>
      <c r="E282" s="21"/>
      <c r="F282" s="21"/>
      <c r="G282" s="29"/>
      <c r="H282" s="29"/>
      <c r="I282" s="21"/>
      <c r="J282" s="30" t="str">
        <f aca="false">IF(OR($G282="",$I282="",NOT(ISNUMBER($G282))),"",IF($I282="Maund",ROUND($G282/37.32,2),$G282))</f>
        <v/>
      </c>
      <c r="K282" s="30" t="str">
        <f aca="false">IF(OR($H282="",$I282="",NOT(ISNUMBER($H282))),"",IF($I282="Maund",ROUND($H282/37.32,2),$H282))</f>
        <v/>
      </c>
      <c r="L282" s="29"/>
      <c r="M282" s="21"/>
      <c r="N282" s="30" t="str">
        <f aca="false">IF(OR($L282="",$M282="",NOT(ISNUMBER($L282))),"",IF($M282="Maund",ROUND($L282*37.32,2),$L282))</f>
        <v/>
      </c>
      <c r="O282" s="21"/>
      <c r="P282" s="22"/>
    </row>
    <row r="283" customFormat="false" ht="19.5" hidden="false" customHeight="true" outlineLevel="0" collapsed="false">
      <c r="B283" s="28" t="s">
        <v>671</v>
      </c>
      <c r="C283" s="21"/>
      <c r="D283" s="21"/>
      <c r="E283" s="21"/>
      <c r="F283" s="21"/>
      <c r="G283" s="29"/>
      <c r="H283" s="29"/>
      <c r="I283" s="21"/>
      <c r="J283" s="30" t="str">
        <f aca="false">IF(OR($G283="",$I283="",NOT(ISNUMBER($G283))),"",IF($I283="Maund",ROUND($G283/37.32,2),$G283))</f>
        <v/>
      </c>
      <c r="K283" s="30" t="str">
        <f aca="false">IF(OR($H283="",$I283="",NOT(ISNUMBER($H283))),"",IF($I283="Maund",ROUND($H283/37.32,2),$H283))</f>
        <v/>
      </c>
      <c r="L283" s="29"/>
      <c r="M283" s="21"/>
      <c r="N283" s="30" t="str">
        <f aca="false">IF(OR($L283="",$M283="",NOT(ISNUMBER($L283))),"",IF($M283="Maund",ROUND($L283*37.32,2),$L283))</f>
        <v/>
      </c>
      <c r="O283" s="21"/>
      <c r="P283" s="22"/>
    </row>
    <row r="284" customFormat="false" ht="19.5" hidden="false" customHeight="true" outlineLevel="0" collapsed="false">
      <c r="B284" s="28" t="s">
        <v>672</v>
      </c>
      <c r="C284" s="21"/>
      <c r="D284" s="21"/>
      <c r="E284" s="21"/>
      <c r="F284" s="21"/>
      <c r="G284" s="29"/>
      <c r="H284" s="29"/>
      <c r="I284" s="21"/>
      <c r="J284" s="30" t="str">
        <f aca="false">IF(OR($G284="",$I284="",NOT(ISNUMBER($G284))),"",IF($I284="Maund",ROUND($G284/37.32,2),$G284))</f>
        <v/>
      </c>
      <c r="K284" s="30" t="str">
        <f aca="false">IF(OR($H284="",$I284="",NOT(ISNUMBER($H284))),"",IF($I284="Maund",ROUND($H284/37.32,2),$H284))</f>
        <v/>
      </c>
      <c r="L284" s="29"/>
      <c r="M284" s="21"/>
      <c r="N284" s="30" t="str">
        <f aca="false">IF(OR($L284="",$M284="",NOT(ISNUMBER($L284))),"",IF($M284="Maund",ROUND($L284*37.32,2),$L284))</f>
        <v/>
      </c>
      <c r="O284" s="21"/>
      <c r="P284" s="22"/>
    </row>
    <row r="285" customFormat="false" ht="19.5" hidden="false" customHeight="true" outlineLevel="0" collapsed="false">
      <c r="B285" s="28" t="s">
        <v>673</v>
      </c>
      <c r="C285" s="21"/>
      <c r="D285" s="21"/>
      <c r="E285" s="21"/>
      <c r="F285" s="21"/>
      <c r="G285" s="29"/>
      <c r="H285" s="29"/>
      <c r="I285" s="21"/>
      <c r="J285" s="30" t="str">
        <f aca="false">IF(OR($G285="",$I285="",NOT(ISNUMBER($G285))),"",IF($I285="Maund",ROUND($G285/37.32,2),$G285))</f>
        <v/>
      </c>
      <c r="K285" s="30" t="str">
        <f aca="false">IF(OR($H285="",$I285="",NOT(ISNUMBER($H285))),"",IF($I285="Maund",ROUND($H285/37.32,2),$H285))</f>
        <v/>
      </c>
      <c r="L285" s="29"/>
      <c r="M285" s="21"/>
      <c r="N285" s="30" t="str">
        <f aca="false">IF(OR($L285="",$M285="",NOT(ISNUMBER($L285))),"",IF($M285="Maund",ROUND($L285*37.32,2),$L285))</f>
        <v/>
      </c>
      <c r="O285" s="21"/>
      <c r="P285" s="22"/>
    </row>
    <row r="286" customFormat="false" ht="19.5" hidden="false" customHeight="true" outlineLevel="0" collapsed="false">
      <c r="B286" s="28" t="s">
        <v>674</v>
      </c>
      <c r="C286" s="21"/>
      <c r="D286" s="21"/>
      <c r="E286" s="21"/>
      <c r="F286" s="21"/>
      <c r="G286" s="29"/>
      <c r="H286" s="29"/>
      <c r="I286" s="21"/>
      <c r="J286" s="30" t="str">
        <f aca="false">IF(OR($G286="",$I286="",NOT(ISNUMBER($G286))),"",IF($I286="Maund",ROUND($G286/37.32,2),$G286))</f>
        <v/>
      </c>
      <c r="K286" s="30" t="str">
        <f aca="false">IF(OR($H286="",$I286="",NOT(ISNUMBER($H286))),"",IF($I286="Maund",ROUND($H286/37.32,2),$H286))</f>
        <v/>
      </c>
      <c r="L286" s="29"/>
      <c r="M286" s="21"/>
      <c r="N286" s="30" t="str">
        <f aca="false">IF(OR($L286="",$M286="",NOT(ISNUMBER($L286))),"",IF($M286="Maund",ROUND($L286*37.32,2),$L286))</f>
        <v/>
      </c>
      <c r="O286" s="21"/>
      <c r="P286" s="22"/>
    </row>
    <row r="287" customFormat="false" ht="19.5" hidden="false" customHeight="true" outlineLevel="0" collapsed="false">
      <c r="B287" s="28" t="s">
        <v>675</v>
      </c>
      <c r="C287" s="21"/>
      <c r="D287" s="21"/>
      <c r="E287" s="21"/>
      <c r="F287" s="21"/>
      <c r="G287" s="29"/>
      <c r="H287" s="29"/>
      <c r="I287" s="21"/>
      <c r="J287" s="30" t="str">
        <f aca="false">IF(OR($G287="",$I287="",NOT(ISNUMBER($G287))),"",IF($I287="Maund",ROUND($G287/37.32,2),$G287))</f>
        <v/>
      </c>
      <c r="K287" s="30" t="str">
        <f aca="false">IF(OR($H287="",$I287="",NOT(ISNUMBER($H287))),"",IF($I287="Maund",ROUND($H287/37.32,2),$H287))</f>
        <v/>
      </c>
      <c r="L287" s="29"/>
      <c r="M287" s="21"/>
      <c r="N287" s="30" t="str">
        <f aca="false">IF(OR($L287="",$M287="",NOT(ISNUMBER($L287))),"",IF($M287="Maund",ROUND($L287*37.32,2),$L287))</f>
        <v/>
      </c>
      <c r="O287" s="21"/>
      <c r="P287" s="22"/>
    </row>
    <row r="288" customFormat="false" ht="19.5" hidden="false" customHeight="true" outlineLevel="0" collapsed="false">
      <c r="B288" s="28" t="s">
        <v>676</v>
      </c>
      <c r="C288" s="21"/>
      <c r="D288" s="21"/>
      <c r="E288" s="21"/>
      <c r="F288" s="21"/>
      <c r="G288" s="29"/>
      <c r="H288" s="29"/>
      <c r="I288" s="21"/>
      <c r="J288" s="30" t="str">
        <f aca="false">IF(OR($G288="",$I288="",NOT(ISNUMBER($G288))),"",IF($I288="Maund",ROUND($G288/37.32,2),$G288))</f>
        <v/>
      </c>
      <c r="K288" s="30" t="str">
        <f aca="false">IF(OR($H288="",$I288="",NOT(ISNUMBER($H288))),"",IF($I288="Maund",ROUND($H288/37.32,2),$H288))</f>
        <v/>
      </c>
      <c r="L288" s="29"/>
      <c r="M288" s="21"/>
      <c r="N288" s="30" t="str">
        <f aca="false">IF(OR($L288="",$M288="",NOT(ISNUMBER($L288))),"",IF($M288="Maund",ROUND($L288*37.32,2),$L288))</f>
        <v/>
      </c>
      <c r="O288" s="21"/>
      <c r="P288" s="22"/>
    </row>
    <row r="289" customFormat="false" ht="19.5" hidden="false" customHeight="true" outlineLevel="0" collapsed="false">
      <c r="B289" s="28" t="s">
        <v>677</v>
      </c>
      <c r="C289" s="21"/>
      <c r="D289" s="21"/>
      <c r="E289" s="21"/>
      <c r="F289" s="21"/>
      <c r="G289" s="29"/>
      <c r="H289" s="29"/>
      <c r="I289" s="21"/>
      <c r="J289" s="30" t="str">
        <f aca="false">IF(OR($G289="",$I289="",NOT(ISNUMBER($G289))),"",IF($I289="Maund",ROUND($G289/37.32,2),$G289))</f>
        <v/>
      </c>
      <c r="K289" s="30" t="str">
        <f aca="false">IF(OR($H289="",$I289="",NOT(ISNUMBER($H289))),"",IF($I289="Maund",ROUND($H289/37.32,2),$H289))</f>
        <v/>
      </c>
      <c r="L289" s="29"/>
      <c r="M289" s="21"/>
      <c r="N289" s="30" t="str">
        <f aca="false">IF(OR($L289="",$M289="",NOT(ISNUMBER($L289))),"",IF($M289="Maund",ROUND($L289*37.32,2),$L289))</f>
        <v/>
      </c>
      <c r="O289" s="21"/>
      <c r="P289" s="22"/>
    </row>
    <row r="290" customFormat="false" ht="19.5" hidden="false" customHeight="true" outlineLevel="0" collapsed="false">
      <c r="B290" s="28" t="s">
        <v>678</v>
      </c>
      <c r="C290" s="21"/>
      <c r="D290" s="21"/>
      <c r="E290" s="21"/>
      <c r="F290" s="21"/>
      <c r="G290" s="29"/>
      <c r="H290" s="29"/>
      <c r="I290" s="21"/>
      <c r="J290" s="30" t="str">
        <f aca="false">IF(OR($G290="",$I290="",NOT(ISNUMBER($G290))),"",IF($I290="Maund",ROUND($G290/37.32,2),$G290))</f>
        <v/>
      </c>
      <c r="K290" s="30" t="str">
        <f aca="false">IF(OR($H290="",$I290="",NOT(ISNUMBER($H290))),"",IF($I290="Maund",ROUND($H290/37.32,2),$H290))</f>
        <v/>
      </c>
      <c r="L290" s="29"/>
      <c r="M290" s="21"/>
      <c r="N290" s="30" t="str">
        <f aca="false">IF(OR($L290="",$M290="",NOT(ISNUMBER($L290))),"",IF($M290="Maund",ROUND($L290*37.32,2),$L290))</f>
        <v/>
      </c>
      <c r="O290" s="21"/>
      <c r="P290" s="22"/>
    </row>
    <row r="291" customFormat="false" ht="19.5" hidden="false" customHeight="true" outlineLevel="0" collapsed="false">
      <c r="B291" s="28" t="s">
        <v>679</v>
      </c>
      <c r="C291" s="21"/>
      <c r="D291" s="21"/>
      <c r="E291" s="21"/>
      <c r="F291" s="21"/>
      <c r="G291" s="29"/>
      <c r="H291" s="29"/>
      <c r="I291" s="21"/>
      <c r="J291" s="30" t="str">
        <f aca="false">IF(OR($G291="",$I291="",NOT(ISNUMBER($G291))),"",IF($I291="Maund",ROUND($G291/37.32,2),$G291))</f>
        <v/>
      </c>
      <c r="K291" s="30" t="str">
        <f aca="false">IF(OR($H291="",$I291="",NOT(ISNUMBER($H291))),"",IF($I291="Maund",ROUND($H291/37.32,2),$H291))</f>
        <v/>
      </c>
      <c r="L291" s="29"/>
      <c r="M291" s="21"/>
      <c r="N291" s="30" t="str">
        <f aca="false">IF(OR($L291="",$M291="",NOT(ISNUMBER($L291))),"",IF($M291="Maund",ROUND($L291*37.32,2),$L291))</f>
        <v/>
      </c>
      <c r="O291" s="21"/>
      <c r="P291" s="22"/>
    </row>
    <row r="292" customFormat="false" ht="19.5" hidden="false" customHeight="true" outlineLevel="0" collapsed="false">
      <c r="B292" s="28" t="s">
        <v>680</v>
      </c>
      <c r="C292" s="21"/>
      <c r="D292" s="21"/>
      <c r="E292" s="21"/>
      <c r="F292" s="21"/>
      <c r="G292" s="29"/>
      <c r="H292" s="29"/>
      <c r="I292" s="21"/>
      <c r="J292" s="30" t="str">
        <f aca="false">IF(OR($G292="",$I292="",NOT(ISNUMBER($G292))),"",IF($I292="Maund",ROUND($G292/37.32,2),$G292))</f>
        <v/>
      </c>
      <c r="K292" s="30" t="str">
        <f aca="false">IF(OR($H292="",$I292="",NOT(ISNUMBER($H292))),"",IF($I292="Maund",ROUND($H292/37.32,2),$H292))</f>
        <v/>
      </c>
      <c r="L292" s="29"/>
      <c r="M292" s="21"/>
      <c r="N292" s="30" t="str">
        <f aca="false">IF(OR($L292="",$M292="",NOT(ISNUMBER($L292))),"",IF($M292="Maund",ROUND($L292*37.32,2),$L292))</f>
        <v/>
      </c>
      <c r="O292" s="21"/>
      <c r="P292" s="22"/>
    </row>
    <row r="293" customFormat="false" ht="19.5" hidden="false" customHeight="true" outlineLevel="0" collapsed="false">
      <c r="B293" s="28" t="s">
        <v>681</v>
      </c>
      <c r="C293" s="21"/>
      <c r="D293" s="21"/>
      <c r="E293" s="21"/>
      <c r="F293" s="21"/>
      <c r="G293" s="29"/>
      <c r="H293" s="29"/>
      <c r="I293" s="21"/>
      <c r="J293" s="30" t="str">
        <f aca="false">IF(OR($G293="",$I293="",NOT(ISNUMBER($G293))),"",IF($I293="Maund",ROUND($G293/37.32,2),$G293))</f>
        <v/>
      </c>
      <c r="K293" s="30" t="str">
        <f aca="false">IF(OR($H293="",$I293="",NOT(ISNUMBER($H293))),"",IF($I293="Maund",ROUND($H293/37.32,2),$H293))</f>
        <v/>
      </c>
      <c r="L293" s="29"/>
      <c r="M293" s="21"/>
      <c r="N293" s="30" t="str">
        <f aca="false">IF(OR($L293="",$M293="",NOT(ISNUMBER($L293))),"",IF($M293="Maund",ROUND($L293*37.32,2),$L293))</f>
        <v/>
      </c>
      <c r="O293" s="21"/>
      <c r="P293" s="22"/>
    </row>
    <row r="294" customFormat="false" ht="19.5" hidden="false" customHeight="true" outlineLevel="0" collapsed="false">
      <c r="B294" s="28" t="s">
        <v>682</v>
      </c>
      <c r="C294" s="21"/>
      <c r="D294" s="21"/>
      <c r="E294" s="21"/>
      <c r="F294" s="21"/>
      <c r="G294" s="29"/>
      <c r="H294" s="29"/>
      <c r="I294" s="21"/>
      <c r="J294" s="30" t="str">
        <f aca="false">IF(OR($G294="",$I294="",NOT(ISNUMBER($G294))),"",IF($I294="Maund",ROUND($G294/37.32,2),$G294))</f>
        <v/>
      </c>
      <c r="K294" s="30" t="str">
        <f aca="false">IF(OR($H294="",$I294="",NOT(ISNUMBER($H294))),"",IF($I294="Maund",ROUND($H294/37.32,2),$H294))</f>
        <v/>
      </c>
      <c r="L294" s="29"/>
      <c r="M294" s="21"/>
      <c r="N294" s="30" t="str">
        <f aca="false">IF(OR($L294="",$M294="",NOT(ISNUMBER($L294))),"",IF($M294="Maund",ROUND($L294*37.32,2),$L294))</f>
        <v/>
      </c>
      <c r="O294" s="21"/>
      <c r="P294" s="22"/>
    </row>
    <row r="295" customFormat="false" ht="19.5" hidden="false" customHeight="true" outlineLevel="0" collapsed="false">
      <c r="B295" s="28" t="s">
        <v>683</v>
      </c>
      <c r="C295" s="21"/>
      <c r="D295" s="21"/>
      <c r="E295" s="21"/>
      <c r="F295" s="21"/>
      <c r="G295" s="29"/>
      <c r="H295" s="29"/>
      <c r="I295" s="21"/>
      <c r="J295" s="30" t="str">
        <f aca="false">IF(OR($G295="",$I295="",NOT(ISNUMBER($G295))),"",IF($I295="Maund",ROUND($G295/37.32,2),$G295))</f>
        <v/>
      </c>
      <c r="K295" s="30" t="str">
        <f aca="false">IF(OR($H295="",$I295="",NOT(ISNUMBER($H295))),"",IF($I295="Maund",ROUND($H295/37.32,2),$H295))</f>
        <v/>
      </c>
      <c r="L295" s="29"/>
      <c r="M295" s="21"/>
      <c r="N295" s="30" t="str">
        <f aca="false">IF(OR($L295="",$M295="",NOT(ISNUMBER($L295))),"",IF($M295="Maund",ROUND($L295*37.32,2),$L295))</f>
        <v/>
      </c>
      <c r="O295" s="21"/>
      <c r="P295" s="22"/>
    </row>
    <row r="296" customFormat="false" ht="19.5" hidden="false" customHeight="true" outlineLevel="0" collapsed="false">
      <c r="B296" s="28" t="s">
        <v>684</v>
      </c>
      <c r="C296" s="21"/>
      <c r="D296" s="21"/>
      <c r="E296" s="21"/>
      <c r="F296" s="21"/>
      <c r="G296" s="29"/>
      <c r="H296" s="29"/>
      <c r="I296" s="21"/>
      <c r="J296" s="30" t="str">
        <f aca="false">IF(OR($G296="",$I296="",NOT(ISNUMBER($G296))),"",IF($I296="Maund",ROUND($G296/37.32,2),$G296))</f>
        <v/>
      </c>
      <c r="K296" s="30" t="str">
        <f aca="false">IF(OR($H296="",$I296="",NOT(ISNUMBER($H296))),"",IF($I296="Maund",ROUND($H296/37.32,2),$H296))</f>
        <v/>
      </c>
      <c r="L296" s="29"/>
      <c r="M296" s="21"/>
      <c r="N296" s="30" t="str">
        <f aca="false">IF(OR($L296="",$M296="",NOT(ISNUMBER($L296))),"",IF($M296="Maund",ROUND($L296*37.32,2),$L296))</f>
        <v/>
      </c>
      <c r="O296" s="21"/>
      <c r="P296" s="22"/>
    </row>
    <row r="297" customFormat="false" ht="19.5" hidden="false" customHeight="true" outlineLevel="0" collapsed="false">
      <c r="B297" s="28" t="s">
        <v>685</v>
      </c>
      <c r="C297" s="21"/>
      <c r="D297" s="21"/>
      <c r="E297" s="21"/>
      <c r="F297" s="21"/>
      <c r="G297" s="29"/>
      <c r="H297" s="29"/>
      <c r="I297" s="21"/>
      <c r="J297" s="30" t="str">
        <f aca="false">IF(OR($G297="",$I297="",NOT(ISNUMBER($G297))),"",IF($I297="Maund",ROUND($G297/37.32,2),$G297))</f>
        <v/>
      </c>
      <c r="K297" s="30" t="str">
        <f aca="false">IF(OR($H297="",$I297="",NOT(ISNUMBER($H297))),"",IF($I297="Maund",ROUND($H297/37.32,2),$H297))</f>
        <v/>
      </c>
      <c r="L297" s="29"/>
      <c r="M297" s="21"/>
      <c r="N297" s="30" t="str">
        <f aca="false">IF(OR($L297="",$M297="",NOT(ISNUMBER($L297))),"",IF($M297="Maund",ROUND($L297*37.32,2),$L297))</f>
        <v/>
      </c>
      <c r="O297" s="21"/>
      <c r="P297" s="22"/>
    </row>
    <row r="298" customFormat="false" ht="19.5" hidden="false" customHeight="true" outlineLevel="0" collapsed="false">
      <c r="B298" s="28" t="s">
        <v>686</v>
      </c>
      <c r="C298" s="21"/>
      <c r="D298" s="21"/>
      <c r="E298" s="21"/>
      <c r="F298" s="21"/>
      <c r="G298" s="29"/>
      <c r="H298" s="29"/>
      <c r="I298" s="21"/>
      <c r="J298" s="30" t="str">
        <f aca="false">IF(OR($G298="",$I298="",NOT(ISNUMBER($G298))),"",IF($I298="Maund",ROUND($G298/37.32,2),$G298))</f>
        <v/>
      </c>
      <c r="K298" s="30" t="str">
        <f aca="false">IF(OR($H298="",$I298="",NOT(ISNUMBER($H298))),"",IF($I298="Maund",ROUND($H298/37.32,2),$H298))</f>
        <v/>
      </c>
      <c r="L298" s="29"/>
      <c r="M298" s="21"/>
      <c r="N298" s="30" t="str">
        <f aca="false">IF(OR($L298="",$M298="",NOT(ISNUMBER($L298))),"",IF($M298="Maund",ROUND($L298*37.32,2),$L298))</f>
        <v/>
      </c>
      <c r="O298" s="21"/>
      <c r="P298" s="22"/>
    </row>
    <row r="299" customFormat="false" ht="19.5" hidden="false" customHeight="true" outlineLevel="0" collapsed="false">
      <c r="B299" s="28" t="s">
        <v>687</v>
      </c>
      <c r="C299" s="21"/>
      <c r="D299" s="21"/>
      <c r="E299" s="21"/>
      <c r="F299" s="21"/>
      <c r="G299" s="29"/>
      <c r="H299" s="29"/>
      <c r="I299" s="21"/>
      <c r="J299" s="30" t="str">
        <f aca="false">IF(OR($G299="",$I299="",NOT(ISNUMBER($G299))),"",IF($I299="Maund",ROUND($G299/37.32,2),$G299))</f>
        <v/>
      </c>
      <c r="K299" s="30" t="str">
        <f aca="false">IF(OR($H299="",$I299="",NOT(ISNUMBER($H299))),"",IF($I299="Maund",ROUND($H299/37.32,2),$H299))</f>
        <v/>
      </c>
      <c r="L299" s="29"/>
      <c r="M299" s="21"/>
      <c r="N299" s="30" t="str">
        <f aca="false">IF(OR($L299="",$M299="",NOT(ISNUMBER($L299))),"",IF($M299="Maund",ROUND($L299*37.32,2),$L299))</f>
        <v/>
      </c>
      <c r="O299" s="21"/>
      <c r="P299" s="22"/>
    </row>
    <row r="300" customFormat="false" ht="19.5" hidden="false" customHeight="true" outlineLevel="0" collapsed="false">
      <c r="B300" s="28" t="s">
        <v>688</v>
      </c>
      <c r="C300" s="21"/>
      <c r="D300" s="21"/>
      <c r="E300" s="21"/>
      <c r="F300" s="21"/>
      <c r="G300" s="29"/>
      <c r="H300" s="29"/>
      <c r="I300" s="21"/>
      <c r="J300" s="30" t="str">
        <f aca="false">IF(OR($G300="",$I300="",NOT(ISNUMBER($G300))),"",IF($I300="Maund",ROUND($G300/37.32,2),$G300))</f>
        <v/>
      </c>
      <c r="K300" s="30" t="str">
        <f aca="false">IF(OR($H300="",$I300="",NOT(ISNUMBER($H300))),"",IF($I300="Maund",ROUND($H300/37.32,2),$H300))</f>
        <v/>
      </c>
      <c r="L300" s="29"/>
      <c r="M300" s="21"/>
      <c r="N300" s="30" t="str">
        <f aca="false">IF(OR($L300="",$M300="",NOT(ISNUMBER($L300))),"",IF($M300="Maund",ROUND($L300*37.32,2),$L300))</f>
        <v/>
      </c>
      <c r="O300" s="21"/>
      <c r="P300" s="22"/>
    </row>
    <row r="301" customFormat="false" ht="19.5" hidden="false" customHeight="true" outlineLevel="0" collapsed="false">
      <c r="B301" s="28" t="s">
        <v>689</v>
      </c>
      <c r="C301" s="21"/>
      <c r="D301" s="21"/>
      <c r="E301" s="21"/>
      <c r="F301" s="21"/>
      <c r="G301" s="29"/>
      <c r="H301" s="29"/>
      <c r="I301" s="21"/>
      <c r="J301" s="30" t="str">
        <f aca="false">IF(OR($G301="",$I301="",NOT(ISNUMBER($G301))),"",IF($I301="Maund",ROUND($G301/37.32,2),$G301))</f>
        <v/>
      </c>
      <c r="K301" s="30" t="str">
        <f aca="false">IF(OR($H301="",$I301="",NOT(ISNUMBER($H301))),"",IF($I301="Maund",ROUND($H301/37.32,2),$H301))</f>
        <v/>
      </c>
      <c r="L301" s="29"/>
      <c r="M301" s="21"/>
      <c r="N301" s="30" t="str">
        <f aca="false">IF(OR($L301="",$M301="",NOT(ISNUMBER($L301))),"",IF($M301="Maund",ROUND($L301*37.32,2),$L301))</f>
        <v/>
      </c>
      <c r="O301" s="21"/>
      <c r="P301" s="22"/>
    </row>
    <row r="302" customFormat="false" ht="19.5" hidden="false" customHeight="true" outlineLevel="0" collapsed="false">
      <c r="B302" s="28" t="s">
        <v>690</v>
      </c>
      <c r="C302" s="21"/>
      <c r="D302" s="21"/>
      <c r="E302" s="21"/>
      <c r="F302" s="21"/>
      <c r="G302" s="29"/>
      <c r="H302" s="29"/>
      <c r="I302" s="21"/>
      <c r="J302" s="30" t="str">
        <f aca="false">IF(OR($G302="",$I302="",NOT(ISNUMBER($G302))),"",IF($I302="Maund",ROUND($G302/37.32,2),$G302))</f>
        <v/>
      </c>
      <c r="K302" s="30" t="str">
        <f aca="false">IF(OR($H302="",$I302="",NOT(ISNUMBER($H302))),"",IF($I302="Maund",ROUND($H302/37.32,2),$H302))</f>
        <v/>
      </c>
      <c r="L302" s="29"/>
      <c r="M302" s="21"/>
      <c r="N302" s="30" t="str">
        <f aca="false">IF(OR($L302="",$M302="",NOT(ISNUMBER($L302))),"",IF($M302="Maund",ROUND($L302*37.32,2),$L302))</f>
        <v/>
      </c>
      <c r="O302" s="21"/>
      <c r="P302" s="22"/>
    </row>
    <row r="303" customFormat="false" ht="19.5" hidden="false" customHeight="true" outlineLevel="0" collapsed="false">
      <c r="B303" s="28" t="s">
        <v>691</v>
      </c>
      <c r="C303" s="21"/>
      <c r="D303" s="21"/>
      <c r="E303" s="21"/>
      <c r="F303" s="21"/>
      <c r="G303" s="29"/>
      <c r="H303" s="29"/>
      <c r="I303" s="21"/>
      <c r="J303" s="30" t="str">
        <f aca="false">IF(OR($G303="",$I303="",NOT(ISNUMBER($G303))),"",IF($I303="Maund",ROUND($G303/37.32,2),$G303))</f>
        <v/>
      </c>
      <c r="K303" s="30" t="str">
        <f aca="false">IF(OR($H303="",$I303="",NOT(ISNUMBER($H303))),"",IF($I303="Maund",ROUND($H303/37.32,2),$H303))</f>
        <v/>
      </c>
      <c r="L303" s="29"/>
      <c r="M303" s="21"/>
      <c r="N303" s="30" t="str">
        <f aca="false">IF(OR($L303="",$M303="",NOT(ISNUMBER($L303))),"",IF($M303="Maund",ROUND($L303*37.32,2),$L303))</f>
        <v/>
      </c>
      <c r="O303" s="21"/>
      <c r="P303" s="22"/>
    </row>
    <row r="304" customFormat="false" ht="19.5" hidden="false" customHeight="true" outlineLevel="0" collapsed="false">
      <c r="B304" s="28" t="s">
        <v>692</v>
      </c>
      <c r="C304" s="21"/>
      <c r="D304" s="21"/>
      <c r="E304" s="21"/>
      <c r="F304" s="21"/>
      <c r="G304" s="29"/>
      <c r="H304" s="29"/>
      <c r="I304" s="21"/>
      <c r="J304" s="30" t="str">
        <f aca="false">IF(OR($G304="",$I304="",NOT(ISNUMBER($G304))),"",IF($I304="Maund",ROUND($G304/37.32,2),$G304))</f>
        <v/>
      </c>
      <c r="K304" s="30" t="str">
        <f aca="false">IF(OR($H304="",$I304="",NOT(ISNUMBER($H304))),"",IF($I304="Maund",ROUND($H304/37.32,2),$H304))</f>
        <v/>
      </c>
      <c r="L304" s="29"/>
      <c r="M304" s="21"/>
      <c r="N304" s="30" t="str">
        <f aca="false">IF(OR($L304="",$M304="",NOT(ISNUMBER($L304))),"",IF($M304="Maund",ROUND($L304*37.32,2),$L304))</f>
        <v/>
      </c>
      <c r="O304" s="21"/>
      <c r="P304" s="22"/>
    </row>
    <row r="305" customFormat="false" ht="19.5" hidden="false" customHeight="true" outlineLevel="0" collapsed="false">
      <c r="B305" s="28" t="s">
        <v>693</v>
      </c>
      <c r="C305" s="21"/>
      <c r="D305" s="21"/>
      <c r="E305" s="21"/>
      <c r="F305" s="21"/>
      <c r="G305" s="29"/>
      <c r="H305" s="29"/>
      <c r="I305" s="21"/>
      <c r="J305" s="30" t="str">
        <f aca="false">IF(OR($G305="",$I305="",NOT(ISNUMBER($G305))),"",IF($I305="Maund",ROUND($G305/37.32,2),$G305))</f>
        <v/>
      </c>
      <c r="K305" s="30" t="str">
        <f aca="false">IF(OR($H305="",$I305="",NOT(ISNUMBER($H305))),"",IF($I305="Maund",ROUND($H305/37.32,2),$H305))</f>
        <v/>
      </c>
      <c r="L305" s="29"/>
      <c r="M305" s="21"/>
      <c r="N305" s="30" t="str">
        <f aca="false">IF(OR($L305="",$M305="",NOT(ISNUMBER($L305))),"",IF($M305="Maund",ROUND($L305*37.32,2),$L305))</f>
        <v/>
      </c>
      <c r="O305" s="21"/>
      <c r="P305" s="22"/>
    </row>
    <row r="306" customFormat="false" ht="19.5" hidden="false" customHeight="true" outlineLevel="0" collapsed="false">
      <c r="B306" s="28" t="s">
        <v>694</v>
      </c>
      <c r="C306" s="21"/>
      <c r="D306" s="21"/>
      <c r="E306" s="21"/>
      <c r="F306" s="21"/>
      <c r="G306" s="29"/>
      <c r="H306" s="29"/>
      <c r="I306" s="21"/>
      <c r="J306" s="30" t="str">
        <f aca="false">IF(OR($G306="",$I306="",NOT(ISNUMBER($G306))),"",IF($I306="Maund",ROUND($G306/37.32,2),$G306))</f>
        <v/>
      </c>
      <c r="K306" s="30" t="str">
        <f aca="false">IF(OR($H306="",$I306="",NOT(ISNUMBER($H306))),"",IF($I306="Maund",ROUND($H306/37.32,2),$H306))</f>
        <v/>
      </c>
      <c r="L306" s="29"/>
      <c r="M306" s="21"/>
      <c r="N306" s="30" t="str">
        <f aca="false">IF(OR($L306="",$M306="",NOT(ISNUMBER($L306))),"",IF($M306="Maund",ROUND($L306*37.32,2),$L306))</f>
        <v/>
      </c>
      <c r="O306" s="21"/>
      <c r="P306" s="22"/>
    </row>
    <row r="307" customFormat="false" ht="19.5" hidden="false" customHeight="true" outlineLevel="0" collapsed="false">
      <c r="B307" s="28" t="s">
        <v>695</v>
      </c>
      <c r="C307" s="21"/>
      <c r="D307" s="21"/>
      <c r="E307" s="21"/>
      <c r="F307" s="21"/>
      <c r="G307" s="29"/>
      <c r="H307" s="29"/>
      <c r="I307" s="21"/>
      <c r="J307" s="30" t="str">
        <f aca="false">IF(OR($G307="",$I307="",NOT(ISNUMBER($G307))),"",IF($I307="Maund",ROUND($G307/37.32,2),$G307))</f>
        <v/>
      </c>
      <c r="K307" s="30" t="str">
        <f aca="false">IF(OR($H307="",$I307="",NOT(ISNUMBER($H307))),"",IF($I307="Maund",ROUND($H307/37.32,2),$H307))</f>
        <v/>
      </c>
      <c r="L307" s="29"/>
      <c r="M307" s="21"/>
      <c r="N307" s="30" t="str">
        <f aca="false">IF(OR($L307="",$M307="",NOT(ISNUMBER($L307))),"",IF($M307="Maund",ROUND($L307*37.32,2),$L307))</f>
        <v/>
      </c>
      <c r="O307" s="21"/>
      <c r="P307" s="22"/>
    </row>
    <row r="308" customFormat="false" ht="19.5" hidden="false" customHeight="true" outlineLevel="0" collapsed="false">
      <c r="B308" s="28" t="s">
        <v>696</v>
      </c>
      <c r="C308" s="21"/>
      <c r="D308" s="21"/>
      <c r="E308" s="21"/>
      <c r="F308" s="21"/>
      <c r="G308" s="29"/>
      <c r="H308" s="29"/>
      <c r="I308" s="21"/>
      <c r="J308" s="30" t="str">
        <f aca="false">IF(OR($G308="",$I308="",NOT(ISNUMBER($G308))),"",IF($I308="Maund",ROUND($G308/37.32,2),$G308))</f>
        <v/>
      </c>
      <c r="K308" s="30" t="str">
        <f aca="false">IF(OR($H308="",$I308="",NOT(ISNUMBER($H308))),"",IF($I308="Maund",ROUND($H308/37.32,2),$H308))</f>
        <v/>
      </c>
      <c r="L308" s="29"/>
      <c r="M308" s="21"/>
      <c r="N308" s="30" t="str">
        <f aca="false">IF(OR($L308="",$M308="",NOT(ISNUMBER($L308))),"",IF($M308="Maund",ROUND($L308*37.32,2),$L308))</f>
        <v/>
      </c>
      <c r="O308" s="21"/>
      <c r="P308" s="22"/>
    </row>
    <row r="309" customFormat="false" ht="19.5" hidden="false" customHeight="true" outlineLevel="0" collapsed="false">
      <c r="B309" s="28" t="s">
        <v>697</v>
      </c>
      <c r="C309" s="21"/>
      <c r="D309" s="21"/>
      <c r="E309" s="21"/>
      <c r="F309" s="21"/>
      <c r="G309" s="29"/>
      <c r="H309" s="29"/>
      <c r="I309" s="21"/>
      <c r="J309" s="30" t="str">
        <f aca="false">IF(OR($G309="",$I309="",NOT(ISNUMBER($G309))),"",IF($I309="Maund",ROUND($G309/37.32,2),$G309))</f>
        <v/>
      </c>
      <c r="K309" s="30" t="str">
        <f aca="false">IF(OR($H309="",$I309="",NOT(ISNUMBER($H309))),"",IF($I309="Maund",ROUND($H309/37.32,2),$H309))</f>
        <v/>
      </c>
      <c r="L309" s="29"/>
      <c r="M309" s="21"/>
      <c r="N309" s="30" t="str">
        <f aca="false">IF(OR($L309="",$M309="",NOT(ISNUMBER($L309))),"",IF($M309="Maund",ROUND($L309*37.32,2),$L309))</f>
        <v/>
      </c>
      <c r="O309" s="21"/>
      <c r="P309" s="22"/>
    </row>
    <row r="310" customFormat="false" ht="19.5" hidden="false" customHeight="true" outlineLevel="0" collapsed="false">
      <c r="B310" s="28" t="s">
        <v>698</v>
      </c>
      <c r="C310" s="21"/>
      <c r="D310" s="21"/>
      <c r="E310" s="21"/>
      <c r="F310" s="21"/>
      <c r="G310" s="29"/>
      <c r="H310" s="29"/>
      <c r="I310" s="21"/>
      <c r="J310" s="30" t="str">
        <f aca="false">IF(OR($G310="",$I310="",NOT(ISNUMBER($G310))),"",IF($I310="Maund",ROUND($G310/37.32,2),$G310))</f>
        <v/>
      </c>
      <c r="K310" s="30" t="str">
        <f aca="false">IF(OR($H310="",$I310="",NOT(ISNUMBER($H310))),"",IF($I310="Maund",ROUND($H310/37.32,2),$H310))</f>
        <v/>
      </c>
      <c r="L310" s="29"/>
      <c r="M310" s="21"/>
      <c r="N310" s="30" t="str">
        <f aca="false">IF(OR($L310="",$M310="",NOT(ISNUMBER($L310))),"",IF($M310="Maund",ROUND($L310*37.32,2),$L310))</f>
        <v/>
      </c>
      <c r="O310" s="21"/>
      <c r="P310" s="22"/>
    </row>
    <row r="311" customFormat="false" ht="19.5" hidden="false" customHeight="true" outlineLevel="0" collapsed="false">
      <c r="B311" s="28" t="s">
        <v>699</v>
      </c>
      <c r="C311" s="21"/>
      <c r="D311" s="21"/>
      <c r="E311" s="21"/>
      <c r="F311" s="21"/>
      <c r="G311" s="29"/>
      <c r="H311" s="29"/>
      <c r="I311" s="21"/>
      <c r="J311" s="30" t="str">
        <f aca="false">IF(OR($G311="",$I311="",NOT(ISNUMBER($G311))),"",IF($I311="Maund",ROUND($G311/37.32,2),$G311))</f>
        <v/>
      </c>
      <c r="K311" s="30" t="str">
        <f aca="false">IF(OR($H311="",$I311="",NOT(ISNUMBER($H311))),"",IF($I311="Maund",ROUND($H311/37.32,2),$H311))</f>
        <v/>
      </c>
      <c r="L311" s="29"/>
      <c r="M311" s="21"/>
      <c r="N311" s="30" t="str">
        <f aca="false">IF(OR($L311="",$M311="",NOT(ISNUMBER($L311))),"",IF($M311="Maund",ROUND($L311*37.32,2),$L311))</f>
        <v/>
      </c>
      <c r="O311" s="21"/>
      <c r="P311" s="22"/>
    </row>
    <row r="312" customFormat="false" ht="19.5" hidden="false" customHeight="true" outlineLevel="0" collapsed="false">
      <c r="B312" s="28" t="s">
        <v>700</v>
      </c>
      <c r="C312" s="21"/>
      <c r="D312" s="21"/>
      <c r="E312" s="21"/>
      <c r="F312" s="21"/>
      <c r="G312" s="29"/>
      <c r="H312" s="29"/>
      <c r="I312" s="21"/>
      <c r="J312" s="30" t="str">
        <f aca="false">IF(OR($G312="",$I312="",NOT(ISNUMBER($G312))),"",IF($I312="Maund",ROUND($G312/37.32,2),$G312))</f>
        <v/>
      </c>
      <c r="K312" s="30" t="str">
        <f aca="false">IF(OR($H312="",$I312="",NOT(ISNUMBER($H312))),"",IF($I312="Maund",ROUND($H312/37.32,2),$H312))</f>
        <v/>
      </c>
      <c r="L312" s="29"/>
      <c r="M312" s="21"/>
      <c r="N312" s="30" t="str">
        <f aca="false">IF(OR($L312="",$M312="",NOT(ISNUMBER($L312))),"",IF($M312="Maund",ROUND($L312*37.32,2),$L312))</f>
        <v/>
      </c>
      <c r="O312" s="21"/>
      <c r="P312" s="22"/>
    </row>
    <row r="313" customFormat="false" ht="19.5" hidden="false" customHeight="true" outlineLevel="0" collapsed="false">
      <c r="B313" s="28" t="s">
        <v>701</v>
      </c>
      <c r="C313" s="21"/>
      <c r="D313" s="21"/>
      <c r="E313" s="21"/>
      <c r="F313" s="21"/>
      <c r="G313" s="29"/>
      <c r="H313" s="29"/>
      <c r="I313" s="21"/>
      <c r="J313" s="30" t="str">
        <f aca="false">IF(OR($G313="",$I313="",NOT(ISNUMBER($G313))),"",IF($I313="Maund",ROUND($G313/37.32,2),$G313))</f>
        <v/>
      </c>
      <c r="K313" s="30" t="str">
        <f aca="false">IF(OR($H313="",$I313="",NOT(ISNUMBER($H313))),"",IF($I313="Maund",ROUND($H313/37.32,2),$H313))</f>
        <v/>
      </c>
      <c r="L313" s="29"/>
      <c r="M313" s="21"/>
      <c r="N313" s="30" t="str">
        <f aca="false">IF(OR($L313="",$M313="",NOT(ISNUMBER($L313))),"",IF($M313="Maund",ROUND($L313*37.32,2),$L313))</f>
        <v/>
      </c>
      <c r="O313" s="21"/>
      <c r="P313" s="22"/>
    </row>
    <row r="314" customFormat="false" ht="19.5" hidden="false" customHeight="true" outlineLevel="0" collapsed="false">
      <c r="B314" s="28" t="s">
        <v>702</v>
      </c>
      <c r="C314" s="21"/>
      <c r="D314" s="21"/>
      <c r="E314" s="21"/>
      <c r="F314" s="21"/>
      <c r="G314" s="29"/>
      <c r="H314" s="29"/>
      <c r="I314" s="21"/>
      <c r="J314" s="30" t="str">
        <f aca="false">IF(OR($G314="",$I314="",NOT(ISNUMBER($G314))),"",IF($I314="Maund",ROUND($G314/37.32,2),$G314))</f>
        <v/>
      </c>
      <c r="K314" s="30" t="str">
        <f aca="false">IF(OR($H314="",$I314="",NOT(ISNUMBER($H314))),"",IF($I314="Maund",ROUND($H314/37.32,2),$H314))</f>
        <v/>
      </c>
      <c r="L314" s="29"/>
      <c r="M314" s="21"/>
      <c r="N314" s="30" t="str">
        <f aca="false">IF(OR($L314="",$M314="",NOT(ISNUMBER($L314))),"",IF($M314="Maund",ROUND($L314*37.32,2),$L314))</f>
        <v/>
      </c>
      <c r="O314" s="21"/>
      <c r="P314" s="22"/>
    </row>
    <row r="315" customFormat="false" ht="19.5" hidden="false" customHeight="true" outlineLevel="0" collapsed="false">
      <c r="B315" s="28" t="s">
        <v>703</v>
      </c>
      <c r="C315" s="21"/>
      <c r="D315" s="21"/>
      <c r="E315" s="21"/>
      <c r="F315" s="21"/>
      <c r="G315" s="29"/>
      <c r="H315" s="29"/>
      <c r="I315" s="21"/>
      <c r="J315" s="30" t="str">
        <f aca="false">IF(OR($G315="",$I315="",NOT(ISNUMBER($G315))),"",IF($I315="Maund",ROUND($G315/37.32,2),$G315))</f>
        <v/>
      </c>
      <c r="K315" s="30" t="str">
        <f aca="false">IF(OR($H315="",$I315="",NOT(ISNUMBER($H315))),"",IF($I315="Maund",ROUND($H315/37.32,2),$H315))</f>
        <v/>
      </c>
      <c r="L315" s="29"/>
      <c r="M315" s="21"/>
      <c r="N315" s="30" t="str">
        <f aca="false">IF(OR($L315="",$M315="",NOT(ISNUMBER($L315))),"",IF($M315="Maund",ROUND($L315*37.32,2),$L315))</f>
        <v/>
      </c>
      <c r="O315" s="21"/>
      <c r="P315" s="22"/>
    </row>
    <row r="316" customFormat="false" ht="19.5" hidden="false" customHeight="true" outlineLevel="0" collapsed="false">
      <c r="B316" s="28" t="s">
        <v>704</v>
      </c>
      <c r="C316" s="21"/>
      <c r="D316" s="21"/>
      <c r="E316" s="21"/>
      <c r="F316" s="21"/>
      <c r="G316" s="29"/>
      <c r="H316" s="29"/>
      <c r="I316" s="21"/>
      <c r="J316" s="30" t="str">
        <f aca="false">IF(OR($G316="",$I316="",NOT(ISNUMBER($G316))),"",IF($I316="Maund",ROUND($G316/37.32,2),$G316))</f>
        <v/>
      </c>
      <c r="K316" s="30" t="str">
        <f aca="false">IF(OR($H316="",$I316="",NOT(ISNUMBER($H316))),"",IF($I316="Maund",ROUND($H316/37.32,2),$H316))</f>
        <v/>
      </c>
      <c r="L316" s="29"/>
      <c r="M316" s="21"/>
      <c r="N316" s="30" t="str">
        <f aca="false">IF(OR($L316="",$M316="",NOT(ISNUMBER($L316))),"",IF($M316="Maund",ROUND($L316*37.32,2),$L316))</f>
        <v/>
      </c>
      <c r="O316" s="21"/>
      <c r="P316" s="22"/>
    </row>
    <row r="317" customFormat="false" ht="19.5" hidden="false" customHeight="true" outlineLevel="0" collapsed="false">
      <c r="B317" s="28" t="s">
        <v>705</v>
      </c>
      <c r="C317" s="21"/>
      <c r="D317" s="21"/>
      <c r="E317" s="21"/>
      <c r="F317" s="21"/>
      <c r="G317" s="29"/>
      <c r="H317" s="29"/>
      <c r="I317" s="21"/>
      <c r="J317" s="30" t="str">
        <f aca="false">IF(OR($G317="",$I317="",NOT(ISNUMBER($G317))),"",IF($I317="Maund",ROUND($G317/37.32,2),$G317))</f>
        <v/>
      </c>
      <c r="K317" s="30" t="str">
        <f aca="false">IF(OR($H317="",$I317="",NOT(ISNUMBER($H317))),"",IF($I317="Maund",ROUND($H317/37.32,2),$H317))</f>
        <v/>
      </c>
      <c r="L317" s="29"/>
      <c r="M317" s="21"/>
      <c r="N317" s="30" t="str">
        <f aca="false">IF(OR($L317="",$M317="",NOT(ISNUMBER($L317))),"",IF($M317="Maund",ROUND($L317*37.32,2),$L317))</f>
        <v/>
      </c>
      <c r="O317" s="21"/>
      <c r="P317" s="22"/>
    </row>
    <row r="318" customFormat="false" ht="19.5" hidden="false" customHeight="true" outlineLevel="0" collapsed="false">
      <c r="B318" s="28" t="s">
        <v>706</v>
      </c>
      <c r="C318" s="21"/>
      <c r="D318" s="21"/>
      <c r="E318" s="21"/>
      <c r="F318" s="21"/>
      <c r="G318" s="29"/>
      <c r="H318" s="29"/>
      <c r="I318" s="21"/>
      <c r="J318" s="30" t="str">
        <f aca="false">IF(OR($G318="",$I318="",NOT(ISNUMBER($G318))),"",IF($I318="Maund",ROUND($G318/37.32,2),$G318))</f>
        <v/>
      </c>
      <c r="K318" s="30" t="str">
        <f aca="false">IF(OR($H318="",$I318="",NOT(ISNUMBER($H318))),"",IF($I318="Maund",ROUND($H318/37.32,2),$H318))</f>
        <v/>
      </c>
      <c r="L318" s="29"/>
      <c r="M318" s="21"/>
      <c r="N318" s="30" t="str">
        <f aca="false">IF(OR($L318="",$M318="",NOT(ISNUMBER($L318))),"",IF($M318="Maund",ROUND($L318*37.32,2),$L318))</f>
        <v/>
      </c>
      <c r="O318" s="21"/>
      <c r="P318" s="22"/>
    </row>
    <row r="319" customFormat="false" ht="19.5" hidden="false" customHeight="true" outlineLevel="0" collapsed="false">
      <c r="B319" s="28" t="s">
        <v>707</v>
      </c>
      <c r="C319" s="21"/>
      <c r="D319" s="21"/>
      <c r="E319" s="21"/>
      <c r="F319" s="21"/>
      <c r="G319" s="29"/>
      <c r="H319" s="29"/>
      <c r="I319" s="21"/>
      <c r="J319" s="30" t="str">
        <f aca="false">IF(OR($G319="",$I319="",NOT(ISNUMBER($G319))),"",IF($I319="Maund",ROUND($G319/37.32,2),$G319))</f>
        <v/>
      </c>
      <c r="K319" s="30" t="str">
        <f aca="false">IF(OR($H319="",$I319="",NOT(ISNUMBER($H319))),"",IF($I319="Maund",ROUND($H319/37.32,2),$H319))</f>
        <v/>
      </c>
      <c r="L319" s="29"/>
      <c r="M319" s="21"/>
      <c r="N319" s="30" t="str">
        <f aca="false">IF(OR($L319="",$M319="",NOT(ISNUMBER($L319))),"",IF($M319="Maund",ROUND($L319*37.32,2),$L319))</f>
        <v/>
      </c>
      <c r="O319" s="21"/>
      <c r="P319" s="22"/>
    </row>
    <row r="320" customFormat="false" ht="19.5" hidden="false" customHeight="true" outlineLevel="0" collapsed="false">
      <c r="B320" s="28" t="s">
        <v>708</v>
      </c>
      <c r="C320" s="21"/>
      <c r="D320" s="21"/>
      <c r="E320" s="21"/>
      <c r="F320" s="21"/>
      <c r="G320" s="29"/>
      <c r="H320" s="29"/>
      <c r="I320" s="21"/>
      <c r="J320" s="30" t="str">
        <f aca="false">IF(OR($G320="",$I320="",NOT(ISNUMBER($G320))),"",IF($I320="Maund",ROUND($G320/37.32,2),$G320))</f>
        <v/>
      </c>
      <c r="K320" s="30" t="str">
        <f aca="false">IF(OR($H320="",$I320="",NOT(ISNUMBER($H320))),"",IF($I320="Maund",ROUND($H320/37.32,2),$H320))</f>
        <v/>
      </c>
      <c r="L320" s="29"/>
      <c r="M320" s="21"/>
      <c r="N320" s="30" t="str">
        <f aca="false">IF(OR($L320="",$M320="",NOT(ISNUMBER($L320))),"",IF($M320="Maund",ROUND($L320*37.32,2),$L320))</f>
        <v/>
      </c>
      <c r="O320" s="21"/>
      <c r="P320" s="22"/>
    </row>
    <row r="321" customFormat="false" ht="19.5" hidden="false" customHeight="true" outlineLevel="0" collapsed="false">
      <c r="B321" s="28" t="s">
        <v>709</v>
      </c>
      <c r="C321" s="21"/>
      <c r="D321" s="21"/>
      <c r="E321" s="21"/>
      <c r="F321" s="21"/>
      <c r="G321" s="29"/>
      <c r="H321" s="29"/>
      <c r="I321" s="21"/>
      <c r="J321" s="30" t="str">
        <f aca="false">IF(OR($G321="",$I321="",NOT(ISNUMBER($G321))),"",IF($I321="Maund",ROUND($G321/37.32,2),$G321))</f>
        <v/>
      </c>
      <c r="K321" s="30" t="str">
        <f aca="false">IF(OR($H321="",$I321="",NOT(ISNUMBER($H321))),"",IF($I321="Maund",ROUND($H321/37.32,2),$H321))</f>
        <v/>
      </c>
      <c r="L321" s="29"/>
      <c r="M321" s="21"/>
      <c r="N321" s="30" t="str">
        <f aca="false">IF(OR($L321="",$M321="",NOT(ISNUMBER($L321))),"",IF($M321="Maund",ROUND($L321*37.32,2),$L321))</f>
        <v/>
      </c>
      <c r="O321" s="21"/>
      <c r="P321" s="22"/>
    </row>
    <row r="322" customFormat="false" ht="19.5" hidden="false" customHeight="true" outlineLevel="0" collapsed="false">
      <c r="B322" s="28" t="s">
        <v>710</v>
      </c>
      <c r="C322" s="21"/>
      <c r="D322" s="21"/>
      <c r="E322" s="21"/>
      <c r="F322" s="21"/>
      <c r="G322" s="29"/>
      <c r="H322" s="29"/>
      <c r="I322" s="21"/>
      <c r="J322" s="30" t="str">
        <f aca="false">IF(OR($G322="",$I322="",NOT(ISNUMBER($G322))),"",IF($I322="Maund",ROUND($G322/37.32,2),$G322))</f>
        <v/>
      </c>
      <c r="K322" s="30" t="str">
        <f aca="false">IF(OR($H322="",$I322="",NOT(ISNUMBER($H322))),"",IF($I322="Maund",ROUND($H322/37.32,2),$H322))</f>
        <v/>
      </c>
      <c r="L322" s="29"/>
      <c r="M322" s="21"/>
      <c r="N322" s="30" t="str">
        <f aca="false">IF(OR($L322="",$M322="",NOT(ISNUMBER($L322))),"",IF($M322="Maund",ROUND($L322*37.32,2),$L322))</f>
        <v/>
      </c>
      <c r="O322" s="21"/>
      <c r="P322" s="22"/>
    </row>
    <row r="323" customFormat="false" ht="19.5" hidden="false" customHeight="true" outlineLevel="0" collapsed="false">
      <c r="B323" s="28" t="s">
        <v>711</v>
      </c>
      <c r="C323" s="21"/>
      <c r="D323" s="21"/>
      <c r="E323" s="21"/>
      <c r="F323" s="21"/>
      <c r="G323" s="29"/>
      <c r="H323" s="29"/>
      <c r="I323" s="21"/>
      <c r="J323" s="30" t="str">
        <f aca="false">IF(OR($G323="",$I323="",NOT(ISNUMBER($G323))),"",IF($I323="Maund",ROUND($G323/37.32,2),$G323))</f>
        <v/>
      </c>
      <c r="K323" s="30" t="str">
        <f aca="false">IF(OR($H323="",$I323="",NOT(ISNUMBER($H323))),"",IF($I323="Maund",ROUND($H323/37.32,2),$H323))</f>
        <v/>
      </c>
      <c r="L323" s="29"/>
      <c r="M323" s="21"/>
      <c r="N323" s="30" t="str">
        <f aca="false">IF(OR($L323="",$M323="",NOT(ISNUMBER($L323))),"",IF($M323="Maund",ROUND($L323*37.32,2),$L323))</f>
        <v/>
      </c>
      <c r="O323" s="21"/>
      <c r="P323" s="22"/>
    </row>
    <row r="324" customFormat="false" ht="19.5" hidden="false" customHeight="true" outlineLevel="0" collapsed="false">
      <c r="B324" s="28" t="s">
        <v>712</v>
      </c>
      <c r="C324" s="21"/>
      <c r="D324" s="21"/>
      <c r="E324" s="21"/>
      <c r="F324" s="21"/>
      <c r="G324" s="29"/>
      <c r="H324" s="29"/>
      <c r="I324" s="21"/>
      <c r="J324" s="30" t="str">
        <f aca="false">IF(OR($G324="",$I324="",NOT(ISNUMBER($G324))),"",IF($I324="Maund",ROUND($G324/37.32,2),$G324))</f>
        <v/>
      </c>
      <c r="K324" s="30" t="str">
        <f aca="false">IF(OR($H324="",$I324="",NOT(ISNUMBER($H324))),"",IF($I324="Maund",ROUND($H324/37.32,2),$H324))</f>
        <v/>
      </c>
      <c r="L324" s="29"/>
      <c r="M324" s="21"/>
      <c r="N324" s="30" t="str">
        <f aca="false">IF(OR($L324="",$M324="",NOT(ISNUMBER($L324))),"",IF($M324="Maund",ROUND($L324*37.32,2),$L324))</f>
        <v/>
      </c>
      <c r="O324" s="21"/>
      <c r="P324" s="22"/>
    </row>
    <row r="325" customFormat="false" ht="19.5" hidden="false" customHeight="true" outlineLevel="0" collapsed="false">
      <c r="B325" s="28" t="s">
        <v>713</v>
      </c>
      <c r="C325" s="21"/>
      <c r="D325" s="21"/>
      <c r="E325" s="21"/>
      <c r="F325" s="21"/>
      <c r="G325" s="29"/>
      <c r="H325" s="29"/>
      <c r="I325" s="21"/>
      <c r="J325" s="30" t="str">
        <f aca="false">IF(OR($G325="",$I325="",NOT(ISNUMBER($G325))),"",IF($I325="Maund",ROUND($G325/37.32,2),$G325))</f>
        <v/>
      </c>
      <c r="K325" s="30" t="str">
        <f aca="false">IF(OR($H325="",$I325="",NOT(ISNUMBER($H325))),"",IF($I325="Maund",ROUND($H325/37.32,2),$H325))</f>
        <v/>
      </c>
      <c r="L325" s="29"/>
      <c r="M325" s="21"/>
      <c r="N325" s="30" t="str">
        <f aca="false">IF(OR($L325="",$M325="",NOT(ISNUMBER($L325))),"",IF($M325="Maund",ROUND($L325*37.32,2),$L325))</f>
        <v/>
      </c>
      <c r="O325" s="21"/>
      <c r="P325" s="22"/>
    </row>
    <row r="326" customFormat="false" ht="19.5" hidden="false" customHeight="true" outlineLevel="0" collapsed="false">
      <c r="B326" s="28" t="s">
        <v>714</v>
      </c>
      <c r="C326" s="21"/>
      <c r="D326" s="21"/>
      <c r="E326" s="21"/>
      <c r="F326" s="21"/>
      <c r="G326" s="29"/>
      <c r="H326" s="29"/>
      <c r="I326" s="21"/>
      <c r="J326" s="30" t="str">
        <f aca="false">IF(OR($G326="",$I326="",NOT(ISNUMBER($G326))),"",IF($I326="Maund",ROUND($G326/37.32,2),$G326))</f>
        <v/>
      </c>
      <c r="K326" s="30" t="str">
        <f aca="false">IF(OR($H326="",$I326="",NOT(ISNUMBER($H326))),"",IF($I326="Maund",ROUND($H326/37.32,2),$H326))</f>
        <v/>
      </c>
      <c r="L326" s="29"/>
      <c r="M326" s="21"/>
      <c r="N326" s="30" t="str">
        <f aca="false">IF(OR($L326="",$M326="",NOT(ISNUMBER($L326))),"",IF($M326="Maund",ROUND($L326*37.32,2),$L326))</f>
        <v/>
      </c>
      <c r="O326" s="21"/>
      <c r="P326" s="22"/>
    </row>
    <row r="327" customFormat="false" ht="19.5" hidden="false" customHeight="true" outlineLevel="0" collapsed="false">
      <c r="B327" s="28" t="s">
        <v>715</v>
      </c>
      <c r="C327" s="21"/>
      <c r="D327" s="21"/>
      <c r="E327" s="21"/>
      <c r="F327" s="21"/>
      <c r="G327" s="29"/>
      <c r="H327" s="29"/>
      <c r="I327" s="21"/>
      <c r="J327" s="30" t="str">
        <f aca="false">IF(OR($G327="",$I327="",NOT(ISNUMBER($G327))),"",IF($I327="Maund",ROUND($G327/37.32,2),$G327))</f>
        <v/>
      </c>
      <c r="K327" s="30" t="str">
        <f aca="false">IF(OR($H327="",$I327="",NOT(ISNUMBER($H327))),"",IF($I327="Maund",ROUND($H327/37.32,2),$H327))</f>
        <v/>
      </c>
      <c r="L327" s="29"/>
      <c r="M327" s="21"/>
      <c r="N327" s="30" t="str">
        <f aca="false">IF(OR($L327="",$M327="",NOT(ISNUMBER($L327))),"",IF($M327="Maund",ROUND($L327*37.32,2),$L327))</f>
        <v/>
      </c>
      <c r="O327" s="21"/>
      <c r="P327" s="22"/>
    </row>
    <row r="328" customFormat="false" ht="19.5" hidden="false" customHeight="true" outlineLevel="0" collapsed="false">
      <c r="B328" s="28" t="s">
        <v>716</v>
      </c>
      <c r="C328" s="21"/>
      <c r="D328" s="21"/>
      <c r="E328" s="21"/>
      <c r="F328" s="21"/>
      <c r="G328" s="29"/>
      <c r="H328" s="29"/>
      <c r="I328" s="21"/>
      <c r="J328" s="30" t="str">
        <f aca="false">IF(OR($G328="",$I328="",NOT(ISNUMBER($G328))),"",IF($I328="Maund",ROUND($G328/37.32,2),$G328))</f>
        <v/>
      </c>
      <c r="K328" s="30" t="str">
        <f aca="false">IF(OR($H328="",$I328="",NOT(ISNUMBER($H328))),"",IF($I328="Maund",ROUND($H328/37.32,2),$H328))</f>
        <v/>
      </c>
      <c r="L328" s="29"/>
      <c r="M328" s="21"/>
      <c r="N328" s="30" t="str">
        <f aca="false">IF(OR($L328="",$M328="",NOT(ISNUMBER($L328))),"",IF($M328="Maund",ROUND($L328*37.32,2),$L328))</f>
        <v/>
      </c>
      <c r="O328" s="21"/>
      <c r="P328" s="22"/>
    </row>
    <row r="329" customFormat="false" ht="19.5" hidden="false" customHeight="true" outlineLevel="0" collapsed="false">
      <c r="B329" s="28" t="s">
        <v>717</v>
      </c>
      <c r="C329" s="21"/>
      <c r="D329" s="21"/>
      <c r="E329" s="21"/>
      <c r="F329" s="21"/>
      <c r="G329" s="29"/>
      <c r="H329" s="29"/>
      <c r="I329" s="21"/>
      <c r="J329" s="30" t="str">
        <f aca="false">IF(OR($G329="",$I329="",NOT(ISNUMBER($G329))),"",IF($I329="Maund",ROUND($G329/37.32,2),$G329))</f>
        <v/>
      </c>
      <c r="K329" s="30" t="str">
        <f aca="false">IF(OR($H329="",$I329="",NOT(ISNUMBER($H329))),"",IF($I329="Maund",ROUND($H329/37.32,2),$H329))</f>
        <v/>
      </c>
      <c r="L329" s="29"/>
      <c r="M329" s="21"/>
      <c r="N329" s="30" t="str">
        <f aca="false">IF(OR($L329="",$M329="",NOT(ISNUMBER($L329))),"",IF($M329="Maund",ROUND($L329*37.32,2),$L329))</f>
        <v/>
      </c>
      <c r="O329" s="21"/>
      <c r="P329" s="22"/>
    </row>
    <row r="330" customFormat="false" ht="19.5" hidden="false" customHeight="true" outlineLevel="0" collapsed="false">
      <c r="B330" s="28" t="s">
        <v>718</v>
      </c>
      <c r="C330" s="21"/>
      <c r="D330" s="21"/>
      <c r="E330" s="21"/>
      <c r="F330" s="21"/>
      <c r="G330" s="29"/>
      <c r="H330" s="29"/>
      <c r="I330" s="21"/>
      <c r="J330" s="30" t="str">
        <f aca="false">IF(OR($G330="",$I330="",NOT(ISNUMBER($G330))),"",IF($I330="Maund",ROUND($G330/37.32,2),$G330))</f>
        <v/>
      </c>
      <c r="K330" s="30" t="str">
        <f aca="false">IF(OR($H330="",$I330="",NOT(ISNUMBER($H330))),"",IF($I330="Maund",ROUND($H330/37.32,2),$H330))</f>
        <v/>
      </c>
      <c r="L330" s="29"/>
      <c r="M330" s="21"/>
      <c r="N330" s="30" t="str">
        <f aca="false">IF(OR($L330="",$M330="",NOT(ISNUMBER($L330))),"",IF($M330="Maund",ROUND($L330*37.32,2),$L330))</f>
        <v/>
      </c>
      <c r="O330" s="21"/>
      <c r="P330" s="22"/>
    </row>
    <row r="331" customFormat="false" ht="19.5" hidden="false" customHeight="true" outlineLevel="0" collapsed="false">
      <c r="B331" s="28" t="s">
        <v>719</v>
      </c>
      <c r="C331" s="21"/>
      <c r="D331" s="21"/>
      <c r="E331" s="21"/>
      <c r="F331" s="21"/>
      <c r="G331" s="29"/>
      <c r="H331" s="29"/>
      <c r="I331" s="21"/>
      <c r="J331" s="30" t="str">
        <f aca="false">IF(OR($G331="",$I331="",NOT(ISNUMBER($G331))),"",IF($I331="Maund",ROUND($G331/37.32,2),$G331))</f>
        <v/>
      </c>
      <c r="K331" s="30" t="str">
        <f aca="false">IF(OR($H331="",$I331="",NOT(ISNUMBER($H331))),"",IF($I331="Maund",ROUND($H331/37.32,2),$H331))</f>
        <v/>
      </c>
      <c r="L331" s="29"/>
      <c r="M331" s="21"/>
      <c r="N331" s="30" t="str">
        <f aca="false">IF(OR($L331="",$M331="",NOT(ISNUMBER($L331))),"",IF($M331="Maund",ROUND($L331*37.32,2),$L331))</f>
        <v/>
      </c>
      <c r="O331" s="21"/>
      <c r="P331" s="22"/>
    </row>
    <row r="332" customFormat="false" ht="19.5" hidden="false" customHeight="true" outlineLevel="0" collapsed="false">
      <c r="B332" s="28" t="s">
        <v>720</v>
      </c>
      <c r="C332" s="21"/>
      <c r="D332" s="21"/>
      <c r="E332" s="21"/>
      <c r="F332" s="21"/>
      <c r="G332" s="29"/>
      <c r="H332" s="29"/>
      <c r="I332" s="21"/>
      <c r="J332" s="30" t="str">
        <f aca="false">IF(OR($G332="",$I332="",NOT(ISNUMBER($G332))),"",IF($I332="Maund",ROUND($G332/37.32,2),$G332))</f>
        <v/>
      </c>
      <c r="K332" s="30" t="str">
        <f aca="false">IF(OR($H332="",$I332="",NOT(ISNUMBER($H332))),"",IF($I332="Maund",ROUND($H332/37.32,2),$H332))</f>
        <v/>
      </c>
      <c r="L332" s="29"/>
      <c r="M332" s="21"/>
      <c r="N332" s="30" t="str">
        <f aca="false">IF(OR($L332="",$M332="",NOT(ISNUMBER($L332))),"",IF($M332="Maund",ROUND($L332*37.32,2),$L332))</f>
        <v/>
      </c>
      <c r="O332" s="21"/>
      <c r="P332" s="22"/>
    </row>
    <row r="333" customFormat="false" ht="19.5" hidden="false" customHeight="true" outlineLevel="0" collapsed="false">
      <c r="B333" s="28" t="s">
        <v>721</v>
      </c>
      <c r="C333" s="21"/>
      <c r="D333" s="21"/>
      <c r="E333" s="21"/>
      <c r="F333" s="21"/>
      <c r="G333" s="29"/>
      <c r="H333" s="29"/>
      <c r="I333" s="21"/>
      <c r="J333" s="30" t="str">
        <f aca="false">IF(OR($G333="",$I333="",NOT(ISNUMBER($G333))),"",IF($I333="Maund",ROUND($G333/37.32,2),$G333))</f>
        <v/>
      </c>
      <c r="K333" s="30" t="str">
        <f aca="false">IF(OR($H333="",$I333="",NOT(ISNUMBER($H333))),"",IF($I333="Maund",ROUND($H333/37.32,2),$H333))</f>
        <v/>
      </c>
      <c r="L333" s="29"/>
      <c r="M333" s="21"/>
      <c r="N333" s="30" t="str">
        <f aca="false">IF(OR($L333="",$M333="",NOT(ISNUMBER($L333))),"",IF($M333="Maund",ROUND($L333*37.32,2),$L333))</f>
        <v/>
      </c>
      <c r="O333" s="21"/>
      <c r="P333" s="22"/>
    </row>
    <row r="334" customFormat="false" ht="19.5" hidden="false" customHeight="true" outlineLevel="0" collapsed="false">
      <c r="B334" s="28" t="s">
        <v>722</v>
      </c>
      <c r="C334" s="21"/>
      <c r="D334" s="21"/>
      <c r="E334" s="21"/>
      <c r="F334" s="21"/>
      <c r="G334" s="29"/>
      <c r="H334" s="29"/>
      <c r="I334" s="21"/>
      <c r="J334" s="30" t="str">
        <f aca="false">IF(OR($G334="",$I334="",NOT(ISNUMBER($G334))),"",IF($I334="Maund",ROUND($G334/37.32,2),$G334))</f>
        <v/>
      </c>
      <c r="K334" s="30" t="str">
        <f aca="false">IF(OR($H334="",$I334="",NOT(ISNUMBER($H334))),"",IF($I334="Maund",ROUND($H334/37.32,2),$H334))</f>
        <v/>
      </c>
      <c r="L334" s="29"/>
      <c r="M334" s="21"/>
      <c r="N334" s="30" t="str">
        <f aca="false">IF(OR($L334="",$M334="",NOT(ISNUMBER($L334))),"",IF($M334="Maund",ROUND($L334*37.32,2),$L334))</f>
        <v/>
      </c>
      <c r="O334" s="21"/>
      <c r="P334" s="22"/>
    </row>
    <row r="335" customFormat="false" ht="19.5" hidden="false" customHeight="true" outlineLevel="0" collapsed="false">
      <c r="B335" s="28" t="s">
        <v>723</v>
      </c>
      <c r="C335" s="21"/>
      <c r="D335" s="21"/>
      <c r="E335" s="21"/>
      <c r="F335" s="21"/>
      <c r="G335" s="29"/>
      <c r="H335" s="29"/>
      <c r="I335" s="21"/>
      <c r="J335" s="30" t="str">
        <f aca="false">IF(OR($G335="",$I335="",NOT(ISNUMBER($G335))),"",IF($I335="Maund",ROUND($G335/37.32,2),$G335))</f>
        <v/>
      </c>
      <c r="K335" s="30" t="str">
        <f aca="false">IF(OR($H335="",$I335="",NOT(ISNUMBER($H335))),"",IF($I335="Maund",ROUND($H335/37.32,2),$H335))</f>
        <v/>
      </c>
      <c r="L335" s="29"/>
      <c r="M335" s="21"/>
      <c r="N335" s="30" t="str">
        <f aca="false">IF(OR($L335="",$M335="",NOT(ISNUMBER($L335))),"",IF($M335="Maund",ROUND($L335*37.32,2),$L335))</f>
        <v/>
      </c>
      <c r="O335" s="21"/>
      <c r="P335" s="22"/>
    </row>
    <row r="336" customFormat="false" ht="19.5" hidden="false" customHeight="true" outlineLevel="0" collapsed="false">
      <c r="B336" s="28" t="s">
        <v>724</v>
      </c>
      <c r="C336" s="21"/>
      <c r="D336" s="21"/>
      <c r="E336" s="21"/>
      <c r="F336" s="21"/>
      <c r="G336" s="29"/>
      <c r="H336" s="29"/>
      <c r="I336" s="21"/>
      <c r="J336" s="30" t="str">
        <f aca="false">IF(OR($G336="",$I336="",NOT(ISNUMBER($G336))),"",IF($I336="Maund",ROUND($G336/37.32,2),$G336))</f>
        <v/>
      </c>
      <c r="K336" s="30" t="str">
        <f aca="false">IF(OR($H336="",$I336="",NOT(ISNUMBER($H336))),"",IF($I336="Maund",ROUND($H336/37.32,2),$H336))</f>
        <v/>
      </c>
      <c r="L336" s="29"/>
      <c r="M336" s="21"/>
      <c r="N336" s="30" t="str">
        <f aca="false">IF(OR($L336="",$M336="",NOT(ISNUMBER($L336))),"",IF($M336="Maund",ROUND($L336*37.32,2),$L336))</f>
        <v/>
      </c>
      <c r="O336" s="21"/>
      <c r="P336" s="22"/>
    </row>
    <row r="337" customFormat="false" ht="19.5" hidden="false" customHeight="true" outlineLevel="0" collapsed="false">
      <c r="B337" s="28" t="s">
        <v>725</v>
      </c>
      <c r="C337" s="21"/>
      <c r="D337" s="21"/>
      <c r="E337" s="21"/>
      <c r="F337" s="21"/>
      <c r="G337" s="29"/>
      <c r="H337" s="29"/>
      <c r="I337" s="21"/>
      <c r="J337" s="30" t="str">
        <f aca="false">IF(OR($G337="",$I337="",NOT(ISNUMBER($G337))),"",IF($I337="Maund",ROUND($G337/37.32,2),$G337))</f>
        <v/>
      </c>
      <c r="K337" s="30" t="str">
        <f aca="false">IF(OR($H337="",$I337="",NOT(ISNUMBER($H337))),"",IF($I337="Maund",ROUND($H337/37.32,2),$H337))</f>
        <v/>
      </c>
      <c r="L337" s="29"/>
      <c r="M337" s="21"/>
      <c r="N337" s="30" t="str">
        <f aca="false">IF(OR($L337="",$M337="",NOT(ISNUMBER($L337))),"",IF($M337="Maund",ROUND($L337*37.32,2),$L337))</f>
        <v/>
      </c>
      <c r="O337" s="21"/>
      <c r="P337" s="22"/>
    </row>
    <row r="338" customFormat="false" ht="19.5" hidden="false" customHeight="true" outlineLevel="0" collapsed="false">
      <c r="B338" s="28" t="s">
        <v>726</v>
      </c>
      <c r="C338" s="21"/>
      <c r="D338" s="21"/>
      <c r="E338" s="21"/>
      <c r="F338" s="21"/>
      <c r="G338" s="29"/>
      <c r="H338" s="29"/>
      <c r="I338" s="21"/>
      <c r="J338" s="30" t="str">
        <f aca="false">IF(OR($G338="",$I338="",NOT(ISNUMBER($G338))),"",IF($I338="Maund",ROUND($G338/37.32,2),$G338))</f>
        <v/>
      </c>
      <c r="K338" s="30" t="str">
        <f aca="false">IF(OR($H338="",$I338="",NOT(ISNUMBER($H338))),"",IF($I338="Maund",ROUND($H338/37.32,2),$H338))</f>
        <v/>
      </c>
      <c r="L338" s="29"/>
      <c r="M338" s="21"/>
      <c r="N338" s="30" t="str">
        <f aca="false">IF(OR($L338="",$M338="",NOT(ISNUMBER($L338))),"",IF($M338="Maund",ROUND($L338*37.32,2),$L338))</f>
        <v/>
      </c>
      <c r="O338" s="21"/>
      <c r="P338" s="22"/>
    </row>
    <row r="339" customFormat="false" ht="19.5" hidden="false" customHeight="true" outlineLevel="0" collapsed="false">
      <c r="B339" s="28" t="s">
        <v>727</v>
      </c>
      <c r="C339" s="21"/>
      <c r="D339" s="21"/>
      <c r="E339" s="21"/>
      <c r="F339" s="21"/>
      <c r="G339" s="29"/>
      <c r="H339" s="29"/>
      <c r="I339" s="21"/>
      <c r="J339" s="30" t="str">
        <f aca="false">IF(OR($G339="",$I339="",NOT(ISNUMBER($G339))),"",IF($I339="Maund",ROUND($G339/37.32,2),$G339))</f>
        <v/>
      </c>
      <c r="K339" s="30" t="str">
        <f aca="false">IF(OR($H339="",$I339="",NOT(ISNUMBER($H339))),"",IF($I339="Maund",ROUND($H339/37.32,2),$H339))</f>
        <v/>
      </c>
      <c r="L339" s="29"/>
      <c r="M339" s="21"/>
      <c r="N339" s="30" t="str">
        <f aca="false">IF(OR($L339="",$M339="",NOT(ISNUMBER($L339))),"",IF($M339="Maund",ROUND($L339*37.32,2),$L339))</f>
        <v/>
      </c>
      <c r="O339" s="21"/>
      <c r="P339" s="22"/>
    </row>
    <row r="340" customFormat="false" ht="19.5" hidden="false" customHeight="true" outlineLevel="0" collapsed="false">
      <c r="B340" s="28" t="s">
        <v>728</v>
      </c>
      <c r="C340" s="21"/>
      <c r="D340" s="21"/>
      <c r="E340" s="21"/>
      <c r="F340" s="21"/>
      <c r="G340" s="29"/>
      <c r="H340" s="29"/>
      <c r="I340" s="21"/>
      <c r="J340" s="30" t="str">
        <f aca="false">IF(OR($G340="",$I340="",NOT(ISNUMBER($G340))),"",IF($I340="Maund",ROUND($G340/37.32,2),$G340))</f>
        <v/>
      </c>
      <c r="K340" s="30" t="str">
        <f aca="false">IF(OR($H340="",$I340="",NOT(ISNUMBER($H340))),"",IF($I340="Maund",ROUND($H340/37.32,2),$H340))</f>
        <v/>
      </c>
      <c r="L340" s="29"/>
      <c r="M340" s="21"/>
      <c r="N340" s="30" t="str">
        <f aca="false">IF(OR($L340="",$M340="",NOT(ISNUMBER($L340))),"",IF($M340="Maund",ROUND($L340*37.32,2),$L340))</f>
        <v/>
      </c>
      <c r="O340" s="21"/>
      <c r="P340" s="22"/>
    </row>
    <row r="341" customFormat="false" ht="19.5" hidden="false" customHeight="true" outlineLevel="0" collapsed="false">
      <c r="B341" s="28" t="s">
        <v>729</v>
      </c>
      <c r="C341" s="21"/>
      <c r="D341" s="21"/>
      <c r="E341" s="21"/>
      <c r="F341" s="21"/>
      <c r="G341" s="29"/>
      <c r="H341" s="29"/>
      <c r="I341" s="21"/>
      <c r="J341" s="30" t="str">
        <f aca="false">IF(OR($G341="",$I341="",NOT(ISNUMBER($G341))),"",IF($I341="Maund",ROUND($G341/37.32,2),$G341))</f>
        <v/>
      </c>
      <c r="K341" s="30" t="str">
        <f aca="false">IF(OR($H341="",$I341="",NOT(ISNUMBER($H341))),"",IF($I341="Maund",ROUND($H341/37.32,2),$H341))</f>
        <v/>
      </c>
      <c r="L341" s="29"/>
      <c r="M341" s="21"/>
      <c r="N341" s="30" t="str">
        <f aca="false">IF(OR($L341="",$M341="",NOT(ISNUMBER($L341))),"",IF($M341="Maund",ROUND($L341*37.32,2),$L341))</f>
        <v/>
      </c>
      <c r="O341" s="21"/>
      <c r="P341" s="22"/>
    </row>
    <row r="342" customFormat="false" ht="19.5" hidden="false" customHeight="true" outlineLevel="0" collapsed="false">
      <c r="B342" s="28" t="s">
        <v>730</v>
      </c>
      <c r="C342" s="21"/>
      <c r="D342" s="21"/>
      <c r="E342" s="21"/>
      <c r="F342" s="21"/>
      <c r="G342" s="29"/>
      <c r="H342" s="29"/>
      <c r="I342" s="21"/>
      <c r="J342" s="30" t="str">
        <f aca="false">IF(OR($G342="",$I342="",NOT(ISNUMBER($G342))),"",IF($I342="Maund",ROUND($G342/37.32,2),$G342))</f>
        <v/>
      </c>
      <c r="K342" s="30" t="str">
        <f aca="false">IF(OR($H342="",$I342="",NOT(ISNUMBER($H342))),"",IF($I342="Maund",ROUND($H342/37.32,2),$H342))</f>
        <v/>
      </c>
      <c r="L342" s="29"/>
      <c r="M342" s="21"/>
      <c r="N342" s="30" t="str">
        <f aca="false">IF(OR($L342="",$M342="",NOT(ISNUMBER($L342))),"",IF($M342="Maund",ROUND($L342*37.32,2),$L342))</f>
        <v/>
      </c>
      <c r="O342" s="21"/>
      <c r="P342" s="22"/>
    </row>
    <row r="343" customFormat="false" ht="19.5" hidden="false" customHeight="true" outlineLevel="0" collapsed="false">
      <c r="B343" s="28" t="s">
        <v>731</v>
      </c>
      <c r="C343" s="21"/>
      <c r="D343" s="21"/>
      <c r="E343" s="21"/>
      <c r="F343" s="21"/>
      <c r="G343" s="29"/>
      <c r="H343" s="29"/>
      <c r="I343" s="21"/>
      <c r="J343" s="30" t="str">
        <f aca="false">IF(OR($G343="",$I343="",NOT(ISNUMBER($G343))),"",IF($I343="Maund",ROUND($G343/37.32,2),$G343))</f>
        <v/>
      </c>
      <c r="K343" s="30" t="str">
        <f aca="false">IF(OR($H343="",$I343="",NOT(ISNUMBER($H343))),"",IF($I343="Maund",ROUND($H343/37.32,2),$H343))</f>
        <v/>
      </c>
      <c r="L343" s="29"/>
      <c r="M343" s="21"/>
      <c r="N343" s="30" t="str">
        <f aca="false">IF(OR($L343="",$M343="",NOT(ISNUMBER($L343))),"",IF($M343="Maund",ROUND($L343*37.32,2),$L343))</f>
        <v/>
      </c>
      <c r="O343" s="21"/>
      <c r="P343" s="22"/>
    </row>
    <row r="344" customFormat="false" ht="19.5" hidden="false" customHeight="true" outlineLevel="0" collapsed="false">
      <c r="B344" s="28" t="s">
        <v>732</v>
      </c>
      <c r="C344" s="21"/>
      <c r="D344" s="21"/>
      <c r="E344" s="21"/>
      <c r="F344" s="21"/>
      <c r="G344" s="29"/>
      <c r="H344" s="29"/>
      <c r="I344" s="21"/>
      <c r="J344" s="30" t="str">
        <f aca="false">IF(OR($G344="",$I344="",NOT(ISNUMBER($G344))),"",IF($I344="Maund",ROUND($G344/37.32,2),$G344))</f>
        <v/>
      </c>
      <c r="K344" s="30" t="str">
        <f aca="false">IF(OR($H344="",$I344="",NOT(ISNUMBER($H344))),"",IF($I344="Maund",ROUND($H344/37.32,2),$H344))</f>
        <v/>
      </c>
      <c r="L344" s="29"/>
      <c r="M344" s="21"/>
      <c r="N344" s="30" t="str">
        <f aca="false">IF(OR($L344="",$M344="",NOT(ISNUMBER($L344))),"",IF($M344="Maund",ROUND($L344*37.32,2),$L344))</f>
        <v/>
      </c>
      <c r="O344" s="21"/>
      <c r="P344" s="22"/>
    </row>
    <row r="345" customFormat="false" ht="19.5" hidden="false" customHeight="true" outlineLevel="0" collapsed="false">
      <c r="B345" s="28" t="s">
        <v>733</v>
      </c>
      <c r="C345" s="21"/>
      <c r="D345" s="21"/>
      <c r="E345" s="21"/>
      <c r="F345" s="21"/>
      <c r="G345" s="29"/>
      <c r="H345" s="29"/>
      <c r="I345" s="21"/>
      <c r="J345" s="30" t="str">
        <f aca="false">IF(OR($G345="",$I345="",NOT(ISNUMBER($G345))),"",IF($I345="Maund",ROUND($G345/37.32,2),$G345))</f>
        <v/>
      </c>
      <c r="K345" s="30" t="str">
        <f aca="false">IF(OR($H345="",$I345="",NOT(ISNUMBER($H345))),"",IF($I345="Maund",ROUND($H345/37.32,2),$H345))</f>
        <v/>
      </c>
      <c r="L345" s="29"/>
      <c r="M345" s="21"/>
      <c r="N345" s="30" t="str">
        <f aca="false">IF(OR($L345="",$M345="",NOT(ISNUMBER($L345))),"",IF($M345="Maund",ROUND($L345*37.32,2),$L345))</f>
        <v/>
      </c>
      <c r="O345" s="21"/>
      <c r="P345" s="22"/>
    </row>
    <row r="346" customFormat="false" ht="19.5" hidden="false" customHeight="true" outlineLevel="0" collapsed="false">
      <c r="B346" s="28" t="s">
        <v>734</v>
      </c>
      <c r="C346" s="21"/>
      <c r="D346" s="21"/>
      <c r="E346" s="21"/>
      <c r="F346" s="21"/>
      <c r="G346" s="29"/>
      <c r="H346" s="29"/>
      <c r="I346" s="21"/>
      <c r="J346" s="30" t="str">
        <f aca="false">IF(OR($G346="",$I346="",NOT(ISNUMBER($G346))),"",IF($I346="Maund",ROUND($G346/37.32,2),$G346))</f>
        <v/>
      </c>
      <c r="K346" s="30" t="str">
        <f aca="false">IF(OR($H346="",$I346="",NOT(ISNUMBER($H346))),"",IF($I346="Maund",ROUND($H346/37.32,2),$H346))</f>
        <v/>
      </c>
      <c r="L346" s="29"/>
      <c r="M346" s="21"/>
      <c r="N346" s="30" t="str">
        <f aca="false">IF(OR($L346="",$M346="",NOT(ISNUMBER($L346))),"",IF($M346="Maund",ROUND($L346*37.32,2),$L346))</f>
        <v/>
      </c>
      <c r="O346" s="21"/>
      <c r="P346" s="22"/>
    </row>
    <row r="347" customFormat="false" ht="19.5" hidden="false" customHeight="true" outlineLevel="0" collapsed="false">
      <c r="B347" s="28" t="s">
        <v>735</v>
      </c>
      <c r="C347" s="21"/>
      <c r="D347" s="21"/>
      <c r="E347" s="21"/>
      <c r="F347" s="21"/>
      <c r="G347" s="29"/>
      <c r="H347" s="29"/>
      <c r="I347" s="21"/>
      <c r="J347" s="30" t="str">
        <f aca="false">IF(OR($G347="",$I347="",NOT(ISNUMBER($G347))),"",IF($I347="Maund",ROUND($G347/37.32,2),$G347))</f>
        <v/>
      </c>
      <c r="K347" s="30" t="str">
        <f aca="false">IF(OR($H347="",$I347="",NOT(ISNUMBER($H347))),"",IF($I347="Maund",ROUND($H347/37.32,2),$H347))</f>
        <v/>
      </c>
      <c r="L347" s="29"/>
      <c r="M347" s="21"/>
      <c r="N347" s="30" t="str">
        <f aca="false">IF(OR($L347="",$M347="",NOT(ISNUMBER($L347))),"",IF($M347="Maund",ROUND($L347*37.32,2),$L347))</f>
        <v/>
      </c>
      <c r="O347" s="21"/>
      <c r="P347" s="22"/>
    </row>
    <row r="348" customFormat="false" ht="19.5" hidden="false" customHeight="true" outlineLevel="0" collapsed="false">
      <c r="B348" s="28" t="s">
        <v>736</v>
      </c>
      <c r="C348" s="21"/>
      <c r="D348" s="21"/>
      <c r="E348" s="21"/>
      <c r="F348" s="21"/>
      <c r="G348" s="29"/>
      <c r="H348" s="29"/>
      <c r="I348" s="21"/>
      <c r="J348" s="30" t="str">
        <f aca="false">IF(OR($G348="",$I348="",NOT(ISNUMBER($G348))),"",IF($I348="Maund",ROUND($G348/37.32,2),$G348))</f>
        <v/>
      </c>
      <c r="K348" s="30" t="str">
        <f aca="false">IF(OR($H348="",$I348="",NOT(ISNUMBER($H348))),"",IF($I348="Maund",ROUND($H348/37.32,2),$H348))</f>
        <v/>
      </c>
      <c r="L348" s="29"/>
      <c r="M348" s="21"/>
      <c r="N348" s="30" t="str">
        <f aca="false">IF(OR($L348="",$M348="",NOT(ISNUMBER($L348))),"",IF($M348="Maund",ROUND($L348*37.32,2),$L348))</f>
        <v/>
      </c>
      <c r="O348" s="21"/>
      <c r="P348" s="22"/>
    </row>
    <row r="349" customFormat="false" ht="19.5" hidden="false" customHeight="true" outlineLevel="0" collapsed="false">
      <c r="B349" s="28" t="s">
        <v>737</v>
      </c>
      <c r="C349" s="21"/>
      <c r="D349" s="21"/>
      <c r="E349" s="21"/>
      <c r="F349" s="21"/>
      <c r="G349" s="29"/>
      <c r="H349" s="29"/>
      <c r="I349" s="21"/>
      <c r="J349" s="30" t="str">
        <f aca="false">IF(OR($G349="",$I349="",NOT(ISNUMBER($G349))),"",IF($I349="Maund",ROUND($G349/37.32,2),$G349))</f>
        <v/>
      </c>
      <c r="K349" s="30" t="str">
        <f aca="false">IF(OR($H349="",$I349="",NOT(ISNUMBER($H349))),"",IF($I349="Maund",ROUND($H349/37.32,2),$H349))</f>
        <v/>
      </c>
      <c r="L349" s="29"/>
      <c r="M349" s="21"/>
      <c r="N349" s="30" t="str">
        <f aca="false">IF(OR($L349="",$M349="",NOT(ISNUMBER($L349))),"",IF($M349="Maund",ROUND($L349*37.32,2),$L349))</f>
        <v/>
      </c>
      <c r="O349" s="21"/>
      <c r="P349" s="22"/>
    </row>
    <row r="350" customFormat="false" ht="19.5" hidden="false" customHeight="true" outlineLevel="0" collapsed="false">
      <c r="B350" s="28" t="s">
        <v>738</v>
      </c>
      <c r="C350" s="21"/>
      <c r="D350" s="21"/>
      <c r="E350" s="21"/>
      <c r="F350" s="21"/>
      <c r="G350" s="29"/>
      <c r="H350" s="29"/>
      <c r="I350" s="21"/>
      <c r="J350" s="30" t="str">
        <f aca="false">IF(OR($G350="",$I350="",NOT(ISNUMBER($G350))),"",IF($I350="Maund",ROUND($G350/37.32,2),$G350))</f>
        <v/>
      </c>
      <c r="K350" s="30" t="str">
        <f aca="false">IF(OR($H350="",$I350="",NOT(ISNUMBER($H350))),"",IF($I350="Maund",ROUND($H350/37.32,2),$H350))</f>
        <v/>
      </c>
      <c r="L350" s="29"/>
      <c r="M350" s="21"/>
      <c r="N350" s="30" t="str">
        <f aca="false">IF(OR($L350="",$M350="",NOT(ISNUMBER($L350))),"",IF($M350="Maund",ROUND($L350*37.32,2),$L350))</f>
        <v/>
      </c>
      <c r="O350" s="21"/>
      <c r="P350" s="22"/>
    </row>
    <row r="351" customFormat="false" ht="19.5" hidden="false" customHeight="true" outlineLevel="0" collapsed="false">
      <c r="B351" s="28" t="s">
        <v>739</v>
      </c>
      <c r="C351" s="21"/>
      <c r="D351" s="21"/>
      <c r="E351" s="21"/>
      <c r="F351" s="21"/>
      <c r="G351" s="29"/>
      <c r="H351" s="29"/>
      <c r="I351" s="21"/>
      <c r="J351" s="30" t="str">
        <f aca="false">IF(OR($G351="",$I351="",NOT(ISNUMBER($G351))),"",IF($I351="Maund",ROUND($G351/37.32,2),$G351))</f>
        <v/>
      </c>
      <c r="K351" s="30" t="str">
        <f aca="false">IF(OR($H351="",$I351="",NOT(ISNUMBER($H351))),"",IF($I351="Maund",ROUND($H351/37.32,2),$H351))</f>
        <v/>
      </c>
      <c r="L351" s="29"/>
      <c r="M351" s="21"/>
      <c r="N351" s="30" t="str">
        <f aca="false">IF(OR($L351="",$M351="",NOT(ISNUMBER($L351))),"",IF($M351="Maund",ROUND($L351*37.32,2),$L351))</f>
        <v/>
      </c>
      <c r="O351" s="21"/>
      <c r="P351" s="22"/>
    </row>
    <row r="352" customFormat="false" ht="19.5" hidden="false" customHeight="true" outlineLevel="0" collapsed="false">
      <c r="B352" s="28" t="s">
        <v>740</v>
      </c>
      <c r="C352" s="21"/>
      <c r="D352" s="21"/>
      <c r="E352" s="21"/>
      <c r="F352" s="21"/>
      <c r="G352" s="29"/>
      <c r="H352" s="29"/>
      <c r="I352" s="21"/>
      <c r="J352" s="30" t="str">
        <f aca="false">IF(OR($G352="",$I352="",NOT(ISNUMBER($G352))),"",IF($I352="Maund",ROUND($G352/37.32,2),$G352))</f>
        <v/>
      </c>
      <c r="K352" s="30" t="str">
        <f aca="false">IF(OR($H352="",$I352="",NOT(ISNUMBER($H352))),"",IF($I352="Maund",ROUND($H352/37.32,2),$H352))</f>
        <v/>
      </c>
      <c r="L352" s="29"/>
      <c r="M352" s="21"/>
      <c r="N352" s="30" t="str">
        <f aca="false">IF(OR($L352="",$M352="",NOT(ISNUMBER($L352))),"",IF($M352="Maund",ROUND($L352*37.32,2),$L352))</f>
        <v/>
      </c>
      <c r="O352" s="21"/>
      <c r="P352" s="22"/>
    </row>
    <row r="353" customFormat="false" ht="19.5" hidden="false" customHeight="true" outlineLevel="0" collapsed="false">
      <c r="B353" s="28" t="s">
        <v>741</v>
      </c>
      <c r="C353" s="21"/>
      <c r="D353" s="21"/>
      <c r="E353" s="21"/>
      <c r="F353" s="21"/>
      <c r="G353" s="29"/>
      <c r="H353" s="29"/>
      <c r="I353" s="21"/>
      <c r="J353" s="30" t="str">
        <f aca="false">IF(OR($G353="",$I353="",NOT(ISNUMBER($G353))),"",IF($I353="Maund",ROUND($G353/37.32,2),$G353))</f>
        <v/>
      </c>
      <c r="K353" s="30" t="str">
        <f aca="false">IF(OR($H353="",$I353="",NOT(ISNUMBER($H353))),"",IF($I353="Maund",ROUND($H353/37.32,2),$H353))</f>
        <v/>
      </c>
      <c r="L353" s="29"/>
      <c r="M353" s="21"/>
      <c r="N353" s="30" t="str">
        <f aca="false">IF(OR($L353="",$M353="",NOT(ISNUMBER($L353))),"",IF($M353="Maund",ROUND($L353*37.32,2),$L353))</f>
        <v/>
      </c>
      <c r="O353" s="21"/>
      <c r="P353" s="22"/>
    </row>
    <row r="354" customFormat="false" ht="19.5" hidden="false" customHeight="true" outlineLevel="0" collapsed="false">
      <c r="B354" s="28" t="s">
        <v>742</v>
      </c>
      <c r="C354" s="21"/>
      <c r="D354" s="21"/>
      <c r="E354" s="21"/>
      <c r="F354" s="21"/>
      <c r="G354" s="29"/>
      <c r="H354" s="29"/>
      <c r="I354" s="21"/>
      <c r="J354" s="30" t="str">
        <f aca="false">IF(OR($G354="",$I354="",NOT(ISNUMBER($G354))),"",IF($I354="Maund",ROUND($G354/37.32,2),$G354))</f>
        <v/>
      </c>
      <c r="K354" s="30" t="str">
        <f aca="false">IF(OR($H354="",$I354="",NOT(ISNUMBER($H354))),"",IF($I354="Maund",ROUND($H354/37.32,2),$H354))</f>
        <v/>
      </c>
      <c r="L354" s="29"/>
      <c r="M354" s="21"/>
      <c r="N354" s="30" t="str">
        <f aca="false">IF(OR($L354="",$M354="",NOT(ISNUMBER($L354))),"",IF($M354="Maund",ROUND($L354*37.32,2),$L354))</f>
        <v/>
      </c>
      <c r="O354" s="21"/>
      <c r="P354" s="22"/>
    </row>
    <row r="355" customFormat="false" ht="19.5" hidden="false" customHeight="true" outlineLevel="0" collapsed="false">
      <c r="B355" s="28" t="s">
        <v>743</v>
      </c>
      <c r="C355" s="21"/>
      <c r="D355" s="21"/>
      <c r="E355" s="21"/>
      <c r="F355" s="21"/>
      <c r="G355" s="29"/>
      <c r="H355" s="29"/>
      <c r="I355" s="21"/>
      <c r="J355" s="30" t="str">
        <f aca="false">IF(OR($G355="",$I355="",NOT(ISNUMBER($G355))),"",IF($I355="Maund",ROUND($G355/37.32,2),$G355))</f>
        <v/>
      </c>
      <c r="K355" s="30" t="str">
        <f aca="false">IF(OR($H355="",$I355="",NOT(ISNUMBER($H355))),"",IF($I355="Maund",ROUND($H355/37.32,2),$H355))</f>
        <v/>
      </c>
      <c r="L355" s="29"/>
      <c r="M355" s="21"/>
      <c r="N355" s="30" t="str">
        <f aca="false">IF(OR($L355="",$M355="",NOT(ISNUMBER($L355))),"",IF($M355="Maund",ROUND($L355*37.32,2),$L355))</f>
        <v/>
      </c>
      <c r="O355" s="21"/>
      <c r="P355" s="22"/>
    </row>
    <row r="356" customFormat="false" ht="19.5" hidden="false" customHeight="true" outlineLevel="0" collapsed="false">
      <c r="B356" s="28" t="s">
        <v>744</v>
      </c>
      <c r="C356" s="21"/>
      <c r="D356" s="21"/>
      <c r="E356" s="21"/>
      <c r="F356" s="21"/>
      <c r="G356" s="29"/>
      <c r="H356" s="29"/>
      <c r="I356" s="21"/>
      <c r="J356" s="30" t="str">
        <f aca="false">IF(OR($G356="",$I356="",NOT(ISNUMBER($G356))),"",IF($I356="Maund",ROUND($G356/37.32,2),$G356))</f>
        <v/>
      </c>
      <c r="K356" s="30" t="str">
        <f aca="false">IF(OR($H356="",$I356="",NOT(ISNUMBER($H356))),"",IF($I356="Maund",ROUND($H356/37.32,2),$H356))</f>
        <v/>
      </c>
      <c r="L356" s="29"/>
      <c r="M356" s="21"/>
      <c r="N356" s="30" t="str">
        <f aca="false">IF(OR($L356="",$M356="",NOT(ISNUMBER($L356))),"",IF($M356="Maund",ROUND($L356*37.32,2),$L356))</f>
        <v/>
      </c>
      <c r="O356" s="21"/>
      <c r="P356" s="22"/>
    </row>
    <row r="357" customFormat="false" ht="19.5" hidden="false" customHeight="true" outlineLevel="0" collapsed="false">
      <c r="B357" s="28" t="s">
        <v>745</v>
      </c>
      <c r="C357" s="21"/>
      <c r="D357" s="21"/>
      <c r="E357" s="21"/>
      <c r="F357" s="21"/>
      <c r="G357" s="29"/>
      <c r="H357" s="29"/>
      <c r="I357" s="21"/>
      <c r="J357" s="30" t="str">
        <f aca="false">IF(OR($G357="",$I357="",NOT(ISNUMBER($G357))),"",IF($I357="Maund",ROUND($G357/37.32,2),$G357))</f>
        <v/>
      </c>
      <c r="K357" s="30" t="str">
        <f aca="false">IF(OR($H357="",$I357="",NOT(ISNUMBER($H357))),"",IF($I357="Maund",ROUND($H357/37.32,2),$H357))</f>
        <v/>
      </c>
      <c r="L357" s="29"/>
      <c r="M357" s="21"/>
      <c r="N357" s="30" t="str">
        <f aca="false">IF(OR($L357="",$M357="",NOT(ISNUMBER($L357))),"",IF($M357="Maund",ROUND($L357*37.32,2),$L357))</f>
        <v/>
      </c>
      <c r="O357" s="21"/>
      <c r="P357" s="22"/>
    </row>
    <row r="358" customFormat="false" ht="19.5" hidden="false" customHeight="true" outlineLevel="0" collapsed="false">
      <c r="B358" s="28" t="s">
        <v>746</v>
      </c>
      <c r="C358" s="21"/>
      <c r="D358" s="21"/>
      <c r="E358" s="21"/>
      <c r="F358" s="21"/>
      <c r="G358" s="29"/>
      <c r="H358" s="29"/>
      <c r="I358" s="21"/>
      <c r="J358" s="30" t="str">
        <f aca="false">IF(OR($G358="",$I358="",NOT(ISNUMBER($G358))),"",IF($I358="Maund",ROUND($G358/37.32,2),$G358))</f>
        <v/>
      </c>
      <c r="K358" s="30" t="str">
        <f aca="false">IF(OR($H358="",$I358="",NOT(ISNUMBER($H358))),"",IF($I358="Maund",ROUND($H358/37.32,2),$H358))</f>
        <v/>
      </c>
      <c r="L358" s="29"/>
      <c r="M358" s="21"/>
      <c r="N358" s="30" t="str">
        <f aca="false">IF(OR($L358="",$M358="",NOT(ISNUMBER($L358))),"",IF($M358="Maund",ROUND($L358*37.32,2),$L358))</f>
        <v/>
      </c>
      <c r="O358" s="21"/>
      <c r="P358" s="22"/>
    </row>
    <row r="359" customFormat="false" ht="19.5" hidden="false" customHeight="true" outlineLevel="0" collapsed="false">
      <c r="B359" s="28" t="s">
        <v>747</v>
      </c>
      <c r="C359" s="21"/>
      <c r="D359" s="21"/>
      <c r="E359" s="21"/>
      <c r="F359" s="21"/>
      <c r="G359" s="29"/>
      <c r="H359" s="29"/>
      <c r="I359" s="21"/>
      <c r="J359" s="30" t="str">
        <f aca="false">IF(OR($G359="",$I359="",NOT(ISNUMBER($G359))),"",IF($I359="Maund",ROUND($G359/37.32,2),$G359))</f>
        <v/>
      </c>
      <c r="K359" s="30" t="str">
        <f aca="false">IF(OR($H359="",$I359="",NOT(ISNUMBER($H359))),"",IF($I359="Maund",ROUND($H359/37.32,2),$H359))</f>
        <v/>
      </c>
      <c r="L359" s="29"/>
      <c r="M359" s="21"/>
      <c r="N359" s="30" t="str">
        <f aca="false">IF(OR($L359="",$M359="",NOT(ISNUMBER($L359))),"",IF($M359="Maund",ROUND($L359*37.32,2),$L359))</f>
        <v/>
      </c>
      <c r="O359" s="21"/>
      <c r="P359" s="22"/>
    </row>
    <row r="360" customFormat="false" ht="19.5" hidden="false" customHeight="true" outlineLevel="0" collapsed="false">
      <c r="B360" s="28" t="s">
        <v>748</v>
      </c>
      <c r="C360" s="21"/>
      <c r="D360" s="21"/>
      <c r="E360" s="21"/>
      <c r="F360" s="21"/>
      <c r="G360" s="29"/>
      <c r="H360" s="29"/>
      <c r="I360" s="21"/>
      <c r="J360" s="30" t="str">
        <f aca="false">IF(OR($G360="",$I360="",NOT(ISNUMBER($G360))),"",IF($I360="Maund",ROUND($G360/37.32,2),$G360))</f>
        <v/>
      </c>
      <c r="K360" s="30" t="str">
        <f aca="false">IF(OR($H360="",$I360="",NOT(ISNUMBER($H360))),"",IF($I360="Maund",ROUND($H360/37.32,2),$H360))</f>
        <v/>
      </c>
      <c r="L360" s="29"/>
      <c r="M360" s="21"/>
      <c r="N360" s="30" t="str">
        <f aca="false">IF(OR($L360="",$M360="",NOT(ISNUMBER($L360))),"",IF($M360="Maund",ROUND($L360*37.32,2),$L360))</f>
        <v/>
      </c>
      <c r="O360" s="21"/>
      <c r="P360" s="22"/>
    </row>
    <row r="361" customFormat="false" ht="19.5" hidden="false" customHeight="true" outlineLevel="0" collapsed="false">
      <c r="B361" s="28" t="s">
        <v>749</v>
      </c>
      <c r="C361" s="21"/>
      <c r="D361" s="21"/>
      <c r="E361" s="21"/>
      <c r="F361" s="21"/>
      <c r="G361" s="29"/>
      <c r="H361" s="29"/>
      <c r="I361" s="21"/>
      <c r="J361" s="30" t="str">
        <f aca="false">IF(OR($G361="",$I361="",NOT(ISNUMBER($G361))),"",IF($I361="Maund",ROUND($G361/37.32,2),$G361))</f>
        <v/>
      </c>
      <c r="K361" s="30" t="str">
        <f aca="false">IF(OR($H361="",$I361="",NOT(ISNUMBER($H361))),"",IF($I361="Maund",ROUND($H361/37.32,2),$H361))</f>
        <v/>
      </c>
      <c r="L361" s="29"/>
      <c r="M361" s="21"/>
      <c r="N361" s="30" t="str">
        <f aca="false">IF(OR($L361="",$M361="",NOT(ISNUMBER($L361))),"",IF($M361="Maund",ROUND($L361*37.32,2),$L361))</f>
        <v/>
      </c>
      <c r="O361" s="21"/>
      <c r="P361" s="22"/>
    </row>
    <row r="362" customFormat="false" ht="19.5" hidden="false" customHeight="true" outlineLevel="0" collapsed="false">
      <c r="B362" s="28" t="s">
        <v>750</v>
      </c>
      <c r="C362" s="21"/>
      <c r="D362" s="21"/>
      <c r="E362" s="21"/>
      <c r="F362" s="21"/>
      <c r="G362" s="29"/>
      <c r="H362" s="29"/>
      <c r="I362" s="21"/>
      <c r="J362" s="30" t="str">
        <f aca="false">IF(OR($G362="",$I362="",NOT(ISNUMBER($G362))),"",IF($I362="Maund",ROUND($G362/37.32,2),$G362))</f>
        <v/>
      </c>
      <c r="K362" s="30" t="str">
        <f aca="false">IF(OR($H362="",$I362="",NOT(ISNUMBER($H362))),"",IF($I362="Maund",ROUND($H362/37.32,2),$H362))</f>
        <v/>
      </c>
      <c r="L362" s="29"/>
      <c r="M362" s="21"/>
      <c r="N362" s="30" t="str">
        <f aca="false">IF(OR($L362="",$M362="",NOT(ISNUMBER($L362))),"",IF($M362="Maund",ROUND($L362*37.32,2),$L362))</f>
        <v/>
      </c>
      <c r="O362" s="21"/>
      <c r="P362" s="22"/>
    </row>
    <row r="363" customFormat="false" ht="19.5" hidden="false" customHeight="true" outlineLevel="0" collapsed="false">
      <c r="B363" s="28" t="s">
        <v>751</v>
      </c>
      <c r="C363" s="21"/>
      <c r="D363" s="21"/>
      <c r="E363" s="21"/>
      <c r="F363" s="21"/>
      <c r="G363" s="29"/>
      <c r="H363" s="29"/>
      <c r="I363" s="21"/>
      <c r="J363" s="30" t="str">
        <f aca="false">IF(OR($G363="",$I363="",NOT(ISNUMBER($G363))),"",IF($I363="Maund",ROUND($G363/37.32,2),$G363))</f>
        <v/>
      </c>
      <c r="K363" s="30" t="str">
        <f aca="false">IF(OR($H363="",$I363="",NOT(ISNUMBER($H363))),"",IF($I363="Maund",ROUND($H363/37.32,2),$H363))</f>
        <v/>
      </c>
      <c r="L363" s="29"/>
      <c r="M363" s="21"/>
      <c r="N363" s="30" t="str">
        <f aca="false">IF(OR($L363="",$M363="",NOT(ISNUMBER($L363))),"",IF($M363="Maund",ROUND($L363*37.32,2),$L363))</f>
        <v/>
      </c>
      <c r="O363" s="21"/>
      <c r="P363" s="22"/>
    </row>
    <row r="364" customFormat="false" ht="19.5" hidden="false" customHeight="true" outlineLevel="0" collapsed="false">
      <c r="B364" s="28" t="s">
        <v>752</v>
      </c>
      <c r="C364" s="21"/>
      <c r="D364" s="21"/>
      <c r="E364" s="21"/>
      <c r="F364" s="21"/>
      <c r="G364" s="29"/>
      <c r="H364" s="29"/>
      <c r="I364" s="21"/>
      <c r="J364" s="30" t="str">
        <f aca="false">IF(OR($G364="",$I364="",NOT(ISNUMBER($G364))),"",IF($I364="Maund",ROUND($G364/37.32,2),$G364))</f>
        <v/>
      </c>
      <c r="K364" s="30" t="str">
        <f aca="false">IF(OR($H364="",$I364="",NOT(ISNUMBER($H364))),"",IF($I364="Maund",ROUND($H364/37.32,2),$H364))</f>
        <v/>
      </c>
      <c r="L364" s="29"/>
      <c r="M364" s="21"/>
      <c r="N364" s="30" t="str">
        <f aca="false">IF(OR($L364="",$M364="",NOT(ISNUMBER($L364))),"",IF($M364="Maund",ROUND($L364*37.32,2),$L364))</f>
        <v/>
      </c>
      <c r="O364" s="21"/>
      <c r="P364" s="22"/>
    </row>
    <row r="365" customFormat="false" ht="19.5" hidden="false" customHeight="true" outlineLevel="0" collapsed="false">
      <c r="B365" s="28" t="s">
        <v>753</v>
      </c>
      <c r="C365" s="21"/>
      <c r="D365" s="21"/>
      <c r="E365" s="21"/>
      <c r="F365" s="21"/>
      <c r="G365" s="29"/>
      <c r="H365" s="29"/>
      <c r="I365" s="21"/>
      <c r="J365" s="30" t="str">
        <f aca="false">IF(OR($G365="",$I365="",NOT(ISNUMBER($G365))),"",IF($I365="Maund",ROUND($G365/37.32,2),$G365))</f>
        <v/>
      </c>
      <c r="K365" s="30" t="str">
        <f aca="false">IF(OR($H365="",$I365="",NOT(ISNUMBER($H365))),"",IF($I365="Maund",ROUND($H365/37.32,2),$H365))</f>
        <v/>
      </c>
      <c r="L365" s="29"/>
      <c r="M365" s="21"/>
      <c r="N365" s="30" t="str">
        <f aca="false">IF(OR($L365="",$M365="",NOT(ISNUMBER($L365))),"",IF($M365="Maund",ROUND($L365*37.32,2),$L365))</f>
        <v/>
      </c>
      <c r="O365" s="21"/>
      <c r="P365" s="22"/>
    </row>
    <row r="366" customFormat="false" ht="19.5" hidden="false" customHeight="true" outlineLevel="0" collapsed="false">
      <c r="B366" s="28" t="s">
        <v>754</v>
      </c>
      <c r="C366" s="21"/>
      <c r="D366" s="21"/>
      <c r="E366" s="21"/>
      <c r="F366" s="21"/>
      <c r="G366" s="29"/>
      <c r="H366" s="29"/>
      <c r="I366" s="21"/>
      <c r="J366" s="30" t="str">
        <f aca="false">IF(OR($G366="",$I366="",NOT(ISNUMBER($G366))),"",IF($I366="Maund",ROUND($G366/37.32,2),$G366))</f>
        <v/>
      </c>
      <c r="K366" s="30" t="str">
        <f aca="false">IF(OR($H366="",$I366="",NOT(ISNUMBER($H366))),"",IF($I366="Maund",ROUND($H366/37.32,2),$H366))</f>
        <v/>
      </c>
      <c r="L366" s="29"/>
      <c r="M366" s="21"/>
      <c r="N366" s="30" t="str">
        <f aca="false">IF(OR($L366="",$M366="",NOT(ISNUMBER($L366))),"",IF($M366="Maund",ROUND($L366*37.32,2),$L366))</f>
        <v/>
      </c>
      <c r="O366" s="21"/>
      <c r="P366" s="22"/>
    </row>
    <row r="367" customFormat="false" ht="19.5" hidden="false" customHeight="true" outlineLevel="0" collapsed="false">
      <c r="B367" s="28" t="s">
        <v>755</v>
      </c>
      <c r="C367" s="21"/>
      <c r="D367" s="21"/>
      <c r="E367" s="21"/>
      <c r="F367" s="21"/>
      <c r="G367" s="29"/>
      <c r="H367" s="29"/>
      <c r="I367" s="21"/>
      <c r="J367" s="30" t="str">
        <f aca="false">IF(OR($G367="",$I367="",NOT(ISNUMBER($G367))),"",IF($I367="Maund",ROUND($G367/37.32,2),$G367))</f>
        <v/>
      </c>
      <c r="K367" s="30" t="str">
        <f aca="false">IF(OR($H367="",$I367="",NOT(ISNUMBER($H367))),"",IF($I367="Maund",ROUND($H367/37.32,2),$H367))</f>
        <v/>
      </c>
      <c r="L367" s="29"/>
      <c r="M367" s="21"/>
      <c r="N367" s="30" t="str">
        <f aca="false">IF(OR($L367="",$M367="",NOT(ISNUMBER($L367))),"",IF($M367="Maund",ROUND($L367*37.32,2),$L367))</f>
        <v/>
      </c>
      <c r="O367" s="21"/>
      <c r="P367" s="22"/>
    </row>
    <row r="368" customFormat="false" ht="19.5" hidden="false" customHeight="true" outlineLevel="0" collapsed="false">
      <c r="B368" s="28" t="s">
        <v>756</v>
      </c>
      <c r="C368" s="21"/>
      <c r="D368" s="21"/>
      <c r="E368" s="21"/>
      <c r="F368" s="21"/>
      <c r="G368" s="29"/>
      <c r="H368" s="29"/>
      <c r="I368" s="21"/>
      <c r="J368" s="30" t="str">
        <f aca="false">IF(OR($G368="",$I368="",NOT(ISNUMBER($G368))),"",IF($I368="Maund",ROUND($G368/37.32,2),$G368))</f>
        <v/>
      </c>
      <c r="K368" s="30" t="str">
        <f aca="false">IF(OR($H368="",$I368="",NOT(ISNUMBER($H368))),"",IF($I368="Maund",ROUND($H368/37.32,2),$H368))</f>
        <v/>
      </c>
      <c r="L368" s="29"/>
      <c r="M368" s="21"/>
      <c r="N368" s="30" t="str">
        <f aca="false">IF(OR($L368="",$M368="",NOT(ISNUMBER($L368))),"",IF($M368="Maund",ROUND($L368*37.32,2),$L368))</f>
        <v/>
      </c>
      <c r="O368" s="21"/>
      <c r="P368" s="22"/>
    </row>
    <row r="369" customFormat="false" ht="19.5" hidden="false" customHeight="true" outlineLevel="0" collapsed="false">
      <c r="B369" s="28" t="s">
        <v>757</v>
      </c>
      <c r="C369" s="21"/>
      <c r="D369" s="21"/>
      <c r="E369" s="21"/>
      <c r="F369" s="21"/>
      <c r="G369" s="29"/>
      <c r="H369" s="29"/>
      <c r="I369" s="21"/>
      <c r="J369" s="30" t="str">
        <f aca="false">IF(OR($G369="",$I369="",NOT(ISNUMBER($G369))),"",IF($I369="Maund",ROUND($G369/37.32,2),$G369))</f>
        <v/>
      </c>
      <c r="K369" s="30" t="str">
        <f aca="false">IF(OR($H369="",$I369="",NOT(ISNUMBER($H369))),"",IF($I369="Maund",ROUND($H369/37.32,2),$H369))</f>
        <v/>
      </c>
      <c r="L369" s="29"/>
      <c r="M369" s="21"/>
      <c r="N369" s="30" t="str">
        <f aca="false">IF(OR($L369="",$M369="",NOT(ISNUMBER($L369))),"",IF($M369="Maund",ROUND($L369*37.32,2),$L369))</f>
        <v/>
      </c>
      <c r="O369" s="21"/>
      <c r="P369" s="22"/>
    </row>
    <row r="370" customFormat="false" ht="19.5" hidden="false" customHeight="true" outlineLevel="0" collapsed="false">
      <c r="B370" s="28" t="s">
        <v>758</v>
      </c>
      <c r="C370" s="21"/>
      <c r="D370" s="21"/>
      <c r="E370" s="21"/>
      <c r="F370" s="21"/>
      <c r="G370" s="29"/>
      <c r="H370" s="29"/>
      <c r="I370" s="21"/>
      <c r="J370" s="30" t="str">
        <f aca="false">IF(OR($G370="",$I370="",NOT(ISNUMBER($G370))),"",IF($I370="Maund",ROUND($G370/37.32,2),$G370))</f>
        <v/>
      </c>
      <c r="K370" s="30" t="str">
        <f aca="false">IF(OR($H370="",$I370="",NOT(ISNUMBER($H370))),"",IF($I370="Maund",ROUND($H370/37.32,2),$H370))</f>
        <v/>
      </c>
      <c r="L370" s="29"/>
      <c r="M370" s="21"/>
      <c r="N370" s="30" t="str">
        <f aca="false">IF(OR($L370="",$M370="",NOT(ISNUMBER($L370))),"",IF($M370="Maund",ROUND($L370*37.32,2),$L370))</f>
        <v/>
      </c>
      <c r="O370" s="21"/>
      <c r="P370" s="22"/>
    </row>
    <row r="371" customFormat="false" ht="19.5" hidden="false" customHeight="true" outlineLevel="0" collapsed="false">
      <c r="B371" s="28" t="s">
        <v>759</v>
      </c>
      <c r="C371" s="21"/>
      <c r="D371" s="21"/>
      <c r="E371" s="21"/>
      <c r="F371" s="21"/>
      <c r="G371" s="29"/>
      <c r="H371" s="29"/>
      <c r="I371" s="21"/>
      <c r="J371" s="30" t="str">
        <f aca="false">IF(OR($G371="",$I371="",NOT(ISNUMBER($G371))),"",IF($I371="Maund",ROUND($G371/37.32,2),$G371))</f>
        <v/>
      </c>
      <c r="K371" s="30" t="str">
        <f aca="false">IF(OR($H371="",$I371="",NOT(ISNUMBER($H371))),"",IF($I371="Maund",ROUND($H371/37.32,2),$H371))</f>
        <v/>
      </c>
      <c r="L371" s="29"/>
      <c r="M371" s="21"/>
      <c r="N371" s="30" t="str">
        <f aca="false">IF(OR($L371="",$M371="",NOT(ISNUMBER($L371))),"",IF($M371="Maund",ROUND($L371*37.32,2),$L371))</f>
        <v/>
      </c>
      <c r="O371" s="21"/>
      <c r="P371" s="22"/>
    </row>
    <row r="372" customFormat="false" ht="19.5" hidden="false" customHeight="true" outlineLevel="0" collapsed="false">
      <c r="B372" s="28" t="s">
        <v>760</v>
      </c>
      <c r="C372" s="21"/>
      <c r="D372" s="21"/>
      <c r="E372" s="21"/>
      <c r="F372" s="21"/>
      <c r="G372" s="29"/>
      <c r="H372" s="29"/>
      <c r="I372" s="21"/>
      <c r="J372" s="30" t="str">
        <f aca="false">IF(OR($G372="",$I372="",NOT(ISNUMBER($G372))),"",IF($I372="Maund",ROUND($G372/37.32,2),$G372))</f>
        <v/>
      </c>
      <c r="K372" s="30" t="str">
        <f aca="false">IF(OR($H372="",$I372="",NOT(ISNUMBER($H372))),"",IF($I372="Maund",ROUND($H372/37.32,2),$H372))</f>
        <v/>
      </c>
      <c r="L372" s="29"/>
      <c r="M372" s="21"/>
      <c r="N372" s="30" t="str">
        <f aca="false">IF(OR($L372="",$M372="",NOT(ISNUMBER($L372))),"",IF($M372="Maund",ROUND($L372*37.32,2),$L372))</f>
        <v/>
      </c>
      <c r="O372" s="21"/>
      <c r="P372" s="22"/>
    </row>
    <row r="373" customFormat="false" ht="19.5" hidden="false" customHeight="true" outlineLevel="0" collapsed="false">
      <c r="B373" s="28" t="s">
        <v>761</v>
      </c>
      <c r="C373" s="21"/>
      <c r="D373" s="21"/>
      <c r="E373" s="21"/>
      <c r="F373" s="21"/>
      <c r="G373" s="29"/>
      <c r="H373" s="29"/>
      <c r="I373" s="21"/>
      <c r="J373" s="30" t="str">
        <f aca="false">IF(OR($G373="",$I373="",NOT(ISNUMBER($G373))),"",IF($I373="Maund",ROUND($G373/37.32,2),$G373))</f>
        <v/>
      </c>
      <c r="K373" s="30" t="str">
        <f aca="false">IF(OR($H373="",$I373="",NOT(ISNUMBER($H373))),"",IF($I373="Maund",ROUND($H373/37.32,2),$H373))</f>
        <v/>
      </c>
      <c r="L373" s="29"/>
      <c r="M373" s="21"/>
      <c r="N373" s="30" t="str">
        <f aca="false">IF(OR($L373="",$M373="",NOT(ISNUMBER($L373))),"",IF($M373="Maund",ROUND($L373*37.32,2),$L373))</f>
        <v/>
      </c>
      <c r="O373" s="21"/>
      <c r="P373" s="22"/>
    </row>
    <row r="374" customFormat="false" ht="19.5" hidden="false" customHeight="true" outlineLevel="0" collapsed="false">
      <c r="B374" s="28" t="s">
        <v>762</v>
      </c>
      <c r="C374" s="21"/>
      <c r="D374" s="21"/>
      <c r="E374" s="21"/>
      <c r="F374" s="21"/>
      <c r="G374" s="29"/>
      <c r="H374" s="29"/>
      <c r="I374" s="21"/>
      <c r="J374" s="30" t="str">
        <f aca="false">IF(OR($G374="",$I374="",NOT(ISNUMBER($G374))),"",IF($I374="Maund",ROUND($G374/37.32,2),$G374))</f>
        <v/>
      </c>
      <c r="K374" s="30" t="str">
        <f aca="false">IF(OR($H374="",$I374="",NOT(ISNUMBER($H374))),"",IF($I374="Maund",ROUND($H374/37.32,2),$H374))</f>
        <v/>
      </c>
      <c r="L374" s="29"/>
      <c r="M374" s="21"/>
      <c r="N374" s="30" t="str">
        <f aca="false">IF(OR($L374="",$M374="",NOT(ISNUMBER($L374))),"",IF($M374="Maund",ROUND($L374*37.32,2),$L374))</f>
        <v/>
      </c>
      <c r="O374" s="21"/>
      <c r="P374" s="22"/>
    </row>
    <row r="375" customFormat="false" ht="19.5" hidden="false" customHeight="true" outlineLevel="0" collapsed="false">
      <c r="B375" s="28" t="s">
        <v>763</v>
      </c>
      <c r="C375" s="21"/>
      <c r="D375" s="21"/>
      <c r="E375" s="21"/>
      <c r="F375" s="21"/>
      <c r="G375" s="29"/>
      <c r="H375" s="29"/>
      <c r="I375" s="21"/>
      <c r="J375" s="30" t="str">
        <f aca="false">IF(OR($G375="",$I375="",NOT(ISNUMBER($G375))),"",IF($I375="Maund",ROUND($G375/37.32,2),$G375))</f>
        <v/>
      </c>
      <c r="K375" s="30" t="str">
        <f aca="false">IF(OR($H375="",$I375="",NOT(ISNUMBER($H375))),"",IF($I375="Maund",ROUND($H375/37.32,2),$H375))</f>
        <v/>
      </c>
      <c r="L375" s="29"/>
      <c r="M375" s="21"/>
      <c r="N375" s="30" t="str">
        <f aca="false">IF(OR($L375="",$M375="",NOT(ISNUMBER($L375))),"",IF($M375="Maund",ROUND($L375*37.32,2),$L375))</f>
        <v/>
      </c>
      <c r="O375" s="21"/>
      <c r="P375" s="22"/>
    </row>
    <row r="376" customFormat="false" ht="19.5" hidden="false" customHeight="true" outlineLevel="0" collapsed="false">
      <c r="B376" s="28" t="s">
        <v>764</v>
      </c>
      <c r="C376" s="21"/>
      <c r="D376" s="21"/>
      <c r="E376" s="21"/>
      <c r="F376" s="21"/>
      <c r="G376" s="29"/>
      <c r="H376" s="29"/>
      <c r="I376" s="21"/>
      <c r="J376" s="30" t="str">
        <f aca="false">IF(OR($G376="",$I376="",NOT(ISNUMBER($G376))),"",IF($I376="Maund",ROUND($G376/37.32,2),$G376))</f>
        <v/>
      </c>
      <c r="K376" s="30" t="str">
        <f aca="false">IF(OR($H376="",$I376="",NOT(ISNUMBER($H376))),"",IF($I376="Maund",ROUND($H376/37.32,2),$H376))</f>
        <v/>
      </c>
      <c r="L376" s="29"/>
      <c r="M376" s="21"/>
      <c r="N376" s="30" t="str">
        <f aca="false">IF(OR($L376="",$M376="",NOT(ISNUMBER($L376))),"",IF($M376="Maund",ROUND($L376*37.32,2),$L376))</f>
        <v/>
      </c>
      <c r="O376" s="21"/>
      <c r="P376" s="22"/>
    </row>
    <row r="377" customFormat="false" ht="19.5" hidden="false" customHeight="true" outlineLevel="0" collapsed="false">
      <c r="B377" s="28" t="s">
        <v>765</v>
      </c>
      <c r="C377" s="21"/>
      <c r="D377" s="21"/>
      <c r="E377" s="21"/>
      <c r="F377" s="21"/>
      <c r="G377" s="29"/>
      <c r="H377" s="29"/>
      <c r="I377" s="21"/>
      <c r="J377" s="30" t="str">
        <f aca="false">IF(OR($G377="",$I377="",NOT(ISNUMBER($G377))),"",IF($I377="Maund",ROUND($G377/37.32,2),$G377))</f>
        <v/>
      </c>
      <c r="K377" s="30" t="str">
        <f aca="false">IF(OR($H377="",$I377="",NOT(ISNUMBER($H377))),"",IF($I377="Maund",ROUND($H377/37.32,2),$H377))</f>
        <v/>
      </c>
      <c r="L377" s="29"/>
      <c r="M377" s="21"/>
      <c r="N377" s="30" t="str">
        <f aca="false">IF(OR($L377="",$M377="",NOT(ISNUMBER($L377))),"",IF($M377="Maund",ROUND($L377*37.32,2),$L377))</f>
        <v/>
      </c>
      <c r="O377" s="21"/>
      <c r="P377" s="22"/>
    </row>
    <row r="378" customFormat="false" ht="19.5" hidden="false" customHeight="true" outlineLevel="0" collapsed="false">
      <c r="B378" s="28" t="s">
        <v>766</v>
      </c>
      <c r="C378" s="21"/>
      <c r="D378" s="21"/>
      <c r="E378" s="21"/>
      <c r="F378" s="21"/>
      <c r="G378" s="29"/>
      <c r="H378" s="29"/>
      <c r="I378" s="21"/>
      <c r="J378" s="30" t="str">
        <f aca="false">IF(OR($G378="",$I378="",NOT(ISNUMBER($G378))),"",IF($I378="Maund",ROUND($G378/37.32,2),$G378))</f>
        <v/>
      </c>
      <c r="K378" s="30" t="str">
        <f aca="false">IF(OR($H378="",$I378="",NOT(ISNUMBER($H378))),"",IF($I378="Maund",ROUND($H378/37.32,2),$H378))</f>
        <v/>
      </c>
      <c r="L378" s="29"/>
      <c r="M378" s="21"/>
      <c r="N378" s="30" t="str">
        <f aca="false">IF(OR($L378="",$M378="",NOT(ISNUMBER($L378))),"",IF($M378="Maund",ROUND($L378*37.32,2),$L378))</f>
        <v/>
      </c>
      <c r="O378" s="21"/>
      <c r="P378" s="22"/>
    </row>
    <row r="379" customFormat="false" ht="19.5" hidden="false" customHeight="true" outlineLevel="0" collapsed="false">
      <c r="B379" s="28" t="s">
        <v>767</v>
      </c>
      <c r="C379" s="21"/>
      <c r="D379" s="21"/>
      <c r="E379" s="21"/>
      <c r="F379" s="21"/>
      <c r="G379" s="29"/>
      <c r="H379" s="29"/>
      <c r="I379" s="21"/>
      <c r="J379" s="30" t="str">
        <f aca="false">IF(OR($G379="",$I379="",NOT(ISNUMBER($G379))),"",IF($I379="Maund",ROUND($G379/37.32,2),$G379))</f>
        <v/>
      </c>
      <c r="K379" s="30" t="str">
        <f aca="false">IF(OR($H379="",$I379="",NOT(ISNUMBER($H379))),"",IF($I379="Maund",ROUND($H379/37.32,2),$H379))</f>
        <v/>
      </c>
      <c r="L379" s="29"/>
      <c r="M379" s="21"/>
      <c r="N379" s="30" t="str">
        <f aca="false">IF(OR($L379="",$M379="",NOT(ISNUMBER($L379))),"",IF($M379="Maund",ROUND($L379*37.32,2),$L379))</f>
        <v/>
      </c>
      <c r="O379" s="21"/>
      <c r="P379" s="22"/>
    </row>
    <row r="380" customFormat="false" ht="19.5" hidden="false" customHeight="true" outlineLevel="0" collapsed="false">
      <c r="B380" s="28" t="s">
        <v>768</v>
      </c>
      <c r="C380" s="21"/>
      <c r="D380" s="21"/>
      <c r="E380" s="21"/>
      <c r="F380" s="21"/>
      <c r="G380" s="29"/>
      <c r="H380" s="29"/>
      <c r="I380" s="21"/>
      <c r="J380" s="30" t="str">
        <f aca="false">IF(OR($G380="",$I380="",NOT(ISNUMBER($G380))),"",IF($I380="Maund",ROUND($G380/37.32,2),$G380))</f>
        <v/>
      </c>
      <c r="K380" s="30" t="str">
        <f aca="false">IF(OR($H380="",$I380="",NOT(ISNUMBER($H380))),"",IF($I380="Maund",ROUND($H380/37.32,2),$H380))</f>
        <v/>
      </c>
      <c r="L380" s="29"/>
      <c r="M380" s="21"/>
      <c r="N380" s="30" t="str">
        <f aca="false">IF(OR($L380="",$M380="",NOT(ISNUMBER($L380))),"",IF($M380="Maund",ROUND($L380*37.32,2),$L380))</f>
        <v/>
      </c>
      <c r="O380" s="21"/>
      <c r="P380" s="22"/>
    </row>
    <row r="381" customFormat="false" ht="19.5" hidden="false" customHeight="true" outlineLevel="0" collapsed="false">
      <c r="B381" s="28" t="s">
        <v>769</v>
      </c>
      <c r="C381" s="21"/>
      <c r="D381" s="21"/>
      <c r="E381" s="21"/>
      <c r="F381" s="21"/>
      <c r="G381" s="29"/>
      <c r="H381" s="29"/>
      <c r="I381" s="21"/>
      <c r="J381" s="30" t="str">
        <f aca="false">IF(OR($G381="",$I381="",NOT(ISNUMBER($G381))),"",IF($I381="Maund",ROUND($G381/37.32,2),$G381))</f>
        <v/>
      </c>
      <c r="K381" s="30" t="str">
        <f aca="false">IF(OR($H381="",$I381="",NOT(ISNUMBER($H381))),"",IF($I381="Maund",ROUND($H381/37.32,2),$H381))</f>
        <v/>
      </c>
      <c r="L381" s="29"/>
      <c r="M381" s="21"/>
      <c r="N381" s="30" t="str">
        <f aca="false">IF(OR($L381="",$M381="",NOT(ISNUMBER($L381))),"",IF($M381="Maund",ROUND($L381*37.32,2),$L381))</f>
        <v/>
      </c>
      <c r="O381" s="21"/>
      <c r="P381" s="22"/>
    </row>
    <row r="382" customFormat="false" ht="19.5" hidden="false" customHeight="true" outlineLevel="0" collapsed="false">
      <c r="B382" s="28" t="s">
        <v>770</v>
      </c>
      <c r="C382" s="21"/>
      <c r="D382" s="21"/>
      <c r="E382" s="21"/>
      <c r="F382" s="21"/>
      <c r="G382" s="29"/>
      <c r="H382" s="29"/>
      <c r="I382" s="21"/>
      <c r="J382" s="30" t="str">
        <f aca="false">IF(OR($G382="",$I382="",NOT(ISNUMBER($G382))),"",IF($I382="Maund",ROUND($G382/37.32,2),$G382))</f>
        <v/>
      </c>
      <c r="K382" s="30" t="str">
        <f aca="false">IF(OR($H382="",$I382="",NOT(ISNUMBER($H382))),"",IF($I382="Maund",ROUND($H382/37.32,2),$H382))</f>
        <v/>
      </c>
      <c r="L382" s="29"/>
      <c r="M382" s="21"/>
      <c r="N382" s="30" t="str">
        <f aca="false">IF(OR($L382="",$M382="",NOT(ISNUMBER($L382))),"",IF($M382="Maund",ROUND($L382*37.32,2),$L382))</f>
        <v/>
      </c>
      <c r="O382" s="21"/>
      <c r="P382" s="22"/>
    </row>
    <row r="383" customFormat="false" ht="19.5" hidden="false" customHeight="true" outlineLevel="0" collapsed="false">
      <c r="B383" s="28" t="s">
        <v>771</v>
      </c>
      <c r="C383" s="21"/>
      <c r="D383" s="21"/>
      <c r="E383" s="21"/>
      <c r="F383" s="21"/>
      <c r="G383" s="29"/>
      <c r="H383" s="29"/>
      <c r="I383" s="21"/>
      <c r="J383" s="30" t="str">
        <f aca="false">IF(OR($G383="",$I383="",NOT(ISNUMBER($G383))),"",IF($I383="Maund",ROUND($G383/37.32,2),$G383))</f>
        <v/>
      </c>
      <c r="K383" s="30" t="str">
        <f aca="false">IF(OR($H383="",$I383="",NOT(ISNUMBER($H383))),"",IF($I383="Maund",ROUND($H383/37.32,2),$H383))</f>
        <v/>
      </c>
      <c r="L383" s="29"/>
      <c r="M383" s="21"/>
      <c r="N383" s="30" t="str">
        <f aca="false">IF(OR($L383="",$M383="",NOT(ISNUMBER($L383))),"",IF($M383="Maund",ROUND($L383*37.32,2),$L383))</f>
        <v/>
      </c>
      <c r="O383" s="21"/>
      <c r="P383" s="22"/>
    </row>
    <row r="384" customFormat="false" ht="19.5" hidden="false" customHeight="true" outlineLevel="0" collapsed="false">
      <c r="B384" s="28" t="s">
        <v>772</v>
      </c>
      <c r="C384" s="21"/>
      <c r="D384" s="21"/>
      <c r="E384" s="21"/>
      <c r="F384" s="21"/>
      <c r="G384" s="29"/>
      <c r="H384" s="29"/>
      <c r="I384" s="21"/>
      <c r="J384" s="30" t="str">
        <f aca="false">IF(OR($G384="",$I384="",NOT(ISNUMBER($G384))),"",IF($I384="Maund",ROUND($G384/37.32,2),$G384))</f>
        <v/>
      </c>
      <c r="K384" s="30" t="str">
        <f aca="false">IF(OR($H384="",$I384="",NOT(ISNUMBER($H384))),"",IF($I384="Maund",ROUND($H384/37.32,2),$H384))</f>
        <v/>
      </c>
      <c r="L384" s="29"/>
      <c r="M384" s="21"/>
      <c r="N384" s="30" t="str">
        <f aca="false">IF(OR($L384="",$M384="",NOT(ISNUMBER($L384))),"",IF($M384="Maund",ROUND($L384*37.32,2),$L384))</f>
        <v/>
      </c>
      <c r="O384" s="21"/>
      <c r="P384" s="22"/>
    </row>
    <row r="385" customFormat="false" ht="19.5" hidden="false" customHeight="true" outlineLevel="0" collapsed="false">
      <c r="B385" s="28" t="s">
        <v>773</v>
      </c>
      <c r="C385" s="21"/>
      <c r="D385" s="21"/>
      <c r="E385" s="21"/>
      <c r="F385" s="21"/>
      <c r="G385" s="29"/>
      <c r="H385" s="29"/>
      <c r="I385" s="21"/>
      <c r="J385" s="30" t="str">
        <f aca="false">IF(OR($G385="",$I385="",NOT(ISNUMBER($G385))),"",IF($I385="Maund",ROUND($G385/37.32,2),$G385))</f>
        <v/>
      </c>
      <c r="K385" s="30" t="str">
        <f aca="false">IF(OR($H385="",$I385="",NOT(ISNUMBER($H385))),"",IF($I385="Maund",ROUND($H385/37.32,2),$H385))</f>
        <v/>
      </c>
      <c r="L385" s="29"/>
      <c r="M385" s="21"/>
      <c r="N385" s="30" t="str">
        <f aca="false">IF(OR($L385="",$M385="",NOT(ISNUMBER($L385))),"",IF($M385="Maund",ROUND($L385*37.32,2),$L385))</f>
        <v/>
      </c>
      <c r="O385" s="21"/>
      <c r="P385" s="22"/>
    </row>
    <row r="386" customFormat="false" ht="19.5" hidden="false" customHeight="true" outlineLevel="0" collapsed="false">
      <c r="B386" s="28" t="s">
        <v>774</v>
      </c>
      <c r="C386" s="21"/>
      <c r="D386" s="21"/>
      <c r="E386" s="21"/>
      <c r="F386" s="21"/>
      <c r="G386" s="29"/>
      <c r="H386" s="29"/>
      <c r="I386" s="21"/>
      <c r="J386" s="30" t="str">
        <f aca="false">IF(OR($G386="",$I386="",NOT(ISNUMBER($G386))),"",IF($I386="Maund",ROUND($G386/37.32,2),$G386))</f>
        <v/>
      </c>
      <c r="K386" s="30" t="str">
        <f aca="false">IF(OR($H386="",$I386="",NOT(ISNUMBER($H386))),"",IF($I386="Maund",ROUND($H386/37.32,2),$H386))</f>
        <v/>
      </c>
      <c r="L386" s="29"/>
      <c r="M386" s="21"/>
      <c r="N386" s="30" t="str">
        <f aca="false">IF(OR($L386="",$M386="",NOT(ISNUMBER($L386))),"",IF($M386="Maund",ROUND($L386*37.32,2),$L386))</f>
        <v/>
      </c>
      <c r="O386" s="21"/>
      <c r="P386" s="22"/>
    </row>
    <row r="387" customFormat="false" ht="19.5" hidden="false" customHeight="true" outlineLevel="0" collapsed="false">
      <c r="B387" s="28" t="s">
        <v>775</v>
      </c>
      <c r="C387" s="21"/>
      <c r="D387" s="21"/>
      <c r="E387" s="21"/>
      <c r="F387" s="21"/>
      <c r="G387" s="29"/>
      <c r="H387" s="29"/>
      <c r="I387" s="21"/>
      <c r="J387" s="30" t="str">
        <f aca="false">IF(OR($G387="",$I387="",NOT(ISNUMBER($G387))),"",IF($I387="Maund",ROUND($G387/37.32,2),$G387))</f>
        <v/>
      </c>
      <c r="K387" s="30" t="str">
        <f aca="false">IF(OR($H387="",$I387="",NOT(ISNUMBER($H387))),"",IF($I387="Maund",ROUND($H387/37.32,2),$H387))</f>
        <v/>
      </c>
      <c r="L387" s="29"/>
      <c r="M387" s="21"/>
      <c r="N387" s="30" t="str">
        <f aca="false">IF(OR($L387="",$M387="",NOT(ISNUMBER($L387))),"",IF($M387="Maund",ROUND($L387*37.32,2),$L387))</f>
        <v/>
      </c>
      <c r="O387" s="21"/>
      <c r="P387" s="22"/>
    </row>
    <row r="388" customFormat="false" ht="19.5" hidden="false" customHeight="true" outlineLevel="0" collapsed="false">
      <c r="B388" s="28" t="s">
        <v>776</v>
      </c>
      <c r="C388" s="21"/>
      <c r="D388" s="21"/>
      <c r="E388" s="21"/>
      <c r="F388" s="21"/>
      <c r="G388" s="29"/>
      <c r="H388" s="29"/>
      <c r="I388" s="21"/>
      <c r="J388" s="30" t="str">
        <f aca="false">IF(OR($G388="",$I388="",NOT(ISNUMBER($G388))),"",IF($I388="Maund",ROUND($G388/37.32,2),$G388))</f>
        <v/>
      </c>
      <c r="K388" s="30" t="str">
        <f aca="false">IF(OR($H388="",$I388="",NOT(ISNUMBER($H388))),"",IF($I388="Maund",ROUND($H388/37.32,2),$H388))</f>
        <v/>
      </c>
      <c r="L388" s="29"/>
      <c r="M388" s="21"/>
      <c r="N388" s="30" t="str">
        <f aca="false">IF(OR($L388="",$M388="",NOT(ISNUMBER($L388))),"",IF($M388="Maund",ROUND($L388*37.32,2),$L388))</f>
        <v/>
      </c>
      <c r="O388" s="21"/>
      <c r="P388" s="22"/>
    </row>
    <row r="389" customFormat="false" ht="19.5" hidden="false" customHeight="true" outlineLevel="0" collapsed="false">
      <c r="B389" s="28" t="s">
        <v>777</v>
      </c>
      <c r="C389" s="21"/>
      <c r="D389" s="21"/>
      <c r="E389" s="21"/>
      <c r="F389" s="21"/>
      <c r="G389" s="29"/>
      <c r="H389" s="29"/>
      <c r="I389" s="21"/>
      <c r="J389" s="30" t="str">
        <f aca="false">IF(OR($G389="",$I389="",NOT(ISNUMBER($G389))),"",IF($I389="Maund",ROUND($G389/37.32,2),$G389))</f>
        <v/>
      </c>
      <c r="K389" s="30" t="str">
        <f aca="false">IF(OR($H389="",$I389="",NOT(ISNUMBER($H389))),"",IF($I389="Maund",ROUND($H389/37.32,2),$H389))</f>
        <v/>
      </c>
      <c r="L389" s="29"/>
      <c r="M389" s="21"/>
      <c r="N389" s="30" t="str">
        <f aca="false">IF(OR($L389="",$M389="",NOT(ISNUMBER($L389))),"",IF($M389="Maund",ROUND($L389*37.32,2),$L389))</f>
        <v/>
      </c>
      <c r="O389" s="21"/>
      <c r="P389" s="22"/>
    </row>
    <row r="390" customFormat="false" ht="19.5" hidden="false" customHeight="true" outlineLevel="0" collapsed="false">
      <c r="B390" s="28" t="s">
        <v>778</v>
      </c>
      <c r="C390" s="21"/>
      <c r="D390" s="21"/>
      <c r="E390" s="21"/>
      <c r="F390" s="21"/>
      <c r="G390" s="29"/>
      <c r="H390" s="29"/>
      <c r="I390" s="21"/>
      <c r="J390" s="30" t="str">
        <f aca="false">IF(OR($G390="",$I390="",NOT(ISNUMBER($G390))),"",IF($I390="Maund",ROUND($G390/37.32,2),$G390))</f>
        <v/>
      </c>
      <c r="K390" s="30" t="str">
        <f aca="false">IF(OR($H390="",$I390="",NOT(ISNUMBER($H390))),"",IF($I390="Maund",ROUND($H390/37.32,2),$H390))</f>
        <v/>
      </c>
      <c r="L390" s="29"/>
      <c r="M390" s="21"/>
      <c r="N390" s="30" t="str">
        <f aca="false">IF(OR($L390="",$M390="",NOT(ISNUMBER($L390))),"",IF($M390="Maund",ROUND($L390*37.32,2),$L390))</f>
        <v/>
      </c>
      <c r="O390" s="21"/>
      <c r="P390" s="22"/>
    </row>
    <row r="391" customFormat="false" ht="19.5" hidden="false" customHeight="true" outlineLevel="0" collapsed="false">
      <c r="B391" s="28" t="s">
        <v>779</v>
      </c>
      <c r="C391" s="21"/>
      <c r="D391" s="21"/>
      <c r="E391" s="21"/>
      <c r="F391" s="21"/>
      <c r="G391" s="29"/>
      <c r="H391" s="29"/>
      <c r="I391" s="21"/>
      <c r="J391" s="30" t="str">
        <f aca="false">IF(OR($G391="",$I391="",NOT(ISNUMBER($G391))),"",IF($I391="Maund",ROUND($G391/37.32,2),$G391))</f>
        <v/>
      </c>
      <c r="K391" s="30" t="str">
        <f aca="false">IF(OR($H391="",$I391="",NOT(ISNUMBER($H391))),"",IF($I391="Maund",ROUND($H391/37.32,2),$H391))</f>
        <v/>
      </c>
      <c r="L391" s="29"/>
      <c r="M391" s="21"/>
      <c r="N391" s="30" t="str">
        <f aca="false">IF(OR($L391="",$M391="",NOT(ISNUMBER($L391))),"",IF($M391="Maund",ROUND($L391*37.32,2),$L391))</f>
        <v/>
      </c>
      <c r="O391" s="21"/>
      <c r="P391" s="22"/>
    </row>
    <row r="392" customFormat="false" ht="19.5" hidden="false" customHeight="true" outlineLevel="0" collapsed="false">
      <c r="B392" s="28" t="s">
        <v>780</v>
      </c>
      <c r="C392" s="21"/>
      <c r="D392" s="21"/>
      <c r="E392" s="21"/>
      <c r="F392" s="21"/>
      <c r="G392" s="29"/>
      <c r="H392" s="29"/>
      <c r="I392" s="21"/>
      <c r="J392" s="30" t="str">
        <f aca="false">IF(OR($G392="",$I392="",NOT(ISNUMBER($G392))),"",IF($I392="Maund",ROUND($G392/37.32,2),$G392))</f>
        <v/>
      </c>
      <c r="K392" s="30" t="str">
        <f aca="false">IF(OR($H392="",$I392="",NOT(ISNUMBER($H392))),"",IF($I392="Maund",ROUND($H392/37.32,2),$H392))</f>
        <v/>
      </c>
      <c r="L392" s="29"/>
      <c r="M392" s="21"/>
      <c r="N392" s="30" t="str">
        <f aca="false">IF(OR($L392="",$M392="",NOT(ISNUMBER($L392))),"",IF($M392="Maund",ROUND($L392*37.32,2),$L392))</f>
        <v/>
      </c>
      <c r="O392" s="21"/>
      <c r="P392" s="22"/>
    </row>
    <row r="393" customFormat="false" ht="19.5" hidden="false" customHeight="true" outlineLevel="0" collapsed="false">
      <c r="B393" s="28" t="s">
        <v>781</v>
      </c>
      <c r="C393" s="21"/>
      <c r="D393" s="21"/>
      <c r="E393" s="21"/>
      <c r="F393" s="21"/>
      <c r="G393" s="29"/>
      <c r="H393" s="29"/>
      <c r="I393" s="21"/>
      <c r="J393" s="30" t="str">
        <f aca="false">IF(OR($G393="",$I393="",NOT(ISNUMBER($G393))),"",IF($I393="Maund",ROUND($G393/37.32,2),$G393))</f>
        <v/>
      </c>
      <c r="K393" s="30" t="str">
        <f aca="false">IF(OR($H393="",$I393="",NOT(ISNUMBER($H393))),"",IF($I393="Maund",ROUND($H393/37.32,2),$H393))</f>
        <v/>
      </c>
      <c r="L393" s="29"/>
      <c r="M393" s="21"/>
      <c r="N393" s="30" t="str">
        <f aca="false">IF(OR($L393="",$M393="",NOT(ISNUMBER($L393))),"",IF($M393="Maund",ROUND($L393*37.32,2),$L393))</f>
        <v/>
      </c>
      <c r="O393" s="21"/>
      <c r="P393" s="22"/>
    </row>
    <row r="394" customFormat="false" ht="19.5" hidden="false" customHeight="true" outlineLevel="0" collapsed="false">
      <c r="B394" s="28" t="s">
        <v>782</v>
      </c>
      <c r="C394" s="21"/>
      <c r="D394" s="21"/>
      <c r="E394" s="21"/>
      <c r="F394" s="21"/>
      <c r="G394" s="29"/>
      <c r="H394" s="29"/>
      <c r="I394" s="21"/>
      <c r="J394" s="30" t="str">
        <f aca="false">IF(OR($G394="",$I394="",NOT(ISNUMBER($G394))),"",IF($I394="Maund",ROUND($G394/37.32,2),$G394))</f>
        <v/>
      </c>
      <c r="K394" s="30" t="str">
        <f aca="false">IF(OR($H394="",$I394="",NOT(ISNUMBER($H394))),"",IF($I394="Maund",ROUND($H394/37.32,2),$H394))</f>
        <v/>
      </c>
      <c r="L394" s="29"/>
      <c r="M394" s="21"/>
      <c r="N394" s="30" t="str">
        <f aca="false">IF(OR($L394="",$M394="",NOT(ISNUMBER($L394))),"",IF($M394="Maund",ROUND($L394*37.32,2),$L394))</f>
        <v/>
      </c>
      <c r="O394" s="21"/>
      <c r="P394" s="22"/>
    </row>
    <row r="395" customFormat="false" ht="19.5" hidden="false" customHeight="true" outlineLevel="0" collapsed="false">
      <c r="B395" s="28" t="s">
        <v>783</v>
      </c>
      <c r="C395" s="21"/>
      <c r="D395" s="21"/>
      <c r="E395" s="21"/>
      <c r="F395" s="21"/>
      <c r="G395" s="29"/>
      <c r="H395" s="29"/>
      <c r="I395" s="21"/>
      <c r="J395" s="30" t="str">
        <f aca="false">IF(OR($G395="",$I395="",NOT(ISNUMBER($G395))),"",IF($I395="Maund",ROUND($G395/37.32,2),$G395))</f>
        <v/>
      </c>
      <c r="K395" s="30" t="str">
        <f aca="false">IF(OR($H395="",$I395="",NOT(ISNUMBER($H395))),"",IF($I395="Maund",ROUND($H395/37.32,2),$H395))</f>
        <v/>
      </c>
      <c r="L395" s="29"/>
      <c r="M395" s="21"/>
      <c r="N395" s="30" t="str">
        <f aca="false">IF(OR($L395="",$M395="",NOT(ISNUMBER($L395))),"",IF($M395="Maund",ROUND($L395*37.32,2),$L395))</f>
        <v/>
      </c>
      <c r="O395" s="21"/>
      <c r="P395" s="22"/>
    </row>
    <row r="396" customFormat="false" ht="19.5" hidden="false" customHeight="true" outlineLevel="0" collapsed="false">
      <c r="B396" s="28" t="s">
        <v>784</v>
      </c>
      <c r="C396" s="21"/>
      <c r="D396" s="21"/>
      <c r="E396" s="21"/>
      <c r="F396" s="21"/>
      <c r="G396" s="29"/>
      <c r="H396" s="29"/>
      <c r="I396" s="21"/>
      <c r="J396" s="30" t="str">
        <f aca="false">IF(OR($G396="",$I396="",NOT(ISNUMBER($G396))),"",IF($I396="Maund",ROUND($G396/37.32,2),$G396))</f>
        <v/>
      </c>
      <c r="K396" s="30" t="str">
        <f aca="false">IF(OR($H396="",$I396="",NOT(ISNUMBER($H396))),"",IF($I396="Maund",ROUND($H396/37.32,2),$H396))</f>
        <v/>
      </c>
      <c r="L396" s="29"/>
      <c r="M396" s="21"/>
      <c r="N396" s="30" t="str">
        <f aca="false">IF(OR($L396="",$M396="",NOT(ISNUMBER($L396))),"",IF($M396="Maund",ROUND($L396*37.32,2),$L396))</f>
        <v/>
      </c>
      <c r="O396" s="21"/>
      <c r="P396" s="22"/>
    </row>
    <row r="397" customFormat="false" ht="19.5" hidden="false" customHeight="true" outlineLevel="0" collapsed="false">
      <c r="B397" s="28" t="s">
        <v>785</v>
      </c>
      <c r="C397" s="21"/>
      <c r="D397" s="21"/>
      <c r="E397" s="21"/>
      <c r="F397" s="21"/>
      <c r="G397" s="29"/>
      <c r="H397" s="29"/>
      <c r="I397" s="21"/>
      <c r="J397" s="30" t="str">
        <f aca="false">IF(OR($G397="",$I397="",NOT(ISNUMBER($G397))),"",IF($I397="Maund",ROUND($G397/37.32,2),$G397))</f>
        <v/>
      </c>
      <c r="K397" s="30" t="str">
        <f aca="false">IF(OR($H397="",$I397="",NOT(ISNUMBER($H397))),"",IF($I397="Maund",ROUND($H397/37.32,2),$H397))</f>
        <v/>
      </c>
      <c r="L397" s="29"/>
      <c r="M397" s="21"/>
      <c r="N397" s="30" t="str">
        <f aca="false">IF(OR($L397="",$M397="",NOT(ISNUMBER($L397))),"",IF($M397="Maund",ROUND($L397*37.32,2),$L397))</f>
        <v/>
      </c>
      <c r="O397" s="21"/>
      <c r="P397" s="22"/>
    </row>
    <row r="398" customFormat="false" ht="19.5" hidden="false" customHeight="true" outlineLevel="0" collapsed="false">
      <c r="B398" s="28" t="s">
        <v>786</v>
      </c>
      <c r="C398" s="21"/>
      <c r="D398" s="21"/>
      <c r="E398" s="21"/>
      <c r="F398" s="21"/>
      <c r="G398" s="29"/>
      <c r="H398" s="29"/>
      <c r="I398" s="21"/>
      <c r="J398" s="30" t="str">
        <f aca="false">IF(OR($G398="",$I398="",NOT(ISNUMBER($G398))),"",IF($I398="Maund",ROUND($G398/37.32,2),$G398))</f>
        <v/>
      </c>
      <c r="K398" s="30" t="str">
        <f aca="false">IF(OR($H398="",$I398="",NOT(ISNUMBER($H398))),"",IF($I398="Maund",ROUND($H398/37.32,2),$H398))</f>
        <v/>
      </c>
      <c r="L398" s="29"/>
      <c r="M398" s="21"/>
      <c r="N398" s="30" t="str">
        <f aca="false">IF(OR($L398="",$M398="",NOT(ISNUMBER($L398))),"",IF($M398="Maund",ROUND($L398*37.32,2),$L398))</f>
        <v/>
      </c>
      <c r="O398" s="21"/>
      <c r="P398" s="22"/>
    </row>
    <row r="399" customFormat="false" ht="19.5" hidden="false" customHeight="true" outlineLevel="0" collapsed="false">
      <c r="B399" s="28" t="s">
        <v>787</v>
      </c>
      <c r="C399" s="21"/>
      <c r="D399" s="21"/>
      <c r="E399" s="21"/>
      <c r="F399" s="21"/>
      <c r="G399" s="29"/>
      <c r="H399" s="29"/>
      <c r="I399" s="21"/>
      <c r="J399" s="30" t="str">
        <f aca="false">IF(OR($G399="",$I399="",NOT(ISNUMBER($G399))),"",IF($I399="Maund",ROUND($G399/37.32,2),$G399))</f>
        <v/>
      </c>
      <c r="K399" s="30" t="str">
        <f aca="false">IF(OR($H399="",$I399="",NOT(ISNUMBER($H399))),"",IF($I399="Maund",ROUND($H399/37.32,2),$H399))</f>
        <v/>
      </c>
      <c r="L399" s="29"/>
      <c r="M399" s="21"/>
      <c r="N399" s="30" t="str">
        <f aca="false">IF(OR($L399="",$M399="",NOT(ISNUMBER($L399))),"",IF($M399="Maund",ROUND($L399*37.32,2),$L399))</f>
        <v/>
      </c>
      <c r="O399" s="21"/>
      <c r="P399" s="22"/>
    </row>
    <row r="400" customFormat="false" ht="19.5" hidden="false" customHeight="true" outlineLevel="0" collapsed="false">
      <c r="B400" s="28" t="s">
        <v>788</v>
      </c>
      <c r="C400" s="21"/>
      <c r="D400" s="21"/>
      <c r="E400" s="21"/>
      <c r="F400" s="21"/>
      <c r="G400" s="29"/>
      <c r="H400" s="29"/>
      <c r="I400" s="21"/>
      <c r="J400" s="30" t="str">
        <f aca="false">IF(OR($G400="",$I400="",NOT(ISNUMBER($G400))),"",IF($I400="Maund",ROUND($G400/37.32,2),$G400))</f>
        <v/>
      </c>
      <c r="K400" s="30" t="str">
        <f aca="false">IF(OR($H400="",$I400="",NOT(ISNUMBER($H400))),"",IF($I400="Maund",ROUND($H400/37.32,2),$H400))</f>
        <v/>
      </c>
      <c r="L400" s="29"/>
      <c r="M400" s="21"/>
      <c r="N400" s="30" t="str">
        <f aca="false">IF(OR($L400="",$M400="",NOT(ISNUMBER($L400))),"",IF($M400="Maund",ROUND($L400*37.32,2),$L400))</f>
        <v/>
      </c>
      <c r="O400" s="21"/>
      <c r="P400" s="22"/>
    </row>
    <row r="401" customFormat="false" ht="19.5" hidden="false" customHeight="true" outlineLevel="0" collapsed="false">
      <c r="B401" s="28" t="s">
        <v>789</v>
      </c>
      <c r="C401" s="21"/>
      <c r="D401" s="21"/>
      <c r="E401" s="21"/>
      <c r="F401" s="21"/>
      <c r="G401" s="29"/>
      <c r="H401" s="29"/>
      <c r="I401" s="21"/>
      <c r="J401" s="30" t="str">
        <f aca="false">IF(OR($G401="",$I401="",NOT(ISNUMBER($G401))),"",IF($I401="Maund",ROUND($G401/37.32,2),$G401))</f>
        <v/>
      </c>
      <c r="K401" s="30" t="str">
        <f aca="false">IF(OR($H401="",$I401="",NOT(ISNUMBER($H401))),"",IF($I401="Maund",ROUND($H401/37.32,2),$H401))</f>
        <v/>
      </c>
      <c r="L401" s="29"/>
      <c r="M401" s="21"/>
      <c r="N401" s="30" t="str">
        <f aca="false">IF(OR($L401="",$M401="",NOT(ISNUMBER($L401))),"",IF($M401="Maund",ROUND($L401*37.32,2),$L401))</f>
        <v/>
      </c>
      <c r="O401" s="21"/>
      <c r="P401" s="22"/>
    </row>
    <row r="402" customFormat="false" ht="19.5" hidden="false" customHeight="true" outlineLevel="0" collapsed="false">
      <c r="B402" s="28" t="s">
        <v>790</v>
      </c>
      <c r="C402" s="21"/>
      <c r="D402" s="21"/>
      <c r="E402" s="21"/>
      <c r="F402" s="21"/>
      <c r="G402" s="29"/>
      <c r="H402" s="29"/>
      <c r="I402" s="21"/>
      <c r="J402" s="30" t="str">
        <f aca="false">IF(OR($G402="",$I402="",NOT(ISNUMBER($G402))),"",IF($I402="Maund",ROUND($G402/37.32,2),$G402))</f>
        <v/>
      </c>
      <c r="K402" s="30" t="str">
        <f aca="false">IF(OR($H402="",$I402="",NOT(ISNUMBER($H402))),"",IF($I402="Maund",ROUND($H402/37.32,2),$H402))</f>
        <v/>
      </c>
      <c r="L402" s="29"/>
      <c r="M402" s="21"/>
      <c r="N402" s="30" t="str">
        <f aca="false">IF(OR($L402="",$M402="",NOT(ISNUMBER($L402))),"",IF($M402="Maund",ROUND($L402*37.32,2),$L402))</f>
        <v/>
      </c>
      <c r="O402" s="21"/>
      <c r="P402" s="22"/>
    </row>
    <row r="403" customFormat="false" ht="19.5" hidden="false" customHeight="true" outlineLevel="0" collapsed="false">
      <c r="B403" s="28" t="s">
        <v>791</v>
      </c>
      <c r="C403" s="21"/>
      <c r="D403" s="21"/>
      <c r="E403" s="21"/>
      <c r="F403" s="21"/>
      <c r="G403" s="29"/>
      <c r="H403" s="29"/>
      <c r="I403" s="21"/>
      <c r="J403" s="30" t="str">
        <f aca="false">IF(OR($G403="",$I403="",NOT(ISNUMBER($G403))),"",IF($I403="Maund",ROUND($G403/37.32,2),$G403))</f>
        <v/>
      </c>
      <c r="K403" s="30" t="str">
        <f aca="false">IF(OR($H403="",$I403="",NOT(ISNUMBER($H403))),"",IF($I403="Maund",ROUND($H403/37.32,2),$H403))</f>
        <v/>
      </c>
      <c r="L403" s="29"/>
      <c r="M403" s="21"/>
      <c r="N403" s="30" t="str">
        <f aca="false">IF(OR($L403="",$M403="",NOT(ISNUMBER($L403))),"",IF($M403="Maund",ROUND($L403*37.32,2),$L403))</f>
        <v/>
      </c>
      <c r="O403" s="21"/>
      <c r="P403" s="22"/>
    </row>
    <row r="404" customFormat="false" ht="19.5" hidden="false" customHeight="true" outlineLevel="0" collapsed="false">
      <c r="B404" s="28" t="s">
        <v>792</v>
      </c>
      <c r="C404" s="21"/>
      <c r="D404" s="21"/>
      <c r="E404" s="21"/>
      <c r="F404" s="21"/>
      <c r="G404" s="29"/>
      <c r="H404" s="29"/>
      <c r="I404" s="21"/>
      <c r="J404" s="30" t="str">
        <f aca="false">IF(OR($G404="",$I404="",NOT(ISNUMBER($G404))),"",IF($I404="Maund",ROUND($G404/37.32,2),$G404))</f>
        <v/>
      </c>
      <c r="K404" s="30" t="str">
        <f aca="false">IF(OR($H404="",$I404="",NOT(ISNUMBER($H404))),"",IF($I404="Maund",ROUND($H404/37.32,2),$H404))</f>
        <v/>
      </c>
      <c r="L404" s="29"/>
      <c r="M404" s="21"/>
      <c r="N404" s="30" t="str">
        <f aca="false">IF(OR($L404="",$M404="",NOT(ISNUMBER($L404))),"",IF($M404="Maund",ROUND($L404*37.32,2),$L404))</f>
        <v/>
      </c>
      <c r="O404" s="21"/>
      <c r="P404" s="22"/>
    </row>
    <row r="405" customFormat="false" ht="19.5" hidden="false" customHeight="true" outlineLevel="0" collapsed="false">
      <c r="B405" s="28" t="s">
        <v>793</v>
      </c>
      <c r="C405" s="21"/>
      <c r="D405" s="21"/>
      <c r="E405" s="21"/>
      <c r="F405" s="21"/>
      <c r="G405" s="29"/>
      <c r="H405" s="29"/>
      <c r="I405" s="21"/>
      <c r="J405" s="30" t="str">
        <f aca="false">IF(OR($G405="",$I405="",NOT(ISNUMBER($G405))),"",IF($I405="Maund",ROUND($G405/37.32,2),$G405))</f>
        <v/>
      </c>
      <c r="K405" s="30" t="str">
        <f aca="false">IF(OR($H405="",$I405="",NOT(ISNUMBER($H405))),"",IF($I405="Maund",ROUND($H405/37.32,2),$H405))</f>
        <v/>
      </c>
      <c r="L405" s="29"/>
      <c r="M405" s="21"/>
      <c r="N405" s="30" t="str">
        <f aca="false">IF(OR($L405="",$M405="",NOT(ISNUMBER($L405))),"",IF($M405="Maund",ROUND($L405*37.32,2),$L405))</f>
        <v/>
      </c>
      <c r="O405" s="21"/>
      <c r="P405" s="22"/>
    </row>
    <row r="406" customFormat="false" ht="19.5" hidden="false" customHeight="true" outlineLevel="0" collapsed="false">
      <c r="B406" s="28" t="s">
        <v>794</v>
      </c>
      <c r="C406" s="21"/>
      <c r="D406" s="21"/>
      <c r="E406" s="21"/>
      <c r="F406" s="21"/>
      <c r="G406" s="29"/>
      <c r="H406" s="29"/>
      <c r="I406" s="21"/>
      <c r="J406" s="30" t="str">
        <f aca="false">IF(OR($G406="",$I406="",NOT(ISNUMBER($G406))),"",IF($I406="Maund",ROUND($G406/37.32,2),$G406))</f>
        <v/>
      </c>
      <c r="K406" s="30" t="str">
        <f aca="false">IF(OR($H406="",$I406="",NOT(ISNUMBER($H406))),"",IF($I406="Maund",ROUND($H406/37.32,2),$H406))</f>
        <v/>
      </c>
      <c r="L406" s="29"/>
      <c r="M406" s="21"/>
      <c r="N406" s="30" t="str">
        <f aca="false">IF(OR($L406="",$M406="",NOT(ISNUMBER($L406))),"",IF($M406="Maund",ROUND($L406*37.32,2),$L406))</f>
        <v/>
      </c>
      <c r="O406" s="21"/>
      <c r="P406" s="22"/>
    </row>
    <row r="407" customFormat="false" ht="19.5" hidden="false" customHeight="true" outlineLevel="0" collapsed="false">
      <c r="B407" s="28" t="s">
        <v>795</v>
      </c>
      <c r="C407" s="21"/>
      <c r="D407" s="21"/>
      <c r="E407" s="21"/>
      <c r="F407" s="21"/>
      <c r="G407" s="29"/>
      <c r="H407" s="29"/>
      <c r="I407" s="21"/>
      <c r="J407" s="30" t="str">
        <f aca="false">IF(OR($G407="",$I407="",NOT(ISNUMBER($G407))),"",IF($I407="Maund",ROUND($G407/37.32,2),$G407))</f>
        <v/>
      </c>
      <c r="K407" s="30" t="str">
        <f aca="false">IF(OR($H407="",$I407="",NOT(ISNUMBER($H407))),"",IF($I407="Maund",ROUND($H407/37.32,2),$H407))</f>
        <v/>
      </c>
      <c r="L407" s="29"/>
      <c r="M407" s="21"/>
      <c r="N407" s="30" t="str">
        <f aca="false">IF(OR($L407="",$M407="",NOT(ISNUMBER($L407))),"",IF($M407="Maund",ROUND($L407*37.32,2),$L407))</f>
        <v/>
      </c>
      <c r="O407" s="21"/>
      <c r="P407" s="22"/>
    </row>
    <row r="408" customFormat="false" ht="19.5" hidden="false" customHeight="true" outlineLevel="0" collapsed="false">
      <c r="B408" s="28" t="s">
        <v>796</v>
      </c>
      <c r="C408" s="21"/>
      <c r="D408" s="21"/>
      <c r="E408" s="21"/>
      <c r="F408" s="21"/>
      <c r="G408" s="29"/>
      <c r="H408" s="29"/>
      <c r="I408" s="21"/>
      <c r="J408" s="30" t="str">
        <f aca="false">IF(OR($G408="",$I408="",NOT(ISNUMBER($G408))),"",IF($I408="Maund",ROUND($G408/37.32,2),$G408))</f>
        <v/>
      </c>
      <c r="K408" s="30" t="str">
        <f aca="false">IF(OR($H408="",$I408="",NOT(ISNUMBER($H408))),"",IF($I408="Maund",ROUND($H408/37.32,2),$H408))</f>
        <v/>
      </c>
      <c r="L408" s="29"/>
      <c r="M408" s="21"/>
      <c r="N408" s="30" t="str">
        <f aca="false">IF(OR($L408="",$M408="",NOT(ISNUMBER($L408))),"",IF($M408="Maund",ROUND($L408*37.32,2),$L408))</f>
        <v/>
      </c>
      <c r="O408" s="21"/>
      <c r="P408" s="22"/>
    </row>
    <row r="409" customFormat="false" ht="19.5" hidden="false" customHeight="true" outlineLevel="0" collapsed="false">
      <c r="B409" s="28" t="s">
        <v>797</v>
      </c>
      <c r="C409" s="21"/>
      <c r="D409" s="21"/>
      <c r="E409" s="21"/>
      <c r="F409" s="21"/>
      <c r="G409" s="29"/>
      <c r="H409" s="29"/>
      <c r="I409" s="21"/>
      <c r="J409" s="30" t="str">
        <f aca="false">IF(OR($G409="",$I409="",NOT(ISNUMBER($G409))),"",IF($I409="Maund",ROUND($G409/37.32,2),$G409))</f>
        <v/>
      </c>
      <c r="K409" s="30" t="str">
        <f aca="false">IF(OR($H409="",$I409="",NOT(ISNUMBER($H409))),"",IF($I409="Maund",ROUND($H409/37.32,2),$H409))</f>
        <v/>
      </c>
      <c r="L409" s="29"/>
      <c r="M409" s="21"/>
      <c r="N409" s="30" t="str">
        <f aca="false">IF(OR($L409="",$M409="",NOT(ISNUMBER($L409))),"",IF($M409="Maund",ROUND($L409*37.32,2),$L409))</f>
        <v/>
      </c>
      <c r="O409" s="21"/>
      <c r="P409" s="22"/>
    </row>
    <row r="410" customFormat="false" ht="19.5" hidden="false" customHeight="true" outlineLevel="0" collapsed="false">
      <c r="B410" s="28" t="s">
        <v>798</v>
      </c>
      <c r="C410" s="21"/>
      <c r="D410" s="21"/>
      <c r="E410" s="21"/>
      <c r="F410" s="21"/>
      <c r="G410" s="29"/>
      <c r="H410" s="29"/>
      <c r="I410" s="21"/>
      <c r="J410" s="30" t="str">
        <f aca="false">IF(OR($G410="",$I410="",NOT(ISNUMBER($G410))),"",IF($I410="Maund",ROUND($G410/37.32,2),$G410))</f>
        <v/>
      </c>
      <c r="K410" s="30" t="str">
        <f aca="false">IF(OR($H410="",$I410="",NOT(ISNUMBER($H410))),"",IF($I410="Maund",ROUND($H410/37.32,2),$H410))</f>
        <v/>
      </c>
      <c r="L410" s="29"/>
      <c r="M410" s="21"/>
      <c r="N410" s="30" t="str">
        <f aca="false">IF(OR($L410="",$M410="",NOT(ISNUMBER($L410))),"",IF($M410="Maund",ROUND($L410*37.32,2),$L410))</f>
        <v/>
      </c>
      <c r="O410" s="21"/>
      <c r="P410" s="22"/>
    </row>
    <row r="411" customFormat="false" ht="19.5" hidden="false" customHeight="true" outlineLevel="0" collapsed="false">
      <c r="B411" s="28" t="s">
        <v>799</v>
      </c>
      <c r="C411" s="21"/>
      <c r="D411" s="21"/>
      <c r="E411" s="21"/>
      <c r="F411" s="21"/>
      <c r="G411" s="29"/>
      <c r="H411" s="29"/>
      <c r="I411" s="21"/>
      <c r="J411" s="30" t="str">
        <f aca="false">IF(OR($G411="",$I411="",NOT(ISNUMBER($G411))),"",IF($I411="Maund",ROUND($G411/37.32,2),$G411))</f>
        <v/>
      </c>
      <c r="K411" s="30" t="str">
        <f aca="false">IF(OR($H411="",$I411="",NOT(ISNUMBER($H411))),"",IF($I411="Maund",ROUND($H411/37.32,2),$H411))</f>
        <v/>
      </c>
      <c r="L411" s="29"/>
      <c r="M411" s="21"/>
      <c r="N411" s="30" t="str">
        <f aca="false">IF(OR($L411="",$M411="",NOT(ISNUMBER($L411))),"",IF($M411="Maund",ROUND($L411*37.32,2),$L411))</f>
        <v/>
      </c>
      <c r="O411" s="21"/>
      <c r="P411" s="22"/>
    </row>
    <row r="412" customFormat="false" ht="19.5" hidden="false" customHeight="true" outlineLevel="0" collapsed="false">
      <c r="B412" s="28" t="s">
        <v>800</v>
      </c>
      <c r="C412" s="21"/>
      <c r="D412" s="21"/>
      <c r="E412" s="21"/>
      <c r="F412" s="21"/>
      <c r="G412" s="29"/>
      <c r="H412" s="29"/>
      <c r="I412" s="21"/>
      <c r="J412" s="30" t="str">
        <f aca="false">IF(OR($G412="",$I412="",NOT(ISNUMBER($G412))),"",IF($I412="Maund",ROUND($G412/37.32,2),$G412))</f>
        <v/>
      </c>
      <c r="K412" s="30" t="str">
        <f aca="false">IF(OR($H412="",$I412="",NOT(ISNUMBER($H412))),"",IF($I412="Maund",ROUND($H412/37.32,2),$H412))</f>
        <v/>
      </c>
      <c r="L412" s="29"/>
      <c r="M412" s="21"/>
      <c r="N412" s="30" t="str">
        <f aca="false">IF(OR($L412="",$M412="",NOT(ISNUMBER($L412))),"",IF($M412="Maund",ROUND($L412*37.32,2),$L412))</f>
        <v/>
      </c>
      <c r="O412" s="21"/>
      <c r="P412" s="22"/>
    </row>
    <row r="413" customFormat="false" ht="19.5" hidden="false" customHeight="true" outlineLevel="0" collapsed="false">
      <c r="B413" s="28" t="s">
        <v>801</v>
      </c>
      <c r="C413" s="21"/>
      <c r="D413" s="21"/>
      <c r="E413" s="21"/>
      <c r="F413" s="21"/>
      <c r="G413" s="29"/>
      <c r="H413" s="29"/>
      <c r="I413" s="21"/>
      <c r="J413" s="30" t="str">
        <f aca="false">IF(OR($G413="",$I413="",NOT(ISNUMBER($G413))),"",IF($I413="Maund",ROUND($G413/37.32,2),$G413))</f>
        <v/>
      </c>
      <c r="K413" s="30" t="str">
        <f aca="false">IF(OR($H413="",$I413="",NOT(ISNUMBER($H413))),"",IF($I413="Maund",ROUND($H413/37.32,2),$H413))</f>
        <v/>
      </c>
      <c r="L413" s="29"/>
      <c r="M413" s="21"/>
      <c r="N413" s="30" t="str">
        <f aca="false">IF(OR($L413="",$M413="",NOT(ISNUMBER($L413))),"",IF($M413="Maund",ROUND($L413*37.32,2),$L413))</f>
        <v/>
      </c>
      <c r="O413" s="21"/>
      <c r="P413" s="22"/>
    </row>
    <row r="414" customFormat="false" ht="19.5" hidden="false" customHeight="true" outlineLevel="0" collapsed="false">
      <c r="B414" s="28" t="s">
        <v>802</v>
      </c>
      <c r="C414" s="21"/>
      <c r="D414" s="21"/>
      <c r="E414" s="21"/>
      <c r="F414" s="21"/>
      <c r="G414" s="29"/>
      <c r="H414" s="29"/>
      <c r="I414" s="21"/>
      <c r="J414" s="30" t="str">
        <f aca="false">IF(OR($G414="",$I414="",NOT(ISNUMBER($G414))),"",IF($I414="Maund",ROUND($G414/37.32,2),$G414))</f>
        <v/>
      </c>
      <c r="K414" s="30" t="str">
        <f aca="false">IF(OR($H414="",$I414="",NOT(ISNUMBER($H414))),"",IF($I414="Maund",ROUND($H414/37.32,2),$H414))</f>
        <v/>
      </c>
      <c r="L414" s="29"/>
      <c r="M414" s="21"/>
      <c r="N414" s="30" t="str">
        <f aca="false">IF(OR($L414="",$M414="",NOT(ISNUMBER($L414))),"",IF($M414="Maund",ROUND($L414*37.32,2),$L414))</f>
        <v/>
      </c>
      <c r="O414" s="21"/>
      <c r="P414" s="22"/>
    </row>
    <row r="415" customFormat="false" ht="19.5" hidden="false" customHeight="true" outlineLevel="0" collapsed="false">
      <c r="B415" s="28" t="s">
        <v>803</v>
      </c>
      <c r="C415" s="21"/>
      <c r="D415" s="21"/>
      <c r="E415" s="21"/>
      <c r="F415" s="21"/>
      <c r="G415" s="29"/>
      <c r="H415" s="29"/>
      <c r="I415" s="21"/>
      <c r="J415" s="30" t="str">
        <f aca="false">IF(OR($G415="",$I415="",NOT(ISNUMBER($G415))),"",IF($I415="Maund",ROUND($G415/37.32,2),$G415))</f>
        <v/>
      </c>
      <c r="K415" s="30" t="str">
        <f aca="false">IF(OR($H415="",$I415="",NOT(ISNUMBER($H415))),"",IF($I415="Maund",ROUND($H415/37.32,2),$H415))</f>
        <v/>
      </c>
      <c r="L415" s="29"/>
      <c r="M415" s="21"/>
      <c r="N415" s="30" t="str">
        <f aca="false">IF(OR($L415="",$M415="",NOT(ISNUMBER($L415))),"",IF($M415="Maund",ROUND($L415*37.32,2),$L415))</f>
        <v/>
      </c>
      <c r="O415" s="21"/>
      <c r="P415" s="22"/>
    </row>
    <row r="416" customFormat="false" ht="19.5" hidden="false" customHeight="true" outlineLevel="0" collapsed="false">
      <c r="B416" s="28" t="s">
        <v>804</v>
      </c>
      <c r="C416" s="21"/>
      <c r="D416" s="21"/>
      <c r="E416" s="21"/>
      <c r="F416" s="21"/>
      <c r="G416" s="29"/>
      <c r="H416" s="29"/>
      <c r="I416" s="21"/>
      <c r="J416" s="30" t="str">
        <f aca="false">IF(OR($G416="",$I416="",NOT(ISNUMBER($G416))),"",IF($I416="Maund",ROUND($G416/37.32,2),$G416))</f>
        <v/>
      </c>
      <c r="K416" s="30" t="str">
        <f aca="false">IF(OR($H416="",$I416="",NOT(ISNUMBER($H416))),"",IF($I416="Maund",ROUND($H416/37.32,2),$H416))</f>
        <v/>
      </c>
      <c r="L416" s="29"/>
      <c r="M416" s="21"/>
      <c r="N416" s="30" t="str">
        <f aca="false">IF(OR($L416="",$M416="",NOT(ISNUMBER($L416))),"",IF($M416="Maund",ROUND($L416*37.32,2),$L416))</f>
        <v/>
      </c>
      <c r="O416" s="21"/>
      <c r="P416" s="22"/>
    </row>
    <row r="417" customFormat="false" ht="19.5" hidden="false" customHeight="true" outlineLevel="0" collapsed="false">
      <c r="B417" s="28" t="s">
        <v>805</v>
      </c>
      <c r="C417" s="21"/>
      <c r="D417" s="21"/>
      <c r="E417" s="21"/>
      <c r="F417" s="21"/>
      <c r="G417" s="29"/>
      <c r="H417" s="29"/>
      <c r="I417" s="21"/>
      <c r="J417" s="30" t="str">
        <f aca="false">IF(OR($G417="",$I417="",NOT(ISNUMBER($G417))),"",IF($I417="Maund",ROUND($G417/37.32,2),$G417))</f>
        <v/>
      </c>
      <c r="K417" s="30" t="str">
        <f aca="false">IF(OR($H417="",$I417="",NOT(ISNUMBER($H417))),"",IF($I417="Maund",ROUND($H417/37.32,2),$H417))</f>
        <v/>
      </c>
      <c r="L417" s="29"/>
      <c r="M417" s="21"/>
      <c r="N417" s="30" t="str">
        <f aca="false">IF(OR($L417="",$M417="",NOT(ISNUMBER($L417))),"",IF($M417="Maund",ROUND($L417*37.32,2),$L417))</f>
        <v/>
      </c>
      <c r="O417" s="21"/>
      <c r="P417" s="22"/>
    </row>
    <row r="418" customFormat="false" ht="19.5" hidden="false" customHeight="true" outlineLevel="0" collapsed="false">
      <c r="B418" s="28" t="s">
        <v>806</v>
      </c>
      <c r="C418" s="21"/>
      <c r="D418" s="21"/>
      <c r="E418" s="21"/>
      <c r="F418" s="21"/>
      <c r="G418" s="29"/>
      <c r="H418" s="29"/>
      <c r="I418" s="21"/>
      <c r="J418" s="30" t="str">
        <f aca="false">IF(OR($G418="",$I418="",NOT(ISNUMBER($G418))),"",IF($I418="Maund",ROUND($G418/37.32,2),$G418))</f>
        <v/>
      </c>
      <c r="K418" s="30" t="str">
        <f aca="false">IF(OR($H418="",$I418="",NOT(ISNUMBER($H418))),"",IF($I418="Maund",ROUND($H418/37.32,2),$H418))</f>
        <v/>
      </c>
      <c r="L418" s="29"/>
      <c r="M418" s="21"/>
      <c r="N418" s="30" t="str">
        <f aca="false">IF(OR($L418="",$M418="",NOT(ISNUMBER($L418))),"",IF($M418="Maund",ROUND($L418*37.32,2),$L418))</f>
        <v/>
      </c>
      <c r="O418" s="21"/>
      <c r="P418" s="22"/>
    </row>
    <row r="419" customFormat="false" ht="19.5" hidden="false" customHeight="true" outlineLevel="0" collapsed="false">
      <c r="B419" s="28" t="s">
        <v>807</v>
      </c>
      <c r="C419" s="21"/>
      <c r="D419" s="21"/>
      <c r="E419" s="21"/>
      <c r="F419" s="21"/>
      <c r="G419" s="29"/>
      <c r="H419" s="29"/>
      <c r="I419" s="21"/>
      <c r="J419" s="30" t="str">
        <f aca="false">IF(OR($G419="",$I419="",NOT(ISNUMBER($G419))),"",IF($I419="Maund",ROUND($G419/37.32,2),$G419))</f>
        <v/>
      </c>
      <c r="K419" s="30" t="str">
        <f aca="false">IF(OR($H419="",$I419="",NOT(ISNUMBER($H419))),"",IF($I419="Maund",ROUND($H419/37.32,2),$H419))</f>
        <v/>
      </c>
      <c r="L419" s="29"/>
      <c r="M419" s="21"/>
      <c r="N419" s="30" t="str">
        <f aca="false">IF(OR($L419="",$M419="",NOT(ISNUMBER($L419))),"",IF($M419="Maund",ROUND($L419*37.32,2),$L419))</f>
        <v/>
      </c>
      <c r="O419" s="21"/>
      <c r="P419" s="22"/>
    </row>
    <row r="420" customFormat="false" ht="19.5" hidden="false" customHeight="true" outlineLevel="0" collapsed="false">
      <c r="B420" s="28" t="s">
        <v>808</v>
      </c>
      <c r="C420" s="21"/>
      <c r="D420" s="21"/>
      <c r="E420" s="21"/>
      <c r="F420" s="21"/>
      <c r="G420" s="29"/>
      <c r="H420" s="29"/>
      <c r="I420" s="21"/>
      <c r="J420" s="30" t="str">
        <f aca="false">IF(OR($G420="",$I420="",NOT(ISNUMBER($G420))),"",IF($I420="Maund",ROUND($G420/37.32,2),$G420))</f>
        <v/>
      </c>
      <c r="K420" s="30" t="str">
        <f aca="false">IF(OR($H420="",$I420="",NOT(ISNUMBER($H420))),"",IF($I420="Maund",ROUND($H420/37.32,2),$H420))</f>
        <v/>
      </c>
      <c r="L420" s="29"/>
      <c r="M420" s="21"/>
      <c r="N420" s="30" t="str">
        <f aca="false">IF(OR($L420="",$M420="",NOT(ISNUMBER($L420))),"",IF($M420="Maund",ROUND($L420*37.32,2),$L420))</f>
        <v/>
      </c>
      <c r="O420" s="21"/>
      <c r="P420" s="22"/>
    </row>
    <row r="421" customFormat="false" ht="19.5" hidden="false" customHeight="true" outlineLevel="0" collapsed="false">
      <c r="B421" s="28" t="s">
        <v>809</v>
      </c>
      <c r="C421" s="21"/>
      <c r="D421" s="21"/>
      <c r="E421" s="21"/>
      <c r="F421" s="21"/>
      <c r="G421" s="29"/>
      <c r="H421" s="29"/>
      <c r="I421" s="21"/>
      <c r="J421" s="30" t="str">
        <f aca="false">IF(OR($G421="",$I421="",NOT(ISNUMBER($G421))),"",IF($I421="Maund",ROUND($G421/37.32,2),$G421))</f>
        <v/>
      </c>
      <c r="K421" s="30" t="str">
        <f aca="false">IF(OR($H421="",$I421="",NOT(ISNUMBER($H421))),"",IF($I421="Maund",ROUND($H421/37.32,2),$H421))</f>
        <v/>
      </c>
      <c r="L421" s="29"/>
      <c r="M421" s="21"/>
      <c r="N421" s="30" t="str">
        <f aca="false">IF(OR($L421="",$M421="",NOT(ISNUMBER($L421))),"",IF($M421="Maund",ROUND($L421*37.32,2),$L421))</f>
        <v/>
      </c>
      <c r="O421" s="21"/>
      <c r="P421" s="22"/>
    </row>
    <row r="422" customFormat="false" ht="19.5" hidden="false" customHeight="true" outlineLevel="0" collapsed="false">
      <c r="B422" s="28" t="s">
        <v>810</v>
      </c>
      <c r="C422" s="21"/>
      <c r="D422" s="21"/>
      <c r="E422" s="21"/>
      <c r="F422" s="21"/>
      <c r="G422" s="29"/>
      <c r="H422" s="29"/>
      <c r="I422" s="21"/>
      <c r="J422" s="30" t="str">
        <f aca="false">IF(OR($G422="",$I422="",NOT(ISNUMBER($G422))),"",IF($I422="Maund",ROUND($G422/37.32,2),$G422))</f>
        <v/>
      </c>
      <c r="K422" s="30" t="str">
        <f aca="false">IF(OR($H422="",$I422="",NOT(ISNUMBER($H422))),"",IF($I422="Maund",ROUND($H422/37.32,2),$H422))</f>
        <v/>
      </c>
      <c r="L422" s="29"/>
      <c r="M422" s="21"/>
      <c r="N422" s="30" t="str">
        <f aca="false">IF(OR($L422="",$M422="",NOT(ISNUMBER($L422))),"",IF($M422="Maund",ROUND($L422*37.32,2),$L422))</f>
        <v/>
      </c>
      <c r="O422" s="21"/>
      <c r="P422" s="22"/>
    </row>
    <row r="423" customFormat="false" ht="19.5" hidden="false" customHeight="true" outlineLevel="0" collapsed="false">
      <c r="B423" s="28" t="s">
        <v>811</v>
      </c>
      <c r="C423" s="21"/>
      <c r="D423" s="21"/>
      <c r="E423" s="21"/>
      <c r="F423" s="21"/>
      <c r="G423" s="29"/>
      <c r="H423" s="29"/>
      <c r="I423" s="21"/>
      <c r="J423" s="30" t="str">
        <f aca="false">IF(OR($G423="",$I423="",NOT(ISNUMBER($G423))),"",IF($I423="Maund",ROUND($G423/37.32,2),$G423))</f>
        <v/>
      </c>
      <c r="K423" s="30" t="str">
        <f aca="false">IF(OR($H423="",$I423="",NOT(ISNUMBER($H423))),"",IF($I423="Maund",ROUND($H423/37.32,2),$H423))</f>
        <v/>
      </c>
      <c r="L423" s="29"/>
      <c r="M423" s="21"/>
      <c r="N423" s="30" t="str">
        <f aca="false">IF(OR($L423="",$M423="",NOT(ISNUMBER($L423))),"",IF($M423="Maund",ROUND($L423*37.32,2),$L423))</f>
        <v/>
      </c>
      <c r="O423" s="21"/>
      <c r="P423" s="22"/>
    </row>
    <row r="424" customFormat="false" ht="19.5" hidden="false" customHeight="true" outlineLevel="0" collapsed="false">
      <c r="B424" s="28" t="s">
        <v>812</v>
      </c>
      <c r="C424" s="21"/>
      <c r="D424" s="21"/>
      <c r="E424" s="21"/>
      <c r="F424" s="21"/>
      <c r="G424" s="29"/>
      <c r="H424" s="29"/>
      <c r="I424" s="21"/>
      <c r="J424" s="30" t="str">
        <f aca="false">IF(OR($G424="",$I424="",NOT(ISNUMBER($G424))),"",IF($I424="Maund",ROUND($G424/37.32,2),$G424))</f>
        <v/>
      </c>
      <c r="K424" s="30" t="str">
        <f aca="false">IF(OR($H424="",$I424="",NOT(ISNUMBER($H424))),"",IF($I424="Maund",ROUND($H424/37.32,2),$H424))</f>
        <v/>
      </c>
      <c r="L424" s="29"/>
      <c r="M424" s="21"/>
      <c r="N424" s="30" t="str">
        <f aca="false">IF(OR($L424="",$M424="",NOT(ISNUMBER($L424))),"",IF($M424="Maund",ROUND($L424*37.32,2),$L424))</f>
        <v/>
      </c>
      <c r="O424" s="21"/>
      <c r="P424" s="22"/>
    </row>
    <row r="425" customFormat="false" ht="19.5" hidden="false" customHeight="true" outlineLevel="0" collapsed="false">
      <c r="B425" s="28" t="s">
        <v>813</v>
      </c>
      <c r="C425" s="21"/>
      <c r="D425" s="21"/>
      <c r="E425" s="21"/>
      <c r="F425" s="21"/>
      <c r="G425" s="29"/>
      <c r="H425" s="29"/>
      <c r="I425" s="21"/>
      <c r="J425" s="30" t="str">
        <f aca="false">IF(OR($G425="",$I425="",NOT(ISNUMBER($G425))),"",IF($I425="Maund",ROUND($G425/37.32,2),$G425))</f>
        <v/>
      </c>
      <c r="K425" s="30" t="str">
        <f aca="false">IF(OR($H425="",$I425="",NOT(ISNUMBER($H425))),"",IF($I425="Maund",ROUND($H425/37.32,2),$H425))</f>
        <v/>
      </c>
      <c r="L425" s="29"/>
      <c r="M425" s="21"/>
      <c r="N425" s="30" t="str">
        <f aca="false">IF(OR($L425="",$M425="",NOT(ISNUMBER($L425))),"",IF($M425="Maund",ROUND($L425*37.32,2),$L425))</f>
        <v/>
      </c>
      <c r="O425" s="21"/>
      <c r="P425" s="22"/>
    </row>
    <row r="426" customFormat="false" ht="19.5" hidden="false" customHeight="true" outlineLevel="0" collapsed="false">
      <c r="B426" s="28" t="s">
        <v>814</v>
      </c>
      <c r="C426" s="21"/>
      <c r="D426" s="21"/>
      <c r="E426" s="21"/>
      <c r="F426" s="21"/>
      <c r="G426" s="29"/>
      <c r="H426" s="29"/>
      <c r="I426" s="21"/>
      <c r="J426" s="30" t="str">
        <f aca="false">IF(OR($G426="",$I426="",NOT(ISNUMBER($G426))),"",IF($I426="Maund",ROUND($G426/37.32,2),$G426))</f>
        <v/>
      </c>
      <c r="K426" s="30" t="str">
        <f aca="false">IF(OR($H426="",$I426="",NOT(ISNUMBER($H426))),"",IF($I426="Maund",ROUND($H426/37.32,2),$H426))</f>
        <v/>
      </c>
      <c r="L426" s="29"/>
      <c r="M426" s="21"/>
      <c r="N426" s="30" t="str">
        <f aca="false">IF(OR($L426="",$M426="",NOT(ISNUMBER($L426))),"",IF($M426="Maund",ROUND($L426*37.32,2),$L426))</f>
        <v/>
      </c>
      <c r="O426" s="21"/>
      <c r="P426" s="22"/>
    </row>
    <row r="427" customFormat="false" ht="19.5" hidden="false" customHeight="true" outlineLevel="0" collapsed="false">
      <c r="B427" s="28" t="s">
        <v>815</v>
      </c>
      <c r="C427" s="21"/>
      <c r="D427" s="21"/>
      <c r="E427" s="21"/>
      <c r="F427" s="21"/>
      <c r="G427" s="29"/>
      <c r="H427" s="29"/>
      <c r="I427" s="21"/>
      <c r="J427" s="30" t="str">
        <f aca="false">IF(OR($G427="",$I427="",NOT(ISNUMBER($G427))),"",IF($I427="Maund",ROUND($G427/37.32,2),$G427))</f>
        <v/>
      </c>
      <c r="K427" s="30" t="str">
        <f aca="false">IF(OR($H427="",$I427="",NOT(ISNUMBER($H427))),"",IF($I427="Maund",ROUND($H427/37.32,2),$H427))</f>
        <v/>
      </c>
      <c r="L427" s="29"/>
      <c r="M427" s="21"/>
      <c r="N427" s="30" t="str">
        <f aca="false">IF(OR($L427="",$M427="",NOT(ISNUMBER($L427))),"",IF($M427="Maund",ROUND($L427*37.32,2),$L427))</f>
        <v/>
      </c>
      <c r="O427" s="21"/>
      <c r="P427" s="22"/>
    </row>
    <row r="428" customFormat="false" ht="19.5" hidden="false" customHeight="true" outlineLevel="0" collapsed="false">
      <c r="B428" s="28" t="s">
        <v>816</v>
      </c>
      <c r="C428" s="21"/>
      <c r="D428" s="21"/>
      <c r="E428" s="21"/>
      <c r="F428" s="21"/>
      <c r="G428" s="29"/>
      <c r="H428" s="29"/>
      <c r="I428" s="21"/>
      <c r="J428" s="30" t="str">
        <f aca="false">IF(OR($G428="",$I428="",NOT(ISNUMBER($G428))),"",IF($I428="Maund",ROUND($G428/37.32,2),$G428))</f>
        <v/>
      </c>
      <c r="K428" s="30" t="str">
        <f aca="false">IF(OR($H428="",$I428="",NOT(ISNUMBER($H428))),"",IF($I428="Maund",ROUND($H428/37.32,2),$H428))</f>
        <v/>
      </c>
      <c r="L428" s="29"/>
      <c r="M428" s="21"/>
      <c r="N428" s="30" t="str">
        <f aca="false">IF(OR($L428="",$M428="",NOT(ISNUMBER($L428))),"",IF($M428="Maund",ROUND($L428*37.32,2),$L428))</f>
        <v/>
      </c>
      <c r="O428" s="21"/>
      <c r="P428" s="22"/>
    </row>
    <row r="429" customFormat="false" ht="19.5" hidden="false" customHeight="true" outlineLevel="0" collapsed="false">
      <c r="B429" s="28" t="s">
        <v>817</v>
      </c>
      <c r="C429" s="21"/>
      <c r="D429" s="21"/>
      <c r="E429" s="21"/>
      <c r="F429" s="21"/>
      <c r="G429" s="29"/>
      <c r="H429" s="29"/>
      <c r="I429" s="21"/>
      <c r="J429" s="30" t="str">
        <f aca="false">IF(OR($G429="",$I429="",NOT(ISNUMBER($G429))),"",IF($I429="Maund",ROUND($G429/37.32,2),$G429))</f>
        <v/>
      </c>
      <c r="K429" s="30" t="str">
        <f aca="false">IF(OR($H429="",$I429="",NOT(ISNUMBER($H429))),"",IF($I429="Maund",ROUND($H429/37.32,2),$H429))</f>
        <v/>
      </c>
      <c r="L429" s="29"/>
      <c r="M429" s="21"/>
      <c r="N429" s="30" t="str">
        <f aca="false">IF(OR($L429="",$M429="",NOT(ISNUMBER($L429))),"",IF($M429="Maund",ROUND($L429*37.32,2),$L429))</f>
        <v/>
      </c>
      <c r="O429" s="21"/>
      <c r="P429" s="22"/>
    </row>
    <row r="430" customFormat="false" ht="19.5" hidden="false" customHeight="true" outlineLevel="0" collapsed="false">
      <c r="B430" s="28" t="s">
        <v>818</v>
      </c>
      <c r="C430" s="21"/>
      <c r="D430" s="21"/>
      <c r="E430" s="21"/>
      <c r="F430" s="21"/>
      <c r="G430" s="29"/>
      <c r="H430" s="29"/>
      <c r="I430" s="21"/>
      <c r="J430" s="30" t="str">
        <f aca="false">IF(OR($G430="",$I430="",NOT(ISNUMBER($G430))),"",IF($I430="Maund",ROUND($G430/37.32,2),$G430))</f>
        <v/>
      </c>
      <c r="K430" s="30" t="str">
        <f aca="false">IF(OR($H430="",$I430="",NOT(ISNUMBER($H430))),"",IF($I430="Maund",ROUND($H430/37.32,2),$H430))</f>
        <v/>
      </c>
      <c r="L430" s="29"/>
      <c r="M430" s="21"/>
      <c r="N430" s="30" t="str">
        <f aca="false">IF(OR($L430="",$M430="",NOT(ISNUMBER($L430))),"",IF($M430="Maund",ROUND($L430*37.32,2),$L430))</f>
        <v/>
      </c>
      <c r="O430" s="21"/>
      <c r="P430" s="22"/>
    </row>
    <row r="431" customFormat="false" ht="19.5" hidden="false" customHeight="true" outlineLevel="0" collapsed="false">
      <c r="B431" s="28" t="s">
        <v>819</v>
      </c>
      <c r="C431" s="21"/>
      <c r="D431" s="21"/>
      <c r="E431" s="21"/>
      <c r="F431" s="21"/>
      <c r="G431" s="29"/>
      <c r="H431" s="29"/>
      <c r="I431" s="21"/>
      <c r="J431" s="30" t="str">
        <f aca="false">IF(OR($G431="",$I431="",NOT(ISNUMBER($G431))),"",IF($I431="Maund",ROUND($G431/37.32,2),$G431))</f>
        <v/>
      </c>
      <c r="K431" s="30" t="str">
        <f aca="false">IF(OR($H431="",$I431="",NOT(ISNUMBER($H431))),"",IF($I431="Maund",ROUND($H431/37.32,2),$H431))</f>
        <v/>
      </c>
      <c r="L431" s="29"/>
      <c r="M431" s="21"/>
      <c r="N431" s="30" t="str">
        <f aca="false">IF(OR($L431="",$M431="",NOT(ISNUMBER($L431))),"",IF($M431="Maund",ROUND($L431*37.32,2),$L431))</f>
        <v/>
      </c>
      <c r="O431" s="21"/>
      <c r="P431" s="22"/>
    </row>
    <row r="432" customFormat="false" ht="19.5" hidden="false" customHeight="true" outlineLevel="0" collapsed="false">
      <c r="B432" s="28" t="s">
        <v>820</v>
      </c>
      <c r="C432" s="21"/>
      <c r="D432" s="21"/>
      <c r="E432" s="21"/>
      <c r="F432" s="21"/>
      <c r="G432" s="29"/>
      <c r="H432" s="29"/>
      <c r="I432" s="21"/>
      <c r="J432" s="30" t="str">
        <f aca="false">IF(OR($G432="",$I432="",NOT(ISNUMBER($G432))),"",IF($I432="Maund",ROUND($G432/37.32,2),$G432))</f>
        <v/>
      </c>
      <c r="K432" s="30" t="str">
        <f aca="false">IF(OR($H432="",$I432="",NOT(ISNUMBER($H432))),"",IF($I432="Maund",ROUND($H432/37.32,2),$H432))</f>
        <v/>
      </c>
      <c r="L432" s="29"/>
      <c r="M432" s="21"/>
      <c r="N432" s="30" t="str">
        <f aca="false">IF(OR($L432="",$M432="",NOT(ISNUMBER($L432))),"",IF($M432="Maund",ROUND($L432*37.32,2),$L432))</f>
        <v/>
      </c>
      <c r="O432" s="21"/>
      <c r="P432" s="22"/>
    </row>
    <row r="433" customFormat="false" ht="19.5" hidden="false" customHeight="true" outlineLevel="0" collapsed="false">
      <c r="B433" s="28" t="s">
        <v>821</v>
      </c>
      <c r="C433" s="21"/>
      <c r="D433" s="21"/>
      <c r="E433" s="21"/>
      <c r="F433" s="21"/>
      <c r="G433" s="29"/>
      <c r="H433" s="29"/>
      <c r="I433" s="21"/>
      <c r="J433" s="30" t="str">
        <f aca="false">IF(OR($G433="",$I433="",NOT(ISNUMBER($G433))),"",IF($I433="Maund",ROUND($G433/37.32,2),$G433))</f>
        <v/>
      </c>
      <c r="K433" s="30" t="str">
        <f aca="false">IF(OR($H433="",$I433="",NOT(ISNUMBER($H433))),"",IF($I433="Maund",ROUND($H433/37.32,2),$H433))</f>
        <v/>
      </c>
      <c r="L433" s="29"/>
      <c r="M433" s="21"/>
      <c r="N433" s="30" t="str">
        <f aca="false">IF(OR($L433="",$M433="",NOT(ISNUMBER($L433))),"",IF($M433="Maund",ROUND($L433*37.32,2),$L433))</f>
        <v/>
      </c>
      <c r="O433" s="21"/>
      <c r="P433" s="22"/>
    </row>
    <row r="434" customFormat="false" ht="19.5" hidden="false" customHeight="true" outlineLevel="0" collapsed="false">
      <c r="B434" s="28" t="s">
        <v>822</v>
      </c>
      <c r="C434" s="21"/>
      <c r="D434" s="21"/>
      <c r="E434" s="21"/>
      <c r="F434" s="21"/>
      <c r="G434" s="29"/>
      <c r="H434" s="29"/>
      <c r="I434" s="21"/>
      <c r="J434" s="30" t="str">
        <f aca="false">IF(OR($G434="",$I434="",NOT(ISNUMBER($G434))),"",IF($I434="Maund",ROUND($G434/37.32,2),$G434))</f>
        <v/>
      </c>
      <c r="K434" s="30" t="str">
        <f aca="false">IF(OR($H434="",$I434="",NOT(ISNUMBER($H434))),"",IF($I434="Maund",ROUND($H434/37.32,2),$H434))</f>
        <v/>
      </c>
      <c r="L434" s="29"/>
      <c r="M434" s="21"/>
      <c r="N434" s="30" t="str">
        <f aca="false">IF(OR($L434="",$M434="",NOT(ISNUMBER($L434))),"",IF($M434="Maund",ROUND($L434*37.32,2),$L434))</f>
        <v/>
      </c>
      <c r="O434" s="21"/>
      <c r="P434" s="22"/>
    </row>
    <row r="435" customFormat="false" ht="19.5" hidden="false" customHeight="true" outlineLevel="0" collapsed="false">
      <c r="B435" s="28" t="s">
        <v>823</v>
      </c>
      <c r="C435" s="21"/>
      <c r="D435" s="21"/>
      <c r="E435" s="21"/>
      <c r="F435" s="21"/>
      <c r="G435" s="29"/>
      <c r="H435" s="29"/>
      <c r="I435" s="21"/>
      <c r="J435" s="30" t="str">
        <f aca="false">IF(OR($G435="",$I435="",NOT(ISNUMBER($G435))),"",IF($I435="Maund",ROUND($G435/37.32,2),$G435))</f>
        <v/>
      </c>
      <c r="K435" s="30" t="str">
        <f aca="false">IF(OR($H435="",$I435="",NOT(ISNUMBER($H435))),"",IF($I435="Maund",ROUND($H435/37.32,2),$H435))</f>
        <v/>
      </c>
      <c r="L435" s="29"/>
      <c r="M435" s="21"/>
      <c r="N435" s="30" t="str">
        <f aca="false">IF(OR($L435="",$M435="",NOT(ISNUMBER($L435))),"",IF($M435="Maund",ROUND($L435*37.32,2),$L435))</f>
        <v/>
      </c>
      <c r="O435" s="21"/>
      <c r="P435" s="22"/>
    </row>
    <row r="436" customFormat="false" ht="19.5" hidden="false" customHeight="true" outlineLevel="0" collapsed="false">
      <c r="B436" s="28" t="s">
        <v>824</v>
      </c>
      <c r="C436" s="21"/>
      <c r="D436" s="21"/>
      <c r="E436" s="21"/>
      <c r="F436" s="21"/>
      <c r="G436" s="29"/>
      <c r="H436" s="29"/>
      <c r="I436" s="21"/>
      <c r="J436" s="30" t="str">
        <f aca="false">IF(OR($G436="",$I436="",NOT(ISNUMBER($G436))),"",IF($I436="Maund",ROUND($G436/37.32,2),$G436))</f>
        <v/>
      </c>
      <c r="K436" s="30" t="str">
        <f aca="false">IF(OR($H436="",$I436="",NOT(ISNUMBER($H436))),"",IF($I436="Maund",ROUND($H436/37.32,2),$H436))</f>
        <v/>
      </c>
      <c r="L436" s="29"/>
      <c r="M436" s="21"/>
      <c r="N436" s="30" t="str">
        <f aca="false">IF(OR($L436="",$M436="",NOT(ISNUMBER($L436))),"",IF($M436="Maund",ROUND($L436*37.32,2),$L436))</f>
        <v/>
      </c>
      <c r="O436" s="21"/>
      <c r="P436" s="22"/>
    </row>
    <row r="437" customFormat="false" ht="19.5" hidden="false" customHeight="true" outlineLevel="0" collapsed="false">
      <c r="B437" s="28" t="s">
        <v>825</v>
      </c>
      <c r="C437" s="21"/>
      <c r="D437" s="21"/>
      <c r="E437" s="21"/>
      <c r="F437" s="21"/>
      <c r="G437" s="29"/>
      <c r="H437" s="29"/>
      <c r="I437" s="21"/>
      <c r="J437" s="30" t="str">
        <f aca="false">IF(OR($G437="",$I437="",NOT(ISNUMBER($G437))),"",IF($I437="Maund",ROUND($G437/37.32,2),$G437))</f>
        <v/>
      </c>
      <c r="K437" s="30" t="str">
        <f aca="false">IF(OR($H437="",$I437="",NOT(ISNUMBER($H437))),"",IF($I437="Maund",ROUND($H437/37.32,2),$H437))</f>
        <v/>
      </c>
      <c r="L437" s="29"/>
      <c r="M437" s="21"/>
      <c r="N437" s="30" t="str">
        <f aca="false">IF(OR($L437="",$M437="",NOT(ISNUMBER($L437))),"",IF($M437="Maund",ROUND($L437*37.32,2),$L437))</f>
        <v/>
      </c>
      <c r="O437" s="21"/>
      <c r="P437" s="22"/>
    </row>
    <row r="438" customFormat="false" ht="19.5" hidden="false" customHeight="true" outlineLevel="0" collapsed="false">
      <c r="B438" s="28" t="s">
        <v>826</v>
      </c>
      <c r="C438" s="21"/>
      <c r="D438" s="21"/>
      <c r="E438" s="21"/>
      <c r="F438" s="21"/>
      <c r="G438" s="29"/>
      <c r="H438" s="29"/>
      <c r="I438" s="21"/>
      <c r="J438" s="30" t="str">
        <f aca="false">IF(OR($G438="",$I438="",NOT(ISNUMBER($G438))),"",IF($I438="Maund",ROUND($G438/37.32,2),$G438))</f>
        <v/>
      </c>
      <c r="K438" s="30" t="str">
        <f aca="false">IF(OR($H438="",$I438="",NOT(ISNUMBER($H438))),"",IF($I438="Maund",ROUND($H438/37.32,2),$H438))</f>
        <v/>
      </c>
      <c r="L438" s="29"/>
      <c r="M438" s="21"/>
      <c r="N438" s="30" t="str">
        <f aca="false">IF(OR($L438="",$M438="",NOT(ISNUMBER($L438))),"",IF($M438="Maund",ROUND($L438*37.32,2),$L438))</f>
        <v/>
      </c>
      <c r="O438" s="21"/>
      <c r="P438" s="22"/>
    </row>
    <row r="439" customFormat="false" ht="19.5" hidden="false" customHeight="true" outlineLevel="0" collapsed="false">
      <c r="B439" s="28" t="s">
        <v>827</v>
      </c>
      <c r="C439" s="21"/>
      <c r="D439" s="21"/>
      <c r="E439" s="21"/>
      <c r="F439" s="21"/>
      <c r="G439" s="29"/>
      <c r="H439" s="29"/>
      <c r="I439" s="21"/>
      <c r="J439" s="30" t="str">
        <f aca="false">IF(OR($G439="",$I439="",NOT(ISNUMBER($G439))),"",IF($I439="Maund",ROUND($G439/37.32,2),$G439))</f>
        <v/>
      </c>
      <c r="K439" s="30" t="str">
        <f aca="false">IF(OR($H439="",$I439="",NOT(ISNUMBER($H439))),"",IF($I439="Maund",ROUND($H439/37.32,2),$H439))</f>
        <v/>
      </c>
      <c r="L439" s="29"/>
      <c r="M439" s="21"/>
      <c r="N439" s="30" t="str">
        <f aca="false">IF(OR($L439="",$M439="",NOT(ISNUMBER($L439))),"",IF($M439="Maund",ROUND($L439*37.32,2),$L439))</f>
        <v/>
      </c>
      <c r="O439" s="21"/>
      <c r="P439" s="22"/>
    </row>
    <row r="440" customFormat="false" ht="19.5" hidden="false" customHeight="true" outlineLevel="0" collapsed="false">
      <c r="B440" s="28" t="s">
        <v>828</v>
      </c>
      <c r="C440" s="21"/>
      <c r="D440" s="21"/>
      <c r="E440" s="21"/>
      <c r="F440" s="21"/>
      <c r="G440" s="29"/>
      <c r="H440" s="29"/>
      <c r="I440" s="21"/>
      <c r="J440" s="30" t="str">
        <f aca="false">IF(OR($G440="",$I440="",NOT(ISNUMBER($G440))),"",IF($I440="Maund",ROUND($G440/37.32,2),$G440))</f>
        <v/>
      </c>
      <c r="K440" s="30" t="str">
        <f aca="false">IF(OR($H440="",$I440="",NOT(ISNUMBER($H440))),"",IF($I440="Maund",ROUND($H440/37.32,2),$H440))</f>
        <v/>
      </c>
      <c r="L440" s="29"/>
      <c r="M440" s="21"/>
      <c r="N440" s="30" t="str">
        <f aca="false">IF(OR($L440="",$M440="",NOT(ISNUMBER($L440))),"",IF($M440="Maund",ROUND($L440*37.32,2),$L440))</f>
        <v/>
      </c>
      <c r="O440" s="21"/>
      <c r="P440" s="22"/>
    </row>
    <row r="441" customFormat="false" ht="19.5" hidden="false" customHeight="true" outlineLevel="0" collapsed="false">
      <c r="B441" s="28" t="s">
        <v>829</v>
      </c>
      <c r="C441" s="21"/>
      <c r="D441" s="21"/>
      <c r="E441" s="21"/>
      <c r="F441" s="21"/>
      <c r="G441" s="29"/>
      <c r="H441" s="29"/>
      <c r="I441" s="21"/>
      <c r="J441" s="30" t="str">
        <f aca="false">IF(OR($G441="",$I441="",NOT(ISNUMBER($G441))),"",IF($I441="Maund",ROUND($G441/37.32,2),$G441))</f>
        <v/>
      </c>
      <c r="K441" s="30" t="str">
        <f aca="false">IF(OR($H441="",$I441="",NOT(ISNUMBER($H441))),"",IF($I441="Maund",ROUND($H441/37.32,2),$H441))</f>
        <v/>
      </c>
      <c r="L441" s="29"/>
      <c r="M441" s="21"/>
      <c r="N441" s="30" t="str">
        <f aca="false">IF(OR($L441="",$M441="",NOT(ISNUMBER($L441))),"",IF($M441="Maund",ROUND($L441*37.32,2),$L441))</f>
        <v/>
      </c>
      <c r="O441" s="21"/>
      <c r="P441" s="22"/>
    </row>
    <row r="442" customFormat="false" ht="19.5" hidden="false" customHeight="true" outlineLevel="0" collapsed="false">
      <c r="B442" s="28" t="s">
        <v>830</v>
      </c>
      <c r="C442" s="21"/>
      <c r="D442" s="21"/>
      <c r="E442" s="21"/>
      <c r="F442" s="21"/>
      <c r="G442" s="29"/>
      <c r="H442" s="29"/>
      <c r="I442" s="21"/>
      <c r="J442" s="30" t="str">
        <f aca="false">IF(OR($G442="",$I442="",NOT(ISNUMBER($G442))),"",IF($I442="Maund",ROUND($G442/37.32,2),$G442))</f>
        <v/>
      </c>
      <c r="K442" s="30" t="str">
        <f aca="false">IF(OR($H442="",$I442="",NOT(ISNUMBER($H442))),"",IF($I442="Maund",ROUND($H442/37.32,2),$H442))</f>
        <v/>
      </c>
      <c r="L442" s="29"/>
      <c r="M442" s="21"/>
      <c r="N442" s="30" t="str">
        <f aca="false">IF(OR($L442="",$M442="",NOT(ISNUMBER($L442))),"",IF($M442="Maund",ROUND($L442*37.32,2),$L442))</f>
        <v/>
      </c>
      <c r="O442" s="21"/>
      <c r="P442" s="22"/>
    </row>
    <row r="443" customFormat="false" ht="19.5" hidden="false" customHeight="true" outlineLevel="0" collapsed="false">
      <c r="B443" s="28" t="s">
        <v>831</v>
      </c>
      <c r="C443" s="21"/>
      <c r="D443" s="21"/>
      <c r="E443" s="21"/>
      <c r="F443" s="21"/>
      <c r="G443" s="29"/>
      <c r="H443" s="29"/>
      <c r="I443" s="21"/>
      <c r="J443" s="30" t="str">
        <f aca="false">IF(OR($G443="",$I443="",NOT(ISNUMBER($G443))),"",IF($I443="Maund",ROUND($G443/37.32,2),$G443))</f>
        <v/>
      </c>
      <c r="K443" s="30" t="str">
        <f aca="false">IF(OR($H443="",$I443="",NOT(ISNUMBER($H443))),"",IF($I443="Maund",ROUND($H443/37.32,2),$H443))</f>
        <v/>
      </c>
      <c r="L443" s="29"/>
      <c r="M443" s="21"/>
      <c r="N443" s="30" t="str">
        <f aca="false">IF(OR($L443="",$M443="",NOT(ISNUMBER($L443))),"",IF($M443="Maund",ROUND($L443*37.32,2),$L443))</f>
        <v/>
      </c>
      <c r="O443" s="21"/>
      <c r="P443" s="22"/>
    </row>
    <row r="444" customFormat="false" ht="19.5" hidden="false" customHeight="true" outlineLevel="0" collapsed="false">
      <c r="B444" s="28" t="s">
        <v>832</v>
      </c>
      <c r="C444" s="21"/>
      <c r="D444" s="21"/>
      <c r="E444" s="21"/>
      <c r="F444" s="21"/>
      <c r="G444" s="29"/>
      <c r="H444" s="29"/>
      <c r="I444" s="21"/>
      <c r="J444" s="30" t="str">
        <f aca="false">IF(OR($G444="",$I444="",NOT(ISNUMBER($G444))),"",IF($I444="Maund",ROUND($G444/37.32,2),$G444))</f>
        <v/>
      </c>
      <c r="K444" s="30" t="str">
        <f aca="false">IF(OR($H444="",$I444="",NOT(ISNUMBER($H444))),"",IF($I444="Maund",ROUND($H444/37.32,2),$H444))</f>
        <v/>
      </c>
      <c r="L444" s="29"/>
      <c r="M444" s="21"/>
      <c r="N444" s="30" t="str">
        <f aca="false">IF(OR($L444="",$M444="",NOT(ISNUMBER($L444))),"",IF($M444="Maund",ROUND($L444*37.32,2),$L444))</f>
        <v/>
      </c>
      <c r="O444" s="21"/>
      <c r="P444" s="22"/>
    </row>
    <row r="445" customFormat="false" ht="19.5" hidden="false" customHeight="true" outlineLevel="0" collapsed="false">
      <c r="B445" s="28" t="s">
        <v>833</v>
      </c>
      <c r="C445" s="21"/>
      <c r="D445" s="21"/>
      <c r="E445" s="21"/>
      <c r="F445" s="21"/>
      <c r="G445" s="29"/>
      <c r="H445" s="29"/>
      <c r="I445" s="21"/>
      <c r="J445" s="30" t="str">
        <f aca="false">IF(OR($G445="",$I445="",NOT(ISNUMBER($G445))),"",IF($I445="Maund",ROUND($G445/37.32,2),$G445))</f>
        <v/>
      </c>
      <c r="K445" s="30" t="str">
        <f aca="false">IF(OR($H445="",$I445="",NOT(ISNUMBER($H445))),"",IF($I445="Maund",ROUND($H445/37.32,2),$H445))</f>
        <v/>
      </c>
      <c r="L445" s="29"/>
      <c r="M445" s="21"/>
      <c r="N445" s="30" t="str">
        <f aca="false">IF(OR($L445="",$M445="",NOT(ISNUMBER($L445))),"",IF($M445="Maund",ROUND($L445*37.32,2),$L445))</f>
        <v/>
      </c>
      <c r="O445" s="21"/>
      <c r="P445" s="22"/>
    </row>
    <row r="446" customFormat="false" ht="19.5" hidden="false" customHeight="true" outlineLevel="0" collapsed="false">
      <c r="B446" s="28" t="s">
        <v>834</v>
      </c>
      <c r="C446" s="21"/>
      <c r="D446" s="21"/>
      <c r="E446" s="21"/>
      <c r="F446" s="21"/>
      <c r="G446" s="29"/>
      <c r="H446" s="29"/>
      <c r="I446" s="21"/>
      <c r="J446" s="30" t="str">
        <f aca="false">IF(OR($G446="",$I446="",NOT(ISNUMBER($G446))),"",IF($I446="Maund",ROUND($G446/37.32,2),$G446))</f>
        <v/>
      </c>
      <c r="K446" s="30" t="str">
        <f aca="false">IF(OR($H446="",$I446="",NOT(ISNUMBER($H446))),"",IF($I446="Maund",ROUND($H446/37.32,2),$H446))</f>
        <v/>
      </c>
      <c r="L446" s="29"/>
      <c r="M446" s="21"/>
      <c r="N446" s="30" t="str">
        <f aca="false">IF(OR($L446="",$M446="",NOT(ISNUMBER($L446))),"",IF($M446="Maund",ROUND($L446*37.32,2),$L446))</f>
        <v/>
      </c>
      <c r="O446" s="21"/>
      <c r="P446" s="22"/>
    </row>
    <row r="447" customFormat="false" ht="19.5" hidden="false" customHeight="true" outlineLevel="0" collapsed="false">
      <c r="B447" s="28" t="s">
        <v>835</v>
      </c>
      <c r="C447" s="21"/>
      <c r="D447" s="21"/>
      <c r="E447" s="21"/>
      <c r="F447" s="21"/>
      <c r="G447" s="29"/>
      <c r="H447" s="29"/>
      <c r="I447" s="21"/>
      <c r="J447" s="30" t="str">
        <f aca="false">IF(OR($G447="",$I447="",NOT(ISNUMBER($G447))),"",IF($I447="Maund",ROUND($G447/37.32,2),$G447))</f>
        <v/>
      </c>
      <c r="K447" s="30" t="str">
        <f aca="false">IF(OR($H447="",$I447="",NOT(ISNUMBER($H447))),"",IF($I447="Maund",ROUND($H447/37.32,2),$H447))</f>
        <v/>
      </c>
      <c r="L447" s="29"/>
      <c r="M447" s="21"/>
      <c r="N447" s="30" t="str">
        <f aca="false">IF(OR($L447="",$M447="",NOT(ISNUMBER($L447))),"",IF($M447="Maund",ROUND($L447*37.32,2),$L447))</f>
        <v/>
      </c>
      <c r="O447" s="21"/>
      <c r="P447" s="22"/>
    </row>
    <row r="448" customFormat="false" ht="19.5" hidden="false" customHeight="true" outlineLevel="0" collapsed="false">
      <c r="B448" s="28" t="s">
        <v>836</v>
      </c>
      <c r="C448" s="21"/>
      <c r="D448" s="21"/>
      <c r="E448" s="21"/>
      <c r="F448" s="21"/>
      <c r="G448" s="29"/>
      <c r="H448" s="29"/>
      <c r="I448" s="21"/>
      <c r="J448" s="30" t="str">
        <f aca="false">IF(OR($G448="",$I448="",NOT(ISNUMBER($G448))),"",IF($I448="Maund",ROUND($G448/37.32,2),$G448))</f>
        <v/>
      </c>
      <c r="K448" s="30" t="str">
        <f aca="false">IF(OR($H448="",$I448="",NOT(ISNUMBER($H448))),"",IF($I448="Maund",ROUND($H448/37.32,2),$H448))</f>
        <v/>
      </c>
      <c r="L448" s="29"/>
      <c r="M448" s="21"/>
      <c r="N448" s="30" t="str">
        <f aca="false">IF(OR($L448="",$M448="",NOT(ISNUMBER($L448))),"",IF($M448="Maund",ROUND($L448*37.32,2),$L448))</f>
        <v/>
      </c>
      <c r="O448" s="21"/>
      <c r="P448" s="22"/>
    </row>
    <row r="449" customFormat="false" ht="19.5" hidden="false" customHeight="true" outlineLevel="0" collapsed="false">
      <c r="B449" s="28" t="s">
        <v>837</v>
      </c>
      <c r="C449" s="21"/>
      <c r="D449" s="21"/>
      <c r="E449" s="21"/>
      <c r="F449" s="21"/>
      <c r="G449" s="29"/>
      <c r="H449" s="29"/>
      <c r="I449" s="21"/>
      <c r="J449" s="30" t="str">
        <f aca="false">IF(OR($G449="",$I449="",NOT(ISNUMBER($G449))),"",IF($I449="Maund",ROUND($G449/37.32,2),$G449))</f>
        <v/>
      </c>
      <c r="K449" s="30" t="str">
        <f aca="false">IF(OR($H449="",$I449="",NOT(ISNUMBER($H449))),"",IF($I449="Maund",ROUND($H449/37.32,2),$H449))</f>
        <v/>
      </c>
      <c r="L449" s="29"/>
      <c r="M449" s="21"/>
      <c r="N449" s="30" t="str">
        <f aca="false">IF(OR($L449="",$M449="",NOT(ISNUMBER($L449))),"",IF($M449="Maund",ROUND($L449*37.32,2),$L449))</f>
        <v/>
      </c>
      <c r="O449" s="21"/>
      <c r="P449" s="22"/>
    </row>
    <row r="450" customFormat="false" ht="19.5" hidden="false" customHeight="true" outlineLevel="0" collapsed="false">
      <c r="B450" s="28" t="s">
        <v>838</v>
      </c>
      <c r="C450" s="21"/>
      <c r="D450" s="21"/>
      <c r="E450" s="21"/>
      <c r="F450" s="21"/>
      <c r="G450" s="29"/>
      <c r="H450" s="29"/>
      <c r="I450" s="21"/>
      <c r="J450" s="30" t="str">
        <f aca="false">IF(OR($G450="",$I450="",NOT(ISNUMBER($G450))),"",IF($I450="Maund",ROUND($G450/37.32,2),$G450))</f>
        <v/>
      </c>
      <c r="K450" s="30" t="str">
        <f aca="false">IF(OR($H450="",$I450="",NOT(ISNUMBER($H450))),"",IF($I450="Maund",ROUND($H450/37.32,2),$H450))</f>
        <v/>
      </c>
      <c r="L450" s="29"/>
      <c r="M450" s="21"/>
      <c r="N450" s="30" t="str">
        <f aca="false">IF(OR($L450="",$M450="",NOT(ISNUMBER($L450))),"",IF($M450="Maund",ROUND($L450*37.32,2),$L450))</f>
        <v/>
      </c>
      <c r="O450" s="21"/>
      <c r="P450" s="22"/>
    </row>
    <row r="451" customFormat="false" ht="19.5" hidden="false" customHeight="true" outlineLevel="0" collapsed="false">
      <c r="B451" s="28" t="s">
        <v>839</v>
      </c>
      <c r="C451" s="21"/>
      <c r="D451" s="21"/>
      <c r="E451" s="21"/>
      <c r="F451" s="21"/>
      <c r="G451" s="29"/>
      <c r="H451" s="29"/>
      <c r="I451" s="21"/>
      <c r="J451" s="30" t="str">
        <f aca="false">IF(OR($G451="",$I451="",NOT(ISNUMBER($G451))),"",IF($I451="Maund",ROUND($G451/37.32,2),$G451))</f>
        <v/>
      </c>
      <c r="K451" s="30" t="str">
        <f aca="false">IF(OR($H451="",$I451="",NOT(ISNUMBER($H451))),"",IF($I451="Maund",ROUND($H451/37.32,2),$H451))</f>
        <v/>
      </c>
      <c r="L451" s="29"/>
      <c r="M451" s="21"/>
      <c r="N451" s="30" t="str">
        <f aca="false">IF(OR($L451="",$M451="",NOT(ISNUMBER($L451))),"",IF($M451="Maund",ROUND($L451*37.32,2),$L451))</f>
        <v/>
      </c>
      <c r="O451" s="21"/>
      <c r="P451" s="22"/>
    </row>
    <row r="452" customFormat="false" ht="19.5" hidden="false" customHeight="true" outlineLevel="0" collapsed="false">
      <c r="B452" s="28" t="s">
        <v>840</v>
      </c>
      <c r="C452" s="21"/>
      <c r="D452" s="21"/>
      <c r="E452" s="21"/>
      <c r="F452" s="21"/>
      <c r="G452" s="29"/>
      <c r="H452" s="29"/>
      <c r="I452" s="21"/>
      <c r="J452" s="30" t="str">
        <f aca="false">IF(OR($G452="",$I452="",NOT(ISNUMBER($G452))),"",IF($I452="Maund",ROUND($G452/37.32,2),$G452))</f>
        <v/>
      </c>
      <c r="K452" s="30" t="str">
        <f aca="false">IF(OR($H452="",$I452="",NOT(ISNUMBER($H452))),"",IF($I452="Maund",ROUND($H452/37.32,2),$H452))</f>
        <v/>
      </c>
      <c r="L452" s="29"/>
      <c r="M452" s="21"/>
      <c r="N452" s="30" t="str">
        <f aca="false">IF(OR($L452="",$M452="",NOT(ISNUMBER($L452))),"",IF($M452="Maund",ROUND($L452*37.32,2),$L452))</f>
        <v/>
      </c>
      <c r="O452" s="21"/>
      <c r="P452" s="22"/>
    </row>
    <row r="453" customFormat="false" ht="19.5" hidden="false" customHeight="true" outlineLevel="0" collapsed="false">
      <c r="B453" s="28" t="s">
        <v>841</v>
      </c>
      <c r="C453" s="21"/>
      <c r="D453" s="21"/>
      <c r="E453" s="21"/>
      <c r="F453" s="21"/>
      <c r="G453" s="29"/>
      <c r="H453" s="29"/>
      <c r="I453" s="21"/>
      <c r="J453" s="30" t="str">
        <f aca="false">IF(OR($G453="",$I453="",NOT(ISNUMBER($G453))),"",IF($I453="Maund",ROUND($G453/37.32,2),$G453))</f>
        <v/>
      </c>
      <c r="K453" s="30" t="str">
        <f aca="false">IF(OR($H453="",$I453="",NOT(ISNUMBER($H453))),"",IF($I453="Maund",ROUND($H453/37.32,2),$H453))</f>
        <v/>
      </c>
      <c r="L453" s="29"/>
      <c r="M453" s="21"/>
      <c r="N453" s="30" t="str">
        <f aca="false">IF(OR($L453="",$M453="",NOT(ISNUMBER($L453))),"",IF($M453="Maund",ROUND($L453*37.32,2),$L453))</f>
        <v/>
      </c>
      <c r="O453" s="21"/>
      <c r="P453" s="22"/>
    </row>
    <row r="454" customFormat="false" ht="19.5" hidden="false" customHeight="true" outlineLevel="0" collapsed="false">
      <c r="B454" s="28" t="s">
        <v>842</v>
      </c>
      <c r="C454" s="21"/>
      <c r="D454" s="21"/>
      <c r="E454" s="21"/>
      <c r="F454" s="21"/>
      <c r="G454" s="29"/>
      <c r="H454" s="29"/>
      <c r="I454" s="21"/>
      <c r="J454" s="30" t="str">
        <f aca="false">IF(OR($G454="",$I454="",NOT(ISNUMBER($G454))),"",IF($I454="Maund",ROUND($G454/37.32,2),$G454))</f>
        <v/>
      </c>
      <c r="K454" s="30" t="str">
        <f aca="false">IF(OR($H454="",$I454="",NOT(ISNUMBER($H454))),"",IF($I454="Maund",ROUND($H454/37.32,2),$H454))</f>
        <v/>
      </c>
      <c r="L454" s="29"/>
      <c r="M454" s="21"/>
      <c r="N454" s="30" t="str">
        <f aca="false">IF(OR($L454="",$M454="",NOT(ISNUMBER($L454))),"",IF($M454="Maund",ROUND($L454*37.32,2),$L454))</f>
        <v/>
      </c>
      <c r="O454" s="21"/>
      <c r="P454" s="22"/>
    </row>
    <row r="455" customFormat="false" ht="19.5" hidden="false" customHeight="true" outlineLevel="0" collapsed="false">
      <c r="B455" s="28" t="s">
        <v>843</v>
      </c>
      <c r="C455" s="21"/>
      <c r="D455" s="21"/>
      <c r="E455" s="21"/>
      <c r="F455" s="21"/>
      <c r="G455" s="29"/>
      <c r="H455" s="29"/>
      <c r="I455" s="21"/>
      <c r="J455" s="30" t="str">
        <f aca="false">IF(OR($G455="",$I455="",NOT(ISNUMBER($G455))),"",IF($I455="Maund",ROUND($G455/37.32,2),$G455))</f>
        <v/>
      </c>
      <c r="K455" s="30" t="str">
        <f aca="false">IF(OR($H455="",$I455="",NOT(ISNUMBER($H455))),"",IF($I455="Maund",ROUND($H455/37.32,2),$H455))</f>
        <v/>
      </c>
      <c r="L455" s="29"/>
      <c r="M455" s="21"/>
      <c r="N455" s="30" t="str">
        <f aca="false">IF(OR($L455="",$M455="",NOT(ISNUMBER($L455))),"",IF($M455="Maund",ROUND($L455*37.32,2),$L455))</f>
        <v/>
      </c>
      <c r="O455" s="21"/>
      <c r="P455" s="22"/>
    </row>
    <row r="456" customFormat="false" ht="19.5" hidden="false" customHeight="true" outlineLevel="0" collapsed="false">
      <c r="B456" s="28" t="s">
        <v>844</v>
      </c>
      <c r="C456" s="21"/>
      <c r="D456" s="21"/>
      <c r="E456" s="21"/>
      <c r="F456" s="21"/>
      <c r="G456" s="29"/>
      <c r="H456" s="29"/>
      <c r="I456" s="21"/>
      <c r="J456" s="30" t="str">
        <f aca="false">IF(OR($G456="",$I456="",NOT(ISNUMBER($G456))),"",IF($I456="Maund",ROUND($G456/37.32,2),$G456))</f>
        <v/>
      </c>
      <c r="K456" s="30" t="str">
        <f aca="false">IF(OR($H456="",$I456="",NOT(ISNUMBER($H456))),"",IF($I456="Maund",ROUND($H456/37.32,2),$H456))</f>
        <v/>
      </c>
      <c r="L456" s="29"/>
      <c r="M456" s="21"/>
      <c r="N456" s="30" t="str">
        <f aca="false">IF(OR($L456="",$M456="",NOT(ISNUMBER($L456))),"",IF($M456="Maund",ROUND($L456*37.32,2),$L456))</f>
        <v/>
      </c>
      <c r="O456" s="21"/>
      <c r="P456" s="22"/>
    </row>
    <row r="457" customFormat="false" ht="19.5" hidden="false" customHeight="true" outlineLevel="0" collapsed="false">
      <c r="B457" s="28" t="s">
        <v>845</v>
      </c>
      <c r="C457" s="21"/>
      <c r="D457" s="21"/>
      <c r="E457" s="21"/>
      <c r="F457" s="21"/>
      <c r="G457" s="29"/>
      <c r="H457" s="29"/>
      <c r="I457" s="21"/>
      <c r="J457" s="30" t="str">
        <f aca="false">IF(OR($G457="",$I457="",NOT(ISNUMBER($G457))),"",IF($I457="Maund",ROUND($G457/37.32,2),$G457))</f>
        <v/>
      </c>
      <c r="K457" s="30" t="str">
        <f aca="false">IF(OR($H457="",$I457="",NOT(ISNUMBER($H457))),"",IF($I457="Maund",ROUND($H457/37.32,2),$H457))</f>
        <v/>
      </c>
      <c r="L457" s="29"/>
      <c r="M457" s="21"/>
      <c r="N457" s="30" t="str">
        <f aca="false">IF(OR($L457="",$M457="",NOT(ISNUMBER($L457))),"",IF($M457="Maund",ROUND($L457*37.32,2),$L457))</f>
        <v/>
      </c>
      <c r="O457" s="21"/>
      <c r="P457" s="22"/>
    </row>
    <row r="458" customFormat="false" ht="19.5" hidden="false" customHeight="true" outlineLevel="0" collapsed="false">
      <c r="B458" s="28" t="s">
        <v>846</v>
      </c>
      <c r="C458" s="21"/>
      <c r="D458" s="21"/>
      <c r="E458" s="21"/>
      <c r="F458" s="21"/>
      <c r="G458" s="29"/>
      <c r="H458" s="29"/>
      <c r="I458" s="21"/>
      <c r="J458" s="30" t="str">
        <f aca="false">IF(OR($G458="",$I458="",NOT(ISNUMBER($G458))),"",IF($I458="Maund",ROUND($G458/37.32,2),$G458))</f>
        <v/>
      </c>
      <c r="K458" s="30" t="str">
        <f aca="false">IF(OR($H458="",$I458="",NOT(ISNUMBER($H458))),"",IF($I458="Maund",ROUND($H458/37.32,2),$H458))</f>
        <v/>
      </c>
      <c r="L458" s="29"/>
      <c r="M458" s="21"/>
      <c r="N458" s="30" t="str">
        <f aca="false">IF(OR($L458="",$M458="",NOT(ISNUMBER($L458))),"",IF($M458="Maund",ROUND($L458*37.32,2),$L458))</f>
        <v/>
      </c>
      <c r="O458" s="21"/>
      <c r="P458" s="22"/>
    </row>
    <row r="459" customFormat="false" ht="19.5" hidden="false" customHeight="true" outlineLevel="0" collapsed="false">
      <c r="B459" s="28" t="s">
        <v>847</v>
      </c>
      <c r="C459" s="21"/>
      <c r="D459" s="21"/>
      <c r="E459" s="21"/>
      <c r="F459" s="21"/>
      <c r="G459" s="29"/>
      <c r="H459" s="29"/>
      <c r="I459" s="21"/>
      <c r="J459" s="30" t="str">
        <f aca="false">IF(OR($G459="",$I459="",NOT(ISNUMBER($G459))),"",IF($I459="Maund",ROUND($G459/37.32,2),$G459))</f>
        <v/>
      </c>
      <c r="K459" s="30" t="str">
        <f aca="false">IF(OR($H459="",$I459="",NOT(ISNUMBER($H459))),"",IF($I459="Maund",ROUND($H459/37.32,2),$H459))</f>
        <v/>
      </c>
      <c r="L459" s="29"/>
      <c r="M459" s="21"/>
      <c r="N459" s="30" t="str">
        <f aca="false">IF(OR($L459="",$M459="",NOT(ISNUMBER($L459))),"",IF($M459="Maund",ROUND($L459*37.32,2),$L459))</f>
        <v/>
      </c>
      <c r="O459" s="21"/>
      <c r="P459" s="22"/>
    </row>
    <row r="460" customFormat="false" ht="19.5" hidden="false" customHeight="true" outlineLevel="0" collapsed="false">
      <c r="B460" s="28" t="s">
        <v>848</v>
      </c>
      <c r="C460" s="21"/>
      <c r="D460" s="21"/>
      <c r="E460" s="21"/>
      <c r="F460" s="21"/>
      <c r="G460" s="29"/>
      <c r="H460" s="29"/>
      <c r="I460" s="21"/>
      <c r="J460" s="30" t="str">
        <f aca="false">IF(OR($G460="",$I460="",NOT(ISNUMBER($G460))),"",IF($I460="Maund",ROUND($G460/37.32,2),$G460))</f>
        <v/>
      </c>
      <c r="K460" s="30" t="str">
        <f aca="false">IF(OR($H460="",$I460="",NOT(ISNUMBER($H460))),"",IF($I460="Maund",ROUND($H460/37.32,2),$H460))</f>
        <v/>
      </c>
      <c r="L460" s="29"/>
      <c r="M460" s="21"/>
      <c r="N460" s="30" t="str">
        <f aca="false">IF(OR($L460="",$M460="",NOT(ISNUMBER($L460))),"",IF($M460="Maund",ROUND($L460*37.32,2),$L460))</f>
        <v/>
      </c>
      <c r="O460" s="21"/>
      <c r="P460" s="22"/>
    </row>
    <row r="461" customFormat="false" ht="19.5" hidden="false" customHeight="true" outlineLevel="0" collapsed="false">
      <c r="B461" s="28" t="s">
        <v>849</v>
      </c>
      <c r="C461" s="21"/>
      <c r="D461" s="21"/>
      <c r="E461" s="21"/>
      <c r="F461" s="21"/>
      <c r="G461" s="29"/>
      <c r="H461" s="29"/>
      <c r="I461" s="21"/>
      <c r="J461" s="30" t="str">
        <f aca="false">IF(OR($G461="",$I461="",NOT(ISNUMBER($G461))),"",IF($I461="Maund",ROUND($G461/37.32,2),$G461))</f>
        <v/>
      </c>
      <c r="K461" s="30" t="str">
        <f aca="false">IF(OR($H461="",$I461="",NOT(ISNUMBER($H461))),"",IF($I461="Maund",ROUND($H461/37.32,2),$H461))</f>
        <v/>
      </c>
      <c r="L461" s="29"/>
      <c r="M461" s="21"/>
      <c r="N461" s="30" t="str">
        <f aca="false">IF(OR($L461="",$M461="",NOT(ISNUMBER($L461))),"",IF($M461="Maund",ROUND($L461*37.32,2),$L461))</f>
        <v/>
      </c>
      <c r="O461" s="21"/>
      <c r="P461" s="22"/>
    </row>
    <row r="462" customFormat="false" ht="19.5" hidden="false" customHeight="true" outlineLevel="0" collapsed="false">
      <c r="B462" s="28" t="s">
        <v>850</v>
      </c>
      <c r="C462" s="21"/>
      <c r="D462" s="21"/>
      <c r="E462" s="21"/>
      <c r="F462" s="21"/>
      <c r="G462" s="29"/>
      <c r="H462" s="29"/>
      <c r="I462" s="21"/>
      <c r="J462" s="30" t="str">
        <f aca="false">IF(OR($G462="",$I462="",NOT(ISNUMBER($G462))),"",IF($I462="Maund",ROUND($G462/37.32,2),$G462))</f>
        <v/>
      </c>
      <c r="K462" s="30" t="str">
        <f aca="false">IF(OR($H462="",$I462="",NOT(ISNUMBER($H462))),"",IF($I462="Maund",ROUND($H462/37.32,2),$H462))</f>
        <v/>
      </c>
      <c r="L462" s="29"/>
      <c r="M462" s="21"/>
      <c r="N462" s="30" t="str">
        <f aca="false">IF(OR($L462="",$M462="",NOT(ISNUMBER($L462))),"",IF($M462="Maund",ROUND($L462*37.32,2),$L462))</f>
        <v/>
      </c>
      <c r="O462" s="21"/>
      <c r="P462" s="22"/>
    </row>
    <row r="463" customFormat="false" ht="19.5" hidden="false" customHeight="true" outlineLevel="0" collapsed="false">
      <c r="B463" s="28" t="s">
        <v>851</v>
      </c>
      <c r="C463" s="21"/>
      <c r="D463" s="21"/>
      <c r="E463" s="21"/>
      <c r="F463" s="21"/>
      <c r="G463" s="29"/>
      <c r="H463" s="29"/>
      <c r="I463" s="21"/>
      <c r="J463" s="30" t="str">
        <f aca="false">IF(OR($G463="",$I463="",NOT(ISNUMBER($G463))),"",IF($I463="Maund",ROUND($G463/37.32,2),$G463))</f>
        <v/>
      </c>
      <c r="K463" s="30" t="str">
        <f aca="false">IF(OR($H463="",$I463="",NOT(ISNUMBER($H463))),"",IF($I463="Maund",ROUND($H463/37.32,2),$H463))</f>
        <v/>
      </c>
      <c r="L463" s="29"/>
      <c r="M463" s="21"/>
      <c r="N463" s="30" t="str">
        <f aca="false">IF(OR($L463="",$M463="",NOT(ISNUMBER($L463))),"",IF($M463="Maund",ROUND($L463*37.32,2),$L463))</f>
        <v/>
      </c>
      <c r="O463" s="21"/>
      <c r="P463" s="22"/>
    </row>
    <row r="464" customFormat="false" ht="19.5" hidden="false" customHeight="true" outlineLevel="0" collapsed="false">
      <c r="B464" s="28" t="s">
        <v>852</v>
      </c>
      <c r="C464" s="21"/>
      <c r="D464" s="21"/>
      <c r="E464" s="21"/>
      <c r="F464" s="21"/>
      <c r="G464" s="29"/>
      <c r="H464" s="29"/>
      <c r="I464" s="21"/>
      <c r="J464" s="30" t="str">
        <f aca="false">IF(OR($G464="",$I464="",NOT(ISNUMBER($G464))),"",IF($I464="Maund",ROUND($G464/37.32,2),$G464))</f>
        <v/>
      </c>
      <c r="K464" s="30" t="str">
        <f aca="false">IF(OR($H464="",$I464="",NOT(ISNUMBER($H464))),"",IF($I464="Maund",ROUND($H464/37.32,2),$H464))</f>
        <v/>
      </c>
      <c r="L464" s="29"/>
      <c r="M464" s="21"/>
      <c r="N464" s="30" t="str">
        <f aca="false">IF(OR($L464="",$M464="",NOT(ISNUMBER($L464))),"",IF($M464="Maund",ROUND($L464*37.32,2),$L464))</f>
        <v/>
      </c>
      <c r="O464" s="21"/>
      <c r="P464" s="22"/>
    </row>
    <row r="465" customFormat="false" ht="19.5" hidden="false" customHeight="true" outlineLevel="0" collapsed="false">
      <c r="B465" s="28" t="s">
        <v>853</v>
      </c>
      <c r="C465" s="21"/>
      <c r="D465" s="21"/>
      <c r="E465" s="21"/>
      <c r="F465" s="21"/>
      <c r="G465" s="29"/>
      <c r="H465" s="29"/>
      <c r="I465" s="21"/>
      <c r="J465" s="30" t="str">
        <f aca="false">IF(OR($G465="",$I465="",NOT(ISNUMBER($G465))),"",IF($I465="Maund",ROUND($G465/37.32,2),$G465))</f>
        <v/>
      </c>
      <c r="K465" s="30" t="str">
        <f aca="false">IF(OR($H465="",$I465="",NOT(ISNUMBER($H465))),"",IF($I465="Maund",ROUND($H465/37.32,2),$H465))</f>
        <v/>
      </c>
      <c r="L465" s="29"/>
      <c r="M465" s="21"/>
      <c r="N465" s="30" t="str">
        <f aca="false">IF(OR($L465="",$M465="",NOT(ISNUMBER($L465))),"",IF($M465="Maund",ROUND($L465*37.32,2),$L465))</f>
        <v/>
      </c>
      <c r="O465" s="21"/>
      <c r="P465" s="22"/>
    </row>
    <row r="466" customFormat="false" ht="19.5" hidden="false" customHeight="true" outlineLevel="0" collapsed="false">
      <c r="B466" s="28" t="s">
        <v>854</v>
      </c>
      <c r="C466" s="21"/>
      <c r="D466" s="21"/>
      <c r="E466" s="21"/>
      <c r="F466" s="21"/>
      <c r="G466" s="29"/>
      <c r="H466" s="29"/>
      <c r="I466" s="21"/>
      <c r="J466" s="30" t="str">
        <f aca="false">IF(OR($G466="",$I466="",NOT(ISNUMBER($G466))),"",IF($I466="Maund",ROUND($G466/37.32,2),$G466))</f>
        <v/>
      </c>
      <c r="K466" s="30" t="str">
        <f aca="false">IF(OR($H466="",$I466="",NOT(ISNUMBER($H466))),"",IF($I466="Maund",ROUND($H466/37.32,2),$H466))</f>
        <v/>
      </c>
      <c r="L466" s="29"/>
      <c r="M466" s="21"/>
      <c r="N466" s="30" t="str">
        <f aca="false">IF(OR($L466="",$M466="",NOT(ISNUMBER($L466))),"",IF($M466="Maund",ROUND($L466*37.32,2),$L466))</f>
        <v/>
      </c>
      <c r="O466" s="21"/>
      <c r="P466" s="22"/>
    </row>
    <row r="467" customFormat="false" ht="19.5" hidden="false" customHeight="true" outlineLevel="0" collapsed="false">
      <c r="B467" s="28" t="s">
        <v>855</v>
      </c>
      <c r="C467" s="21"/>
      <c r="D467" s="21"/>
      <c r="E467" s="21"/>
      <c r="F467" s="21"/>
      <c r="G467" s="29"/>
      <c r="H467" s="29"/>
      <c r="I467" s="21"/>
      <c r="J467" s="30" t="str">
        <f aca="false">IF(OR($G467="",$I467="",NOT(ISNUMBER($G467))),"",IF($I467="Maund",ROUND($G467/37.32,2),$G467))</f>
        <v/>
      </c>
      <c r="K467" s="30" t="str">
        <f aca="false">IF(OR($H467="",$I467="",NOT(ISNUMBER($H467))),"",IF($I467="Maund",ROUND($H467/37.32,2),$H467))</f>
        <v/>
      </c>
      <c r="L467" s="29"/>
      <c r="M467" s="21"/>
      <c r="N467" s="30" t="str">
        <f aca="false">IF(OR($L467="",$M467="",NOT(ISNUMBER($L467))),"",IF($M467="Maund",ROUND($L467*37.32,2),$L467))</f>
        <v/>
      </c>
      <c r="O467" s="21"/>
      <c r="P467" s="22"/>
    </row>
    <row r="468" customFormat="false" ht="19.5" hidden="false" customHeight="true" outlineLevel="0" collapsed="false">
      <c r="B468" s="28" t="s">
        <v>856</v>
      </c>
      <c r="C468" s="21"/>
      <c r="D468" s="21"/>
      <c r="E468" s="21"/>
      <c r="F468" s="21"/>
      <c r="G468" s="29"/>
      <c r="H468" s="29"/>
      <c r="I468" s="21"/>
      <c r="J468" s="30" t="str">
        <f aca="false">IF(OR($G468="",$I468="",NOT(ISNUMBER($G468))),"",IF($I468="Maund",ROUND($G468/37.32,2),$G468))</f>
        <v/>
      </c>
      <c r="K468" s="30" t="str">
        <f aca="false">IF(OR($H468="",$I468="",NOT(ISNUMBER($H468))),"",IF($I468="Maund",ROUND($H468/37.32,2),$H468))</f>
        <v/>
      </c>
      <c r="L468" s="29"/>
      <c r="M468" s="21"/>
      <c r="N468" s="30" t="str">
        <f aca="false">IF(OR($L468="",$M468="",NOT(ISNUMBER($L468))),"",IF($M468="Maund",ROUND($L468*37.32,2),$L468))</f>
        <v/>
      </c>
      <c r="O468" s="21"/>
      <c r="P468" s="22"/>
    </row>
    <row r="469" customFormat="false" ht="19.5" hidden="false" customHeight="true" outlineLevel="0" collapsed="false">
      <c r="B469" s="28" t="s">
        <v>857</v>
      </c>
      <c r="C469" s="21"/>
      <c r="D469" s="21"/>
      <c r="E469" s="21"/>
      <c r="F469" s="21"/>
      <c r="G469" s="29"/>
      <c r="H469" s="29"/>
      <c r="I469" s="21"/>
      <c r="J469" s="30" t="str">
        <f aca="false">IF(OR($G469="",$I469="",NOT(ISNUMBER($G469))),"",IF($I469="Maund",ROUND($G469/37.32,2),$G469))</f>
        <v/>
      </c>
      <c r="K469" s="30" t="str">
        <f aca="false">IF(OR($H469="",$I469="",NOT(ISNUMBER($H469))),"",IF($I469="Maund",ROUND($H469/37.32,2),$H469))</f>
        <v/>
      </c>
      <c r="L469" s="29"/>
      <c r="M469" s="21"/>
      <c r="N469" s="30" t="str">
        <f aca="false">IF(OR($L469="",$M469="",NOT(ISNUMBER($L469))),"",IF($M469="Maund",ROUND($L469*37.32,2),$L469))</f>
        <v/>
      </c>
      <c r="O469" s="21"/>
      <c r="P469" s="22"/>
    </row>
    <row r="470" customFormat="false" ht="19.5" hidden="false" customHeight="true" outlineLevel="0" collapsed="false">
      <c r="B470" s="28" t="s">
        <v>858</v>
      </c>
      <c r="C470" s="21"/>
      <c r="D470" s="21"/>
      <c r="E470" s="21"/>
      <c r="F470" s="21"/>
      <c r="G470" s="29"/>
      <c r="H470" s="29"/>
      <c r="I470" s="21"/>
      <c r="J470" s="30" t="str">
        <f aca="false">IF(OR($G470="",$I470="",NOT(ISNUMBER($G470))),"",IF($I470="Maund",ROUND($G470/37.32,2),$G470))</f>
        <v/>
      </c>
      <c r="K470" s="30" t="str">
        <f aca="false">IF(OR($H470="",$I470="",NOT(ISNUMBER($H470))),"",IF($I470="Maund",ROUND($H470/37.32,2),$H470))</f>
        <v/>
      </c>
      <c r="L470" s="29"/>
      <c r="M470" s="21"/>
      <c r="N470" s="30" t="str">
        <f aca="false">IF(OR($L470="",$M470="",NOT(ISNUMBER($L470))),"",IF($M470="Maund",ROUND($L470*37.32,2),$L470))</f>
        <v/>
      </c>
      <c r="O470" s="21"/>
      <c r="P470" s="22"/>
    </row>
    <row r="471" customFormat="false" ht="19.5" hidden="false" customHeight="true" outlineLevel="0" collapsed="false">
      <c r="B471" s="28" t="s">
        <v>859</v>
      </c>
      <c r="C471" s="21"/>
      <c r="D471" s="21"/>
      <c r="E471" s="21"/>
      <c r="F471" s="21"/>
      <c r="G471" s="29"/>
      <c r="H471" s="29"/>
      <c r="I471" s="21"/>
      <c r="J471" s="30" t="str">
        <f aca="false">IF(OR($G471="",$I471="",NOT(ISNUMBER($G471))),"",IF($I471="Maund",ROUND($G471/37.32,2),$G471))</f>
        <v/>
      </c>
      <c r="K471" s="30" t="str">
        <f aca="false">IF(OR($H471="",$I471="",NOT(ISNUMBER($H471))),"",IF($I471="Maund",ROUND($H471/37.32,2),$H471))</f>
        <v/>
      </c>
      <c r="L471" s="29"/>
      <c r="M471" s="21"/>
      <c r="N471" s="30" t="str">
        <f aca="false">IF(OR($L471="",$M471="",NOT(ISNUMBER($L471))),"",IF($M471="Maund",ROUND($L471*37.32,2),$L471))</f>
        <v/>
      </c>
      <c r="O471" s="21"/>
      <c r="P471" s="22"/>
    </row>
    <row r="472" customFormat="false" ht="19.5" hidden="false" customHeight="true" outlineLevel="0" collapsed="false">
      <c r="B472" s="28" t="s">
        <v>860</v>
      </c>
      <c r="C472" s="21"/>
      <c r="D472" s="21"/>
      <c r="E472" s="21"/>
      <c r="F472" s="21"/>
      <c r="G472" s="29"/>
      <c r="H472" s="29"/>
      <c r="I472" s="21"/>
      <c r="J472" s="30" t="str">
        <f aca="false">IF(OR($G472="",$I472="",NOT(ISNUMBER($G472))),"",IF($I472="Maund",ROUND($G472/37.32,2),$G472))</f>
        <v/>
      </c>
      <c r="K472" s="30" t="str">
        <f aca="false">IF(OR($H472="",$I472="",NOT(ISNUMBER($H472))),"",IF($I472="Maund",ROUND($H472/37.32,2),$H472))</f>
        <v/>
      </c>
      <c r="L472" s="29"/>
      <c r="M472" s="21"/>
      <c r="N472" s="30" t="str">
        <f aca="false">IF(OR($L472="",$M472="",NOT(ISNUMBER($L472))),"",IF($M472="Maund",ROUND($L472*37.32,2),$L472))</f>
        <v/>
      </c>
      <c r="O472" s="21"/>
      <c r="P472" s="22"/>
    </row>
    <row r="473" customFormat="false" ht="19.5" hidden="false" customHeight="true" outlineLevel="0" collapsed="false">
      <c r="B473" s="28" t="s">
        <v>861</v>
      </c>
      <c r="C473" s="21"/>
      <c r="D473" s="21"/>
      <c r="E473" s="21"/>
      <c r="F473" s="21"/>
      <c r="G473" s="29"/>
      <c r="H473" s="29"/>
      <c r="I473" s="21"/>
      <c r="J473" s="30" t="str">
        <f aca="false">IF(OR($G473="",$I473="",NOT(ISNUMBER($G473))),"",IF($I473="Maund",ROUND($G473/37.32,2),$G473))</f>
        <v/>
      </c>
      <c r="K473" s="30" t="str">
        <f aca="false">IF(OR($H473="",$I473="",NOT(ISNUMBER($H473))),"",IF($I473="Maund",ROUND($H473/37.32,2),$H473))</f>
        <v/>
      </c>
      <c r="L473" s="29"/>
      <c r="M473" s="21"/>
      <c r="N473" s="30" t="str">
        <f aca="false">IF(OR($L473="",$M473="",NOT(ISNUMBER($L473))),"",IF($M473="Maund",ROUND($L473*37.32,2),$L473))</f>
        <v/>
      </c>
      <c r="O473" s="21"/>
      <c r="P473" s="22"/>
    </row>
    <row r="474" customFormat="false" ht="19.5" hidden="false" customHeight="true" outlineLevel="0" collapsed="false">
      <c r="B474" s="28" t="s">
        <v>862</v>
      </c>
      <c r="C474" s="21"/>
      <c r="D474" s="21"/>
      <c r="E474" s="21"/>
      <c r="F474" s="21"/>
      <c r="G474" s="29"/>
      <c r="H474" s="29"/>
      <c r="I474" s="21"/>
      <c r="J474" s="30" t="str">
        <f aca="false">IF(OR($G474="",$I474="",NOT(ISNUMBER($G474))),"",IF($I474="Maund",ROUND($G474/37.32,2),$G474))</f>
        <v/>
      </c>
      <c r="K474" s="30" t="str">
        <f aca="false">IF(OR($H474="",$I474="",NOT(ISNUMBER($H474))),"",IF($I474="Maund",ROUND($H474/37.32,2),$H474))</f>
        <v/>
      </c>
      <c r="L474" s="29"/>
      <c r="M474" s="21"/>
      <c r="N474" s="30" t="str">
        <f aca="false">IF(OR($L474="",$M474="",NOT(ISNUMBER($L474))),"",IF($M474="Maund",ROUND($L474*37.32,2),$L474))</f>
        <v/>
      </c>
      <c r="O474" s="21"/>
      <c r="P474" s="22"/>
    </row>
    <row r="475" customFormat="false" ht="19.5" hidden="false" customHeight="true" outlineLevel="0" collapsed="false">
      <c r="B475" s="28" t="s">
        <v>863</v>
      </c>
      <c r="C475" s="21"/>
      <c r="D475" s="21"/>
      <c r="E475" s="21"/>
      <c r="F475" s="21"/>
      <c r="G475" s="29"/>
      <c r="H475" s="29"/>
      <c r="I475" s="21"/>
      <c r="J475" s="30" t="str">
        <f aca="false">IF(OR($G475="",$I475="",NOT(ISNUMBER($G475))),"",IF($I475="Maund",ROUND($G475/37.32,2),$G475))</f>
        <v/>
      </c>
      <c r="K475" s="30" t="str">
        <f aca="false">IF(OR($H475="",$I475="",NOT(ISNUMBER($H475))),"",IF($I475="Maund",ROUND($H475/37.32,2),$H475))</f>
        <v/>
      </c>
      <c r="L475" s="29"/>
      <c r="M475" s="21"/>
      <c r="N475" s="30" t="str">
        <f aca="false">IF(OR($L475="",$M475="",NOT(ISNUMBER($L475))),"",IF($M475="Maund",ROUND($L475*37.32,2),$L475))</f>
        <v/>
      </c>
      <c r="O475" s="21"/>
      <c r="P475" s="22"/>
    </row>
    <row r="476" customFormat="false" ht="19.5" hidden="false" customHeight="true" outlineLevel="0" collapsed="false">
      <c r="B476" s="28" t="s">
        <v>864</v>
      </c>
      <c r="C476" s="21"/>
      <c r="D476" s="21"/>
      <c r="E476" s="21"/>
      <c r="F476" s="21"/>
      <c r="G476" s="29"/>
      <c r="H476" s="29"/>
      <c r="I476" s="21"/>
      <c r="J476" s="30" t="str">
        <f aca="false">IF(OR($G476="",$I476="",NOT(ISNUMBER($G476))),"",IF($I476="Maund",ROUND($G476/37.32,2),$G476))</f>
        <v/>
      </c>
      <c r="K476" s="30" t="str">
        <f aca="false">IF(OR($H476="",$I476="",NOT(ISNUMBER($H476))),"",IF($I476="Maund",ROUND($H476/37.32,2),$H476))</f>
        <v/>
      </c>
      <c r="L476" s="29"/>
      <c r="M476" s="21"/>
      <c r="N476" s="30" t="str">
        <f aca="false">IF(OR($L476="",$M476="",NOT(ISNUMBER($L476))),"",IF($M476="Maund",ROUND($L476*37.32,2),$L476))</f>
        <v/>
      </c>
      <c r="O476" s="21"/>
      <c r="P476" s="22"/>
    </row>
    <row r="477" customFormat="false" ht="19.5" hidden="false" customHeight="true" outlineLevel="0" collapsed="false">
      <c r="B477" s="28" t="s">
        <v>865</v>
      </c>
      <c r="C477" s="21"/>
      <c r="D477" s="21"/>
      <c r="E477" s="21"/>
      <c r="F477" s="21"/>
      <c r="G477" s="29"/>
      <c r="H477" s="29"/>
      <c r="I477" s="21"/>
      <c r="J477" s="30" t="str">
        <f aca="false">IF(OR($G477="",$I477="",NOT(ISNUMBER($G477))),"",IF($I477="Maund",ROUND($G477/37.32,2),$G477))</f>
        <v/>
      </c>
      <c r="K477" s="30" t="str">
        <f aca="false">IF(OR($H477="",$I477="",NOT(ISNUMBER($H477))),"",IF($I477="Maund",ROUND($H477/37.32,2),$H477))</f>
        <v/>
      </c>
      <c r="L477" s="29"/>
      <c r="M477" s="21"/>
      <c r="N477" s="30" t="str">
        <f aca="false">IF(OR($L477="",$M477="",NOT(ISNUMBER($L477))),"",IF($M477="Maund",ROUND($L477*37.32,2),$L477))</f>
        <v/>
      </c>
      <c r="O477" s="21"/>
      <c r="P477" s="22"/>
    </row>
    <row r="478" customFormat="false" ht="19.5" hidden="false" customHeight="true" outlineLevel="0" collapsed="false">
      <c r="B478" s="28" t="s">
        <v>866</v>
      </c>
      <c r="C478" s="21"/>
      <c r="D478" s="21"/>
      <c r="E478" s="21"/>
      <c r="F478" s="21"/>
      <c r="G478" s="29"/>
      <c r="H478" s="29"/>
      <c r="I478" s="21"/>
      <c r="J478" s="30" t="str">
        <f aca="false">IF(OR($G478="",$I478="",NOT(ISNUMBER($G478))),"",IF($I478="Maund",ROUND($G478/37.32,2),$G478))</f>
        <v/>
      </c>
      <c r="K478" s="30" t="str">
        <f aca="false">IF(OR($H478="",$I478="",NOT(ISNUMBER($H478))),"",IF($I478="Maund",ROUND($H478/37.32,2),$H478))</f>
        <v/>
      </c>
      <c r="L478" s="29"/>
      <c r="M478" s="21"/>
      <c r="N478" s="30" t="str">
        <f aca="false">IF(OR($L478="",$M478="",NOT(ISNUMBER($L478))),"",IF($M478="Maund",ROUND($L478*37.32,2),$L478))</f>
        <v/>
      </c>
      <c r="O478" s="21"/>
      <c r="P478" s="22"/>
    </row>
    <row r="479" customFormat="false" ht="19.5" hidden="false" customHeight="true" outlineLevel="0" collapsed="false">
      <c r="B479" s="28" t="s">
        <v>867</v>
      </c>
      <c r="C479" s="21"/>
      <c r="D479" s="21"/>
      <c r="E479" s="21"/>
      <c r="F479" s="21"/>
      <c r="G479" s="29"/>
      <c r="H479" s="29"/>
      <c r="I479" s="21"/>
      <c r="J479" s="30" t="str">
        <f aca="false">IF(OR($G479="",$I479="",NOT(ISNUMBER($G479))),"",IF($I479="Maund",ROUND($G479/37.32,2),$G479))</f>
        <v/>
      </c>
      <c r="K479" s="30" t="str">
        <f aca="false">IF(OR($H479="",$I479="",NOT(ISNUMBER($H479))),"",IF($I479="Maund",ROUND($H479/37.32,2),$H479))</f>
        <v/>
      </c>
      <c r="L479" s="29"/>
      <c r="M479" s="21"/>
      <c r="N479" s="30" t="str">
        <f aca="false">IF(OR($L479="",$M479="",NOT(ISNUMBER($L479))),"",IF($M479="Maund",ROUND($L479*37.32,2),$L479))</f>
        <v/>
      </c>
      <c r="O479" s="21"/>
      <c r="P479" s="22"/>
    </row>
    <row r="480" customFormat="false" ht="19.5" hidden="false" customHeight="true" outlineLevel="0" collapsed="false">
      <c r="B480" s="28" t="s">
        <v>868</v>
      </c>
      <c r="C480" s="21"/>
      <c r="D480" s="21"/>
      <c r="E480" s="21"/>
      <c r="F480" s="21"/>
      <c r="G480" s="29"/>
      <c r="H480" s="29"/>
      <c r="I480" s="21"/>
      <c r="J480" s="30" t="str">
        <f aca="false">IF(OR($G480="",$I480="",NOT(ISNUMBER($G480))),"",IF($I480="Maund",ROUND($G480/37.32,2),$G480))</f>
        <v/>
      </c>
      <c r="K480" s="30" t="str">
        <f aca="false">IF(OR($H480="",$I480="",NOT(ISNUMBER($H480))),"",IF($I480="Maund",ROUND($H480/37.32,2),$H480))</f>
        <v/>
      </c>
      <c r="L480" s="29"/>
      <c r="M480" s="21"/>
      <c r="N480" s="30" t="str">
        <f aca="false">IF(OR($L480="",$M480="",NOT(ISNUMBER($L480))),"",IF($M480="Maund",ROUND($L480*37.32,2),$L480))</f>
        <v/>
      </c>
      <c r="O480" s="21"/>
      <c r="P480" s="22"/>
    </row>
    <row r="481" customFormat="false" ht="19.5" hidden="false" customHeight="true" outlineLevel="0" collapsed="false">
      <c r="B481" s="28" t="s">
        <v>869</v>
      </c>
      <c r="C481" s="21"/>
      <c r="D481" s="21"/>
      <c r="E481" s="21"/>
      <c r="F481" s="21"/>
      <c r="G481" s="29"/>
      <c r="H481" s="29"/>
      <c r="I481" s="21"/>
      <c r="J481" s="30" t="str">
        <f aca="false">IF(OR($G481="",$I481="",NOT(ISNUMBER($G481))),"",IF($I481="Maund",ROUND($G481/37.32,2),$G481))</f>
        <v/>
      </c>
      <c r="K481" s="30" t="str">
        <f aca="false">IF(OR($H481="",$I481="",NOT(ISNUMBER($H481))),"",IF($I481="Maund",ROUND($H481/37.32,2),$H481))</f>
        <v/>
      </c>
      <c r="L481" s="29"/>
      <c r="M481" s="21"/>
      <c r="N481" s="30" t="str">
        <f aca="false">IF(OR($L481="",$M481="",NOT(ISNUMBER($L481))),"",IF($M481="Maund",ROUND($L481*37.32,2),$L481))</f>
        <v/>
      </c>
      <c r="O481" s="21"/>
      <c r="P481" s="22"/>
    </row>
    <row r="482" customFormat="false" ht="19.5" hidden="false" customHeight="true" outlineLevel="0" collapsed="false">
      <c r="B482" s="28" t="s">
        <v>870</v>
      </c>
      <c r="C482" s="21"/>
      <c r="D482" s="21"/>
      <c r="E482" s="21"/>
      <c r="F482" s="21"/>
      <c r="G482" s="29"/>
      <c r="H482" s="29"/>
      <c r="I482" s="21"/>
      <c r="J482" s="30" t="str">
        <f aca="false">IF(OR($G482="",$I482="",NOT(ISNUMBER($G482))),"",IF($I482="Maund",ROUND($G482/37.32,2),$G482))</f>
        <v/>
      </c>
      <c r="K482" s="30" t="str">
        <f aca="false">IF(OR($H482="",$I482="",NOT(ISNUMBER($H482))),"",IF($I482="Maund",ROUND($H482/37.32,2),$H482))</f>
        <v/>
      </c>
      <c r="L482" s="29"/>
      <c r="M482" s="21"/>
      <c r="N482" s="30" t="str">
        <f aca="false">IF(OR($L482="",$M482="",NOT(ISNUMBER($L482))),"",IF($M482="Maund",ROUND($L482*37.32,2),$L482))</f>
        <v/>
      </c>
      <c r="O482" s="21"/>
      <c r="P482" s="22"/>
    </row>
    <row r="483" customFormat="false" ht="19.5" hidden="false" customHeight="true" outlineLevel="0" collapsed="false">
      <c r="B483" s="28" t="s">
        <v>871</v>
      </c>
      <c r="C483" s="21"/>
      <c r="D483" s="21"/>
      <c r="E483" s="21"/>
      <c r="F483" s="21"/>
      <c r="G483" s="29"/>
      <c r="H483" s="29"/>
      <c r="I483" s="21"/>
      <c r="J483" s="30" t="str">
        <f aca="false">IF(OR($G483="",$I483="",NOT(ISNUMBER($G483))),"",IF($I483="Maund",ROUND($G483/37.32,2),$G483))</f>
        <v/>
      </c>
      <c r="K483" s="30" t="str">
        <f aca="false">IF(OR($H483="",$I483="",NOT(ISNUMBER($H483))),"",IF($I483="Maund",ROUND($H483/37.32,2),$H483))</f>
        <v/>
      </c>
      <c r="L483" s="29"/>
      <c r="M483" s="21"/>
      <c r="N483" s="30" t="str">
        <f aca="false">IF(OR($L483="",$M483="",NOT(ISNUMBER($L483))),"",IF($M483="Maund",ROUND($L483*37.32,2),$L483))</f>
        <v/>
      </c>
      <c r="O483" s="21"/>
      <c r="P483" s="22"/>
    </row>
    <row r="484" customFormat="false" ht="19.5" hidden="false" customHeight="true" outlineLevel="0" collapsed="false">
      <c r="B484" s="28" t="s">
        <v>872</v>
      </c>
      <c r="C484" s="21"/>
      <c r="D484" s="21"/>
      <c r="E484" s="21"/>
      <c r="F484" s="21"/>
      <c r="G484" s="29"/>
      <c r="H484" s="29"/>
      <c r="I484" s="21"/>
      <c r="J484" s="30" t="str">
        <f aca="false">IF(OR($G484="",$I484="",NOT(ISNUMBER($G484))),"",IF($I484="Maund",ROUND($G484/37.32,2),$G484))</f>
        <v/>
      </c>
      <c r="K484" s="30" t="str">
        <f aca="false">IF(OR($H484="",$I484="",NOT(ISNUMBER($H484))),"",IF($I484="Maund",ROUND($H484/37.32,2),$H484))</f>
        <v/>
      </c>
      <c r="L484" s="29"/>
      <c r="M484" s="21"/>
      <c r="N484" s="30" t="str">
        <f aca="false">IF(OR($L484="",$M484="",NOT(ISNUMBER($L484))),"",IF($M484="Maund",ROUND($L484*37.32,2),$L484))</f>
        <v/>
      </c>
      <c r="O484" s="21"/>
      <c r="P484" s="22"/>
    </row>
    <row r="485" customFormat="false" ht="19.5" hidden="false" customHeight="true" outlineLevel="0" collapsed="false">
      <c r="B485" s="28" t="s">
        <v>873</v>
      </c>
      <c r="C485" s="21"/>
      <c r="D485" s="21"/>
      <c r="E485" s="21"/>
      <c r="F485" s="21"/>
      <c r="G485" s="29"/>
      <c r="H485" s="29"/>
      <c r="I485" s="21"/>
      <c r="J485" s="30" t="str">
        <f aca="false">IF(OR($G485="",$I485="",NOT(ISNUMBER($G485))),"",IF($I485="Maund",ROUND($G485/37.32,2),$G485))</f>
        <v/>
      </c>
      <c r="K485" s="30" t="str">
        <f aca="false">IF(OR($H485="",$I485="",NOT(ISNUMBER($H485))),"",IF($I485="Maund",ROUND($H485/37.32,2),$H485))</f>
        <v/>
      </c>
      <c r="L485" s="29"/>
      <c r="M485" s="21"/>
      <c r="N485" s="30" t="str">
        <f aca="false">IF(OR($L485="",$M485="",NOT(ISNUMBER($L485))),"",IF($M485="Maund",ROUND($L485*37.32,2),$L485))</f>
        <v/>
      </c>
      <c r="O485" s="21"/>
      <c r="P485" s="22"/>
    </row>
    <row r="486" customFormat="false" ht="19.5" hidden="false" customHeight="true" outlineLevel="0" collapsed="false">
      <c r="B486" s="28" t="s">
        <v>874</v>
      </c>
      <c r="C486" s="21"/>
      <c r="D486" s="21"/>
      <c r="E486" s="21"/>
      <c r="F486" s="21"/>
      <c r="G486" s="29"/>
      <c r="H486" s="29"/>
      <c r="I486" s="21"/>
      <c r="J486" s="30" t="str">
        <f aca="false">IF(OR($G486="",$I486="",NOT(ISNUMBER($G486))),"",IF($I486="Maund",ROUND($G486/37.32,2),$G486))</f>
        <v/>
      </c>
      <c r="K486" s="30" t="str">
        <f aca="false">IF(OR($H486="",$I486="",NOT(ISNUMBER($H486))),"",IF($I486="Maund",ROUND($H486/37.32,2),$H486))</f>
        <v/>
      </c>
      <c r="L486" s="29"/>
      <c r="M486" s="21"/>
      <c r="N486" s="30" t="str">
        <f aca="false">IF(OR($L486="",$M486="",NOT(ISNUMBER($L486))),"",IF($M486="Maund",ROUND($L486*37.32,2),$L486))</f>
        <v/>
      </c>
      <c r="O486" s="21"/>
      <c r="P486" s="22"/>
    </row>
    <row r="487" customFormat="false" ht="19.5" hidden="false" customHeight="true" outlineLevel="0" collapsed="false">
      <c r="B487" s="28" t="s">
        <v>875</v>
      </c>
      <c r="C487" s="21"/>
      <c r="D487" s="21"/>
      <c r="E487" s="21"/>
      <c r="F487" s="21"/>
      <c r="G487" s="29"/>
      <c r="H487" s="29"/>
      <c r="I487" s="21"/>
      <c r="J487" s="30" t="str">
        <f aca="false">IF(OR($G487="",$I487="",NOT(ISNUMBER($G487))),"",IF($I487="Maund",ROUND($G487/37.32,2),$G487))</f>
        <v/>
      </c>
      <c r="K487" s="30" t="str">
        <f aca="false">IF(OR($H487="",$I487="",NOT(ISNUMBER($H487))),"",IF($I487="Maund",ROUND($H487/37.32,2),$H487))</f>
        <v/>
      </c>
      <c r="L487" s="29"/>
      <c r="M487" s="21"/>
      <c r="N487" s="30" t="str">
        <f aca="false">IF(OR($L487="",$M487="",NOT(ISNUMBER($L487))),"",IF($M487="Maund",ROUND($L487*37.32,2),$L487))</f>
        <v/>
      </c>
      <c r="O487" s="21"/>
      <c r="P487" s="22"/>
    </row>
    <row r="488" customFormat="false" ht="19.5" hidden="false" customHeight="true" outlineLevel="0" collapsed="false">
      <c r="B488" s="28" t="s">
        <v>876</v>
      </c>
      <c r="C488" s="21"/>
      <c r="D488" s="21"/>
      <c r="E488" s="21"/>
      <c r="F488" s="21"/>
      <c r="G488" s="29"/>
      <c r="H488" s="29"/>
      <c r="I488" s="21"/>
      <c r="J488" s="30" t="str">
        <f aca="false">IF(OR($G488="",$I488="",NOT(ISNUMBER($G488))),"",IF($I488="Maund",ROUND($G488/37.32,2),$G488))</f>
        <v/>
      </c>
      <c r="K488" s="30" t="str">
        <f aca="false">IF(OR($H488="",$I488="",NOT(ISNUMBER($H488))),"",IF($I488="Maund",ROUND($H488/37.32,2),$H488))</f>
        <v/>
      </c>
      <c r="L488" s="29"/>
      <c r="M488" s="21"/>
      <c r="N488" s="30" t="str">
        <f aca="false">IF(OR($L488="",$M488="",NOT(ISNUMBER($L488))),"",IF($M488="Maund",ROUND($L488*37.32,2),$L488))</f>
        <v/>
      </c>
      <c r="O488" s="21"/>
      <c r="P488" s="22"/>
    </row>
    <row r="489" customFormat="false" ht="19.5" hidden="false" customHeight="true" outlineLevel="0" collapsed="false">
      <c r="B489" s="28" t="s">
        <v>877</v>
      </c>
      <c r="C489" s="21"/>
      <c r="D489" s="21"/>
      <c r="E489" s="21"/>
      <c r="F489" s="21"/>
      <c r="G489" s="29"/>
      <c r="H489" s="29"/>
      <c r="I489" s="21"/>
      <c r="J489" s="30" t="str">
        <f aca="false">IF(OR($G489="",$I489="",NOT(ISNUMBER($G489))),"",IF($I489="Maund",ROUND($G489/37.32,2),$G489))</f>
        <v/>
      </c>
      <c r="K489" s="30" t="str">
        <f aca="false">IF(OR($H489="",$I489="",NOT(ISNUMBER($H489))),"",IF($I489="Maund",ROUND($H489/37.32,2),$H489))</f>
        <v/>
      </c>
      <c r="L489" s="29"/>
      <c r="M489" s="21"/>
      <c r="N489" s="30" t="str">
        <f aca="false">IF(OR($L489="",$M489="",NOT(ISNUMBER($L489))),"",IF($M489="Maund",ROUND($L489*37.32,2),$L489))</f>
        <v/>
      </c>
      <c r="O489" s="21"/>
      <c r="P489" s="22"/>
    </row>
    <row r="490" customFormat="false" ht="19.5" hidden="false" customHeight="true" outlineLevel="0" collapsed="false">
      <c r="B490" s="28" t="s">
        <v>878</v>
      </c>
      <c r="C490" s="21"/>
      <c r="D490" s="21"/>
      <c r="E490" s="21"/>
      <c r="F490" s="21"/>
      <c r="G490" s="29"/>
      <c r="H490" s="29"/>
      <c r="I490" s="21"/>
      <c r="J490" s="30" t="str">
        <f aca="false">IF(OR($G490="",$I490="",NOT(ISNUMBER($G490))),"",IF($I490="Maund",ROUND($G490/37.32,2),$G490))</f>
        <v/>
      </c>
      <c r="K490" s="30" t="str">
        <f aca="false">IF(OR($H490="",$I490="",NOT(ISNUMBER($H490))),"",IF($I490="Maund",ROUND($H490/37.32,2),$H490))</f>
        <v/>
      </c>
      <c r="L490" s="29"/>
      <c r="M490" s="21"/>
      <c r="N490" s="30" t="str">
        <f aca="false">IF(OR($L490="",$M490="",NOT(ISNUMBER($L490))),"",IF($M490="Maund",ROUND($L490*37.32,2),$L490))</f>
        <v/>
      </c>
      <c r="O490" s="21"/>
      <c r="P490" s="22"/>
    </row>
    <row r="491" customFormat="false" ht="19.5" hidden="false" customHeight="true" outlineLevel="0" collapsed="false">
      <c r="B491" s="28" t="s">
        <v>879</v>
      </c>
      <c r="C491" s="21"/>
      <c r="D491" s="21"/>
      <c r="E491" s="21"/>
      <c r="F491" s="21"/>
      <c r="G491" s="29"/>
      <c r="H491" s="29"/>
      <c r="I491" s="21"/>
      <c r="J491" s="30" t="str">
        <f aca="false">IF(OR($G491="",$I491="",NOT(ISNUMBER($G491))),"",IF($I491="Maund",ROUND($G491/37.32,2),$G491))</f>
        <v/>
      </c>
      <c r="K491" s="30" t="str">
        <f aca="false">IF(OR($H491="",$I491="",NOT(ISNUMBER($H491))),"",IF($I491="Maund",ROUND($H491/37.32,2),$H491))</f>
        <v/>
      </c>
      <c r="L491" s="29"/>
      <c r="M491" s="21"/>
      <c r="N491" s="30" t="str">
        <f aca="false">IF(OR($L491="",$M491="",NOT(ISNUMBER($L491))),"",IF($M491="Maund",ROUND($L491*37.32,2),$L491))</f>
        <v/>
      </c>
      <c r="O491" s="21"/>
      <c r="P491" s="22"/>
    </row>
    <row r="492" customFormat="false" ht="19.5" hidden="false" customHeight="true" outlineLevel="0" collapsed="false">
      <c r="B492" s="28" t="s">
        <v>880</v>
      </c>
      <c r="C492" s="21"/>
      <c r="D492" s="21"/>
      <c r="E492" s="21"/>
      <c r="F492" s="21"/>
      <c r="G492" s="29"/>
      <c r="H492" s="29"/>
      <c r="I492" s="21"/>
      <c r="J492" s="30" t="str">
        <f aca="false">IF(OR($G492="",$I492="",NOT(ISNUMBER($G492))),"",IF($I492="Maund",ROUND($G492/37.32,2),$G492))</f>
        <v/>
      </c>
      <c r="K492" s="30" t="str">
        <f aca="false">IF(OR($H492="",$I492="",NOT(ISNUMBER($H492))),"",IF($I492="Maund",ROUND($H492/37.32,2),$H492))</f>
        <v/>
      </c>
      <c r="L492" s="29"/>
      <c r="M492" s="21"/>
      <c r="N492" s="30" t="str">
        <f aca="false">IF(OR($L492="",$M492="",NOT(ISNUMBER($L492))),"",IF($M492="Maund",ROUND($L492*37.32,2),$L492))</f>
        <v/>
      </c>
      <c r="O492" s="21"/>
      <c r="P492" s="22"/>
    </row>
    <row r="493" customFormat="false" ht="19.5" hidden="false" customHeight="true" outlineLevel="0" collapsed="false">
      <c r="B493" s="28" t="s">
        <v>881</v>
      </c>
      <c r="C493" s="21"/>
      <c r="D493" s="21"/>
      <c r="E493" s="21"/>
      <c r="F493" s="21"/>
      <c r="G493" s="29"/>
      <c r="H493" s="29"/>
      <c r="I493" s="21"/>
      <c r="J493" s="30" t="str">
        <f aca="false">IF(OR($G493="",$I493="",NOT(ISNUMBER($G493))),"",IF($I493="Maund",ROUND($G493/37.32,2),$G493))</f>
        <v/>
      </c>
      <c r="K493" s="30" t="str">
        <f aca="false">IF(OR($H493="",$I493="",NOT(ISNUMBER($H493))),"",IF($I493="Maund",ROUND($H493/37.32,2),$H493))</f>
        <v/>
      </c>
      <c r="L493" s="29"/>
      <c r="M493" s="21"/>
      <c r="N493" s="30" t="str">
        <f aca="false">IF(OR($L493="",$M493="",NOT(ISNUMBER($L493))),"",IF($M493="Maund",ROUND($L493*37.32,2),$L493))</f>
        <v/>
      </c>
      <c r="O493" s="21"/>
      <c r="P493" s="22"/>
    </row>
    <row r="494" customFormat="false" ht="19.5" hidden="false" customHeight="true" outlineLevel="0" collapsed="false">
      <c r="B494" s="28" t="s">
        <v>882</v>
      </c>
      <c r="C494" s="21"/>
      <c r="D494" s="21"/>
      <c r="E494" s="21"/>
      <c r="F494" s="21"/>
      <c r="G494" s="29"/>
      <c r="H494" s="29"/>
      <c r="I494" s="21"/>
      <c r="J494" s="30" t="str">
        <f aca="false">IF(OR($G494="",$I494="",NOT(ISNUMBER($G494))),"",IF($I494="Maund",ROUND($G494/37.32,2),$G494))</f>
        <v/>
      </c>
      <c r="K494" s="30" t="str">
        <f aca="false">IF(OR($H494="",$I494="",NOT(ISNUMBER($H494))),"",IF($I494="Maund",ROUND($H494/37.32,2),$H494))</f>
        <v/>
      </c>
      <c r="L494" s="29"/>
      <c r="M494" s="21"/>
      <c r="N494" s="30" t="str">
        <f aca="false">IF(OR($L494="",$M494="",NOT(ISNUMBER($L494))),"",IF($M494="Maund",ROUND($L494*37.32,2),$L494))</f>
        <v/>
      </c>
      <c r="O494" s="21"/>
      <c r="P494" s="22"/>
    </row>
    <row r="495" customFormat="false" ht="19.5" hidden="false" customHeight="true" outlineLevel="0" collapsed="false">
      <c r="B495" s="28" t="s">
        <v>883</v>
      </c>
      <c r="C495" s="21"/>
      <c r="D495" s="21"/>
      <c r="E495" s="21"/>
      <c r="F495" s="21"/>
      <c r="G495" s="29"/>
      <c r="H495" s="29"/>
      <c r="I495" s="21"/>
      <c r="J495" s="30" t="str">
        <f aca="false">IF(OR($G495="",$I495="",NOT(ISNUMBER($G495))),"",IF($I495="Maund",ROUND($G495/37.32,2),$G495))</f>
        <v/>
      </c>
      <c r="K495" s="30" t="str">
        <f aca="false">IF(OR($H495="",$I495="",NOT(ISNUMBER($H495))),"",IF($I495="Maund",ROUND($H495/37.32,2),$H495))</f>
        <v/>
      </c>
      <c r="L495" s="29"/>
      <c r="M495" s="21"/>
      <c r="N495" s="30" t="str">
        <f aca="false">IF(OR($L495="",$M495="",NOT(ISNUMBER($L495))),"",IF($M495="Maund",ROUND($L495*37.32,2),$L495))</f>
        <v/>
      </c>
      <c r="O495" s="21"/>
      <c r="P495" s="22"/>
    </row>
    <row r="496" customFormat="false" ht="19.5" hidden="false" customHeight="true" outlineLevel="0" collapsed="false">
      <c r="B496" s="28" t="s">
        <v>884</v>
      </c>
      <c r="C496" s="21"/>
      <c r="D496" s="21"/>
      <c r="E496" s="21"/>
      <c r="F496" s="21"/>
      <c r="G496" s="29"/>
      <c r="H496" s="29"/>
      <c r="I496" s="21"/>
      <c r="J496" s="30" t="str">
        <f aca="false">IF(OR($G496="",$I496="",NOT(ISNUMBER($G496))),"",IF($I496="Maund",ROUND($G496/37.32,2),$G496))</f>
        <v/>
      </c>
      <c r="K496" s="30" t="str">
        <f aca="false">IF(OR($H496="",$I496="",NOT(ISNUMBER($H496))),"",IF($I496="Maund",ROUND($H496/37.32,2),$H496))</f>
        <v/>
      </c>
      <c r="L496" s="29"/>
      <c r="M496" s="21"/>
      <c r="N496" s="30" t="str">
        <f aca="false">IF(OR($L496="",$M496="",NOT(ISNUMBER($L496))),"",IF($M496="Maund",ROUND($L496*37.32,2),$L496))</f>
        <v/>
      </c>
      <c r="O496" s="21"/>
      <c r="P496" s="22"/>
    </row>
    <row r="497" customFormat="false" ht="19.5" hidden="false" customHeight="true" outlineLevel="0" collapsed="false">
      <c r="B497" s="28" t="s">
        <v>885</v>
      </c>
      <c r="C497" s="21"/>
      <c r="D497" s="21"/>
      <c r="E497" s="21"/>
      <c r="F497" s="21"/>
      <c r="G497" s="29"/>
      <c r="H497" s="29"/>
      <c r="I497" s="21"/>
      <c r="J497" s="30" t="str">
        <f aca="false">IF(OR($G497="",$I497="",NOT(ISNUMBER($G497))),"",IF($I497="Maund",ROUND($G497/37.32,2),$G497))</f>
        <v/>
      </c>
      <c r="K497" s="30" t="str">
        <f aca="false">IF(OR($H497="",$I497="",NOT(ISNUMBER($H497))),"",IF($I497="Maund",ROUND($H497/37.32,2),$H497))</f>
        <v/>
      </c>
      <c r="L497" s="29"/>
      <c r="M497" s="21"/>
      <c r="N497" s="30" t="str">
        <f aca="false">IF(OR($L497="",$M497="",NOT(ISNUMBER($L497))),"",IF($M497="Maund",ROUND($L497*37.32,2),$L497))</f>
        <v/>
      </c>
      <c r="O497" s="21"/>
      <c r="P497" s="22"/>
    </row>
    <row r="498" customFormat="false" ht="19.5" hidden="false" customHeight="true" outlineLevel="0" collapsed="false">
      <c r="B498" s="28" t="s">
        <v>886</v>
      </c>
      <c r="C498" s="21"/>
      <c r="D498" s="21"/>
      <c r="E498" s="21"/>
      <c r="F498" s="21"/>
      <c r="G498" s="29"/>
      <c r="H498" s="29"/>
      <c r="I498" s="21"/>
      <c r="J498" s="30" t="str">
        <f aca="false">IF(OR($G498="",$I498="",NOT(ISNUMBER($G498))),"",IF($I498="Maund",ROUND($G498/37.32,2),$G498))</f>
        <v/>
      </c>
      <c r="K498" s="30" t="str">
        <f aca="false">IF(OR($H498="",$I498="",NOT(ISNUMBER($H498))),"",IF($I498="Maund",ROUND($H498/37.32,2),$H498))</f>
        <v/>
      </c>
      <c r="L498" s="29"/>
      <c r="M498" s="21"/>
      <c r="N498" s="30" t="str">
        <f aca="false">IF(OR($L498="",$M498="",NOT(ISNUMBER($L498))),"",IF($M498="Maund",ROUND($L498*37.32,2),$L498))</f>
        <v/>
      </c>
      <c r="O498" s="21"/>
      <c r="P498" s="22"/>
    </row>
    <row r="499" customFormat="false" ht="19.5" hidden="false" customHeight="true" outlineLevel="0" collapsed="false">
      <c r="B499" s="28" t="s">
        <v>887</v>
      </c>
      <c r="C499" s="21"/>
      <c r="D499" s="21"/>
      <c r="E499" s="21"/>
      <c r="F499" s="21"/>
      <c r="G499" s="29"/>
      <c r="H499" s="29"/>
      <c r="I499" s="21"/>
      <c r="J499" s="30" t="str">
        <f aca="false">IF(OR($G499="",$I499="",NOT(ISNUMBER($G499))),"",IF($I499="Maund",ROUND($G499/37.32,2),$G499))</f>
        <v/>
      </c>
      <c r="K499" s="30" t="str">
        <f aca="false">IF(OR($H499="",$I499="",NOT(ISNUMBER($H499))),"",IF($I499="Maund",ROUND($H499/37.32,2),$H499))</f>
        <v/>
      </c>
      <c r="L499" s="29"/>
      <c r="M499" s="21"/>
      <c r="N499" s="30" t="str">
        <f aca="false">IF(OR($L499="",$M499="",NOT(ISNUMBER($L499))),"",IF($M499="Maund",ROUND($L499*37.32,2),$L499))</f>
        <v/>
      </c>
      <c r="O499" s="21"/>
      <c r="P499" s="22"/>
    </row>
    <row r="500" customFormat="false" ht="19.5" hidden="false" customHeight="true" outlineLevel="0" collapsed="false">
      <c r="B500" s="28" t="s">
        <v>888</v>
      </c>
      <c r="C500" s="21"/>
      <c r="D500" s="21"/>
      <c r="E500" s="21"/>
      <c r="F500" s="21"/>
      <c r="G500" s="29"/>
      <c r="H500" s="29"/>
      <c r="I500" s="21"/>
      <c r="J500" s="30" t="str">
        <f aca="false">IF(OR($G500="",$I500="",NOT(ISNUMBER($G500))),"",IF($I500="Maund",ROUND($G500/37.32,2),$G500))</f>
        <v/>
      </c>
      <c r="K500" s="30" t="str">
        <f aca="false">IF(OR($H500="",$I500="",NOT(ISNUMBER($H500))),"",IF($I500="Maund",ROUND($H500/37.32,2),$H500))</f>
        <v/>
      </c>
      <c r="L500" s="29"/>
      <c r="M500" s="21"/>
      <c r="N500" s="30" t="str">
        <f aca="false">IF(OR($L500="",$M500="",NOT(ISNUMBER($L500))),"",IF($M500="Maund",ROUND($L500*37.32,2),$L500))</f>
        <v/>
      </c>
      <c r="O500" s="21"/>
      <c r="P500" s="22"/>
    </row>
    <row r="501" customFormat="false" ht="19.5" hidden="false" customHeight="true" outlineLevel="0" collapsed="false">
      <c r="B501" s="28" t="s">
        <v>889</v>
      </c>
      <c r="C501" s="21"/>
      <c r="D501" s="21"/>
      <c r="E501" s="21"/>
      <c r="F501" s="21"/>
      <c r="G501" s="29"/>
      <c r="H501" s="29"/>
      <c r="I501" s="21"/>
      <c r="J501" s="30" t="str">
        <f aca="false">IF(OR($G501="",$I501="",NOT(ISNUMBER($G501))),"",IF($I501="Maund",ROUND($G501/37.32,2),$G501))</f>
        <v/>
      </c>
      <c r="K501" s="30" t="str">
        <f aca="false">IF(OR($H501="",$I501="",NOT(ISNUMBER($H501))),"",IF($I501="Maund",ROUND($H501/37.32,2),$H501))</f>
        <v/>
      </c>
      <c r="L501" s="29"/>
      <c r="M501" s="21"/>
      <c r="N501" s="30" t="str">
        <f aca="false">IF(OR($L501="",$M501="",NOT(ISNUMBER($L501))),"",IF($M501="Maund",ROUND($L501*37.32,2),$L501))</f>
        <v/>
      </c>
      <c r="O501" s="21"/>
      <c r="P501" s="22"/>
    </row>
    <row r="502" customFormat="false" ht="19.5" hidden="false" customHeight="true" outlineLevel="0" collapsed="false">
      <c r="B502" s="28" t="s">
        <v>890</v>
      </c>
      <c r="C502" s="21"/>
      <c r="D502" s="21"/>
      <c r="E502" s="21"/>
      <c r="F502" s="21"/>
      <c r="G502" s="29"/>
      <c r="H502" s="29"/>
      <c r="I502" s="21"/>
      <c r="J502" s="30" t="str">
        <f aca="false">IF(OR($G502="",$I502="",NOT(ISNUMBER($G502))),"",IF($I502="Maund",ROUND($G502/37.32,2),$G502))</f>
        <v/>
      </c>
      <c r="K502" s="30" t="str">
        <f aca="false">IF(OR($H502="",$I502="",NOT(ISNUMBER($H502))),"",IF($I502="Maund",ROUND($H502/37.32,2),$H502))</f>
        <v/>
      </c>
      <c r="L502" s="29"/>
      <c r="M502" s="21"/>
      <c r="N502" s="30" t="str">
        <f aca="false">IF(OR($L502="",$M502="",NOT(ISNUMBER($L502))),"",IF($M502="Maund",ROUND($L502*37.32,2),$L502))</f>
        <v/>
      </c>
      <c r="O502" s="21"/>
      <c r="P502" s="22"/>
    </row>
    <row r="503" customFormat="false" ht="19.5" hidden="false" customHeight="true" outlineLevel="0" collapsed="false">
      <c r="B503" s="28" t="s">
        <v>891</v>
      </c>
      <c r="C503" s="21"/>
      <c r="D503" s="21"/>
      <c r="E503" s="21"/>
      <c r="F503" s="21"/>
      <c r="G503" s="29"/>
      <c r="H503" s="29"/>
      <c r="I503" s="21"/>
      <c r="J503" s="30" t="str">
        <f aca="false">IF(OR($G503="",$I503="",NOT(ISNUMBER($G503))),"",IF($I503="Maund",ROUND($G503/37.32,2),$G503))</f>
        <v/>
      </c>
      <c r="K503" s="30" t="str">
        <f aca="false">IF(OR($H503="",$I503="",NOT(ISNUMBER($H503))),"",IF($I503="Maund",ROUND($H503/37.32,2),$H503))</f>
        <v/>
      </c>
      <c r="L503" s="29"/>
      <c r="M503" s="21"/>
      <c r="N503" s="30" t="str">
        <f aca="false">IF(OR($L503="",$M503="",NOT(ISNUMBER($L503))),"",IF($M503="Maund",ROUND($L503*37.32,2),$L503))</f>
        <v/>
      </c>
      <c r="O503" s="21"/>
      <c r="P503" s="22"/>
    </row>
    <row r="504" customFormat="false" ht="19.5" hidden="false" customHeight="true" outlineLevel="0" collapsed="false">
      <c r="B504" s="28" t="s">
        <v>892</v>
      </c>
      <c r="C504" s="21"/>
      <c r="D504" s="21"/>
      <c r="E504" s="21"/>
      <c r="F504" s="21"/>
      <c r="G504" s="29"/>
      <c r="H504" s="29"/>
      <c r="I504" s="21"/>
      <c r="J504" s="30" t="str">
        <f aca="false">IF(OR($G504="",$I504="",NOT(ISNUMBER($G504))),"",IF($I504="Maund",ROUND($G504/37.32,2),$G504))</f>
        <v/>
      </c>
      <c r="K504" s="30" t="str">
        <f aca="false">IF(OR($H504="",$I504="",NOT(ISNUMBER($H504))),"",IF($I504="Maund",ROUND($H504/37.32,2),$H504))</f>
        <v/>
      </c>
      <c r="L504" s="29"/>
      <c r="M504" s="21"/>
      <c r="N504" s="30" t="str">
        <f aca="false">IF(OR($L504="",$M504="",NOT(ISNUMBER($L504))),"",IF($M504="Maund",ROUND($L504*37.32,2),$L504))</f>
        <v/>
      </c>
      <c r="O504" s="21"/>
      <c r="P504" s="22"/>
    </row>
    <row r="505" customFormat="false" ht="15" hidden="false" customHeight="false" outlineLevel="0" collapsed="false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customFormat="false" ht="14.25" hidden="false" customHeight="true" outlineLevel="0" collapsed="false">
      <c r="B506" s="8" t="s">
        <v>893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</sheetData>
  <autoFilter ref="B4:P504"/>
  <mergeCells count="1">
    <mergeCell ref="B2:P2"/>
  </mergeCells>
  <dataValidations count="6">
    <dataValidation allowBlank="true" error="Enter a number between 0 and 1000000." errorStyle="stop" errorTitle="Out of range" operator="between" showDropDown="false" showErrorMessage="true" showInputMessage="false" sqref="L5:L504" type="decimal">
      <formula1>0</formula1>
      <formula2>1000000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D5:D50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F5:F504" type="list">
      <formula1>"S01,S02,S03,S04,S05,S06,S07,S08,S09,S10"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I5:I504 M5:M504" type="list">
      <formula1>"Maund,Kg"</formula1>
      <formula2>0</formula2>
    </dataValidation>
    <dataValidation allowBlank="true" error="Enter a price in BDT, or the flag K (not handled today) / D (declined) / - (not applicable)." errorStyle="stop" errorTitle="Invalid price entry" operator="between" prompt="Number = BDT amount; K = not handled today; D = declined to disclose; - = not applicable." promptTitle="Price or flag" showDropDown="false" showErrorMessage="true" showInputMessage="false" sqref="G5:H504" type="custom">
      <formula1>OR(ISNUMBER($G5),$G5="K",$G5="D",$G5="-",$G5="")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E5:E504" type="list">
      <formula1>"Aratdar,Bepari_Faria,Khuchra"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B2:M3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M1" activeCellId="0" sqref="M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9.73"/>
    <col collapsed="false" customWidth="true" hidden="false" outlineLevel="0" max="3" min="3" style="1" width="11.54"/>
    <col collapsed="false" customWidth="true" hidden="false" outlineLevel="0" max="4" min="4" style="1" width="18.45"/>
    <col collapsed="false" customWidth="true" hidden="false" outlineLevel="0" max="5" min="5" style="1" width="21.73"/>
    <col collapsed="false" customWidth="true" hidden="false" outlineLevel="0" max="6" min="6" style="1" width="17.63"/>
    <col collapsed="false" customWidth="true" hidden="false" outlineLevel="0" max="7" min="7" style="1" width="14.73"/>
    <col collapsed="false" customWidth="true" hidden="false" outlineLevel="0" max="8" min="8" style="1" width="8"/>
    <col collapsed="false" customWidth="true" hidden="false" outlineLevel="0" max="9" min="9" style="1" width="23.09"/>
    <col collapsed="false" customWidth="true" hidden="false" outlineLevel="0" max="10" min="10" style="1" width="17.82"/>
    <col collapsed="false" customWidth="true" hidden="false" outlineLevel="0" max="11" min="11" style="1" width="17.73"/>
    <col collapsed="false" customWidth="true" hidden="false" outlineLevel="0" max="12" min="12" style="1" width="16.45"/>
    <col collapsed="false" customWidth="true" hidden="false" outlineLevel="0" max="13" min="13" style="1" width="22"/>
  </cols>
  <sheetData>
    <row r="2" customFormat="false" ht="31.5" hidden="false" customHeight="true" outlineLevel="0" collapsed="false">
      <c r="B2" s="2" t="s">
        <v>894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27.75" hidden="false" customHeight="true" outlineLevel="0" collapsed="false">
      <c r="B4" s="11" t="s">
        <v>37</v>
      </c>
      <c r="C4" s="11" t="s">
        <v>58</v>
      </c>
      <c r="D4" s="11" t="s">
        <v>384</v>
      </c>
      <c r="E4" s="11" t="s">
        <v>895</v>
      </c>
      <c r="F4" s="11" t="s">
        <v>896</v>
      </c>
      <c r="G4" s="11" t="s">
        <v>897</v>
      </c>
      <c r="H4" s="11" t="s">
        <v>387</v>
      </c>
      <c r="I4" s="11" t="s">
        <v>898</v>
      </c>
      <c r="J4" s="11" t="s">
        <v>390</v>
      </c>
      <c r="K4" s="11" t="s">
        <v>391</v>
      </c>
      <c r="L4" s="11" t="s">
        <v>392</v>
      </c>
      <c r="M4" s="11" t="s">
        <v>94</v>
      </c>
    </row>
    <row r="5" customFormat="false" ht="19.5" hidden="false" customHeight="true" outlineLevel="0" collapsed="false">
      <c r="B5" s="21"/>
      <c r="C5" s="21"/>
      <c r="D5" s="21"/>
      <c r="E5" s="21"/>
      <c r="F5" s="21"/>
      <c r="G5" s="29"/>
      <c r="H5" s="21"/>
      <c r="I5" s="30" t="str">
        <f aca="false">IF(OR($G5="",$H5="",NOT(ISNUMBER($G5))),"",IF($H5="Maund",ROUND($G5/37.32,2),$G5))</f>
        <v/>
      </c>
      <c r="J5" s="29"/>
      <c r="K5" s="21"/>
      <c r="L5" s="30" t="str">
        <f aca="false">IF(OR($J5="",$K5="",NOT(ISNUMBER($J5))),"",IF($K5="Maund",ROUND($J5*37.32,2),$J5))</f>
        <v/>
      </c>
      <c r="M5" s="22"/>
    </row>
    <row r="6" customFormat="false" ht="19.5" hidden="false" customHeight="true" outlineLevel="0" collapsed="false">
      <c r="B6" s="21"/>
      <c r="C6" s="21"/>
      <c r="D6" s="21"/>
      <c r="E6" s="21"/>
      <c r="F6" s="21"/>
      <c r="G6" s="29"/>
      <c r="H6" s="21"/>
      <c r="I6" s="30" t="str">
        <f aca="false">IF(OR($G6="",$H6="",NOT(ISNUMBER($G6))),"",IF($H6="Maund",ROUND($G6/37.32,2),$G6))</f>
        <v/>
      </c>
      <c r="J6" s="29"/>
      <c r="K6" s="21"/>
      <c r="L6" s="30" t="str">
        <f aca="false">IF(OR($J6="",$K6="",NOT(ISNUMBER($J6))),"",IF($K6="Maund",ROUND($J6*37.32,2),$J6))</f>
        <v/>
      </c>
      <c r="M6" s="22"/>
    </row>
    <row r="7" customFormat="false" ht="19.5" hidden="false" customHeight="true" outlineLevel="0" collapsed="false">
      <c r="B7" s="21"/>
      <c r="C7" s="21"/>
      <c r="D7" s="21"/>
      <c r="E7" s="21"/>
      <c r="F7" s="21"/>
      <c r="G7" s="29"/>
      <c r="H7" s="21"/>
      <c r="I7" s="30" t="str">
        <f aca="false">IF(OR($G7="",$H7="",NOT(ISNUMBER($G7))),"",IF($H7="Maund",ROUND($G7/37.32,2),$G7))</f>
        <v/>
      </c>
      <c r="J7" s="29"/>
      <c r="K7" s="21"/>
      <c r="L7" s="30" t="str">
        <f aca="false">IF(OR($J7="",$K7="",NOT(ISNUMBER($J7))),"",IF($K7="Maund",ROUND($J7*37.32,2),$J7))</f>
        <v/>
      </c>
      <c r="M7" s="22"/>
    </row>
    <row r="8" customFormat="false" ht="19.5" hidden="false" customHeight="true" outlineLevel="0" collapsed="false">
      <c r="B8" s="21"/>
      <c r="C8" s="21"/>
      <c r="D8" s="21"/>
      <c r="E8" s="21"/>
      <c r="F8" s="21"/>
      <c r="G8" s="29"/>
      <c r="H8" s="21"/>
      <c r="I8" s="30" t="str">
        <f aca="false">IF(OR($G8="",$H8="",NOT(ISNUMBER($G8))),"",IF($H8="Maund",ROUND($G8/37.32,2),$G8))</f>
        <v/>
      </c>
      <c r="J8" s="29"/>
      <c r="K8" s="21"/>
      <c r="L8" s="30" t="str">
        <f aca="false">IF(OR($J8="",$K8="",NOT(ISNUMBER($J8))),"",IF($K8="Maund",ROUND($J8*37.32,2),$J8))</f>
        <v/>
      </c>
      <c r="M8" s="22"/>
    </row>
    <row r="9" customFormat="false" ht="19.5" hidden="false" customHeight="true" outlineLevel="0" collapsed="false">
      <c r="B9" s="21"/>
      <c r="C9" s="21"/>
      <c r="D9" s="21"/>
      <c r="E9" s="21"/>
      <c r="F9" s="21"/>
      <c r="G9" s="29"/>
      <c r="H9" s="21"/>
      <c r="I9" s="30" t="str">
        <f aca="false">IF(OR($G9="",$H9="",NOT(ISNUMBER($G9))),"",IF($H9="Maund",ROUND($G9/37.32,2),$G9))</f>
        <v/>
      </c>
      <c r="J9" s="29"/>
      <c r="K9" s="21"/>
      <c r="L9" s="30" t="str">
        <f aca="false">IF(OR($J9="",$K9="",NOT(ISNUMBER($J9))),"",IF($K9="Maund",ROUND($J9*37.32,2),$J9))</f>
        <v/>
      </c>
      <c r="M9" s="22"/>
    </row>
    <row r="10" customFormat="false" ht="19.5" hidden="false" customHeight="true" outlineLevel="0" collapsed="false">
      <c r="B10" s="21"/>
      <c r="C10" s="21"/>
      <c r="D10" s="21"/>
      <c r="E10" s="21"/>
      <c r="F10" s="21"/>
      <c r="G10" s="29"/>
      <c r="H10" s="21"/>
      <c r="I10" s="30" t="str">
        <f aca="false">IF(OR($G10="",$H10="",NOT(ISNUMBER($G10))),"",IF($H10="Maund",ROUND($G10/37.32,2),$G10))</f>
        <v/>
      </c>
      <c r="J10" s="29"/>
      <c r="K10" s="21"/>
      <c r="L10" s="30" t="str">
        <f aca="false">IF(OR($J10="",$K10="",NOT(ISNUMBER($J10))),"",IF($K10="Maund",ROUND($J10*37.32,2),$J10))</f>
        <v/>
      </c>
      <c r="M10" s="22"/>
    </row>
    <row r="11" customFormat="false" ht="19.5" hidden="false" customHeight="true" outlineLevel="0" collapsed="false">
      <c r="B11" s="21"/>
      <c r="C11" s="21"/>
      <c r="D11" s="21"/>
      <c r="E11" s="21"/>
      <c r="F11" s="21"/>
      <c r="G11" s="29"/>
      <c r="H11" s="21"/>
      <c r="I11" s="30" t="str">
        <f aca="false">IF(OR($G11="",$H11="",NOT(ISNUMBER($G11))),"",IF($H11="Maund",ROUND($G11/37.32,2),$G11))</f>
        <v/>
      </c>
      <c r="J11" s="29"/>
      <c r="K11" s="21"/>
      <c r="L11" s="30" t="str">
        <f aca="false">IF(OR($J11="",$K11="",NOT(ISNUMBER($J11))),"",IF($K11="Maund",ROUND($J11*37.32,2),$J11))</f>
        <v/>
      </c>
      <c r="M11" s="22"/>
    </row>
    <row r="12" customFormat="false" ht="19.5" hidden="false" customHeight="true" outlineLevel="0" collapsed="false">
      <c r="B12" s="21"/>
      <c r="C12" s="21"/>
      <c r="D12" s="21"/>
      <c r="E12" s="21"/>
      <c r="F12" s="21"/>
      <c r="G12" s="29"/>
      <c r="H12" s="21"/>
      <c r="I12" s="30" t="str">
        <f aca="false">IF(OR($G12="",$H12="",NOT(ISNUMBER($G12))),"",IF($H12="Maund",ROUND($G12/37.32,2),$G12))</f>
        <v/>
      </c>
      <c r="J12" s="29"/>
      <c r="K12" s="21"/>
      <c r="L12" s="30" t="str">
        <f aca="false">IF(OR($J12="",$K12="",NOT(ISNUMBER($J12))),"",IF($K12="Maund",ROUND($J12*37.32,2),$J12))</f>
        <v/>
      </c>
      <c r="M12" s="22"/>
    </row>
    <row r="13" customFormat="false" ht="19.5" hidden="false" customHeight="true" outlineLevel="0" collapsed="false">
      <c r="B13" s="21"/>
      <c r="C13" s="21"/>
      <c r="D13" s="21"/>
      <c r="E13" s="21"/>
      <c r="F13" s="21"/>
      <c r="G13" s="29"/>
      <c r="H13" s="21"/>
      <c r="I13" s="30" t="str">
        <f aca="false">IF(OR($G13="",$H13="",NOT(ISNUMBER($G13))),"",IF($H13="Maund",ROUND($G13/37.32,2),$G13))</f>
        <v/>
      </c>
      <c r="J13" s="29"/>
      <c r="K13" s="21"/>
      <c r="L13" s="30" t="str">
        <f aca="false">IF(OR($J13="",$K13="",NOT(ISNUMBER($J13))),"",IF($K13="Maund",ROUND($J13*37.32,2),$J13))</f>
        <v/>
      </c>
      <c r="M13" s="22"/>
    </row>
    <row r="14" customFormat="false" ht="19.5" hidden="false" customHeight="true" outlineLevel="0" collapsed="false">
      <c r="B14" s="21"/>
      <c r="C14" s="21"/>
      <c r="D14" s="21"/>
      <c r="E14" s="21"/>
      <c r="F14" s="21"/>
      <c r="G14" s="29"/>
      <c r="H14" s="21"/>
      <c r="I14" s="30" t="str">
        <f aca="false">IF(OR($G14="",$H14="",NOT(ISNUMBER($G14))),"",IF($H14="Maund",ROUND($G14/37.32,2),$G14))</f>
        <v/>
      </c>
      <c r="J14" s="29"/>
      <c r="K14" s="21"/>
      <c r="L14" s="30" t="str">
        <f aca="false">IF(OR($J14="",$K14="",NOT(ISNUMBER($J14))),"",IF($K14="Maund",ROUND($J14*37.32,2),$J14))</f>
        <v/>
      </c>
      <c r="M14" s="22"/>
    </row>
    <row r="15" customFormat="false" ht="19.5" hidden="false" customHeight="true" outlineLevel="0" collapsed="false">
      <c r="B15" s="21"/>
      <c r="C15" s="21"/>
      <c r="D15" s="21"/>
      <c r="E15" s="21"/>
      <c r="F15" s="21"/>
      <c r="G15" s="29"/>
      <c r="H15" s="21"/>
      <c r="I15" s="30" t="str">
        <f aca="false">IF(OR($G15="",$H15="",NOT(ISNUMBER($G15))),"",IF($H15="Maund",ROUND($G15/37.32,2),$G15))</f>
        <v/>
      </c>
      <c r="J15" s="29"/>
      <c r="K15" s="21"/>
      <c r="L15" s="30" t="str">
        <f aca="false">IF(OR($J15="",$K15="",NOT(ISNUMBER($J15))),"",IF($K15="Maund",ROUND($J15*37.32,2),$J15))</f>
        <v/>
      </c>
      <c r="M15" s="22"/>
    </row>
    <row r="16" customFormat="false" ht="19.5" hidden="false" customHeight="true" outlineLevel="0" collapsed="false">
      <c r="B16" s="21"/>
      <c r="C16" s="21"/>
      <c r="D16" s="21"/>
      <c r="E16" s="21"/>
      <c r="F16" s="21"/>
      <c r="G16" s="29"/>
      <c r="H16" s="21"/>
      <c r="I16" s="30" t="str">
        <f aca="false">IF(OR($G16="",$H16="",NOT(ISNUMBER($G16))),"",IF($H16="Maund",ROUND($G16/37.32,2),$G16))</f>
        <v/>
      </c>
      <c r="J16" s="29"/>
      <c r="K16" s="21"/>
      <c r="L16" s="30" t="str">
        <f aca="false">IF(OR($J16="",$K16="",NOT(ISNUMBER($J16))),"",IF($K16="Maund",ROUND($J16*37.32,2),$J16))</f>
        <v/>
      </c>
      <c r="M16" s="22"/>
    </row>
    <row r="17" customFormat="false" ht="19.5" hidden="false" customHeight="true" outlineLevel="0" collapsed="false">
      <c r="B17" s="21"/>
      <c r="C17" s="21"/>
      <c r="D17" s="21"/>
      <c r="E17" s="21"/>
      <c r="F17" s="21"/>
      <c r="G17" s="29"/>
      <c r="H17" s="21"/>
      <c r="I17" s="30" t="str">
        <f aca="false">IF(OR($G17="",$H17="",NOT(ISNUMBER($G17))),"",IF($H17="Maund",ROUND($G17/37.32,2),$G17))</f>
        <v/>
      </c>
      <c r="J17" s="29"/>
      <c r="K17" s="21"/>
      <c r="L17" s="30" t="str">
        <f aca="false">IF(OR($J17="",$K17="",NOT(ISNUMBER($J17))),"",IF($K17="Maund",ROUND($J17*37.32,2),$J17))</f>
        <v/>
      </c>
      <c r="M17" s="22"/>
    </row>
    <row r="18" customFormat="false" ht="19.5" hidden="false" customHeight="true" outlineLevel="0" collapsed="false">
      <c r="B18" s="21"/>
      <c r="C18" s="21"/>
      <c r="D18" s="21"/>
      <c r="E18" s="21"/>
      <c r="F18" s="21"/>
      <c r="G18" s="29"/>
      <c r="H18" s="21"/>
      <c r="I18" s="30" t="str">
        <f aca="false">IF(OR($G18="",$H18="",NOT(ISNUMBER($G18))),"",IF($H18="Maund",ROUND($G18/37.32,2),$G18))</f>
        <v/>
      </c>
      <c r="J18" s="29"/>
      <c r="K18" s="21"/>
      <c r="L18" s="30" t="str">
        <f aca="false">IF(OR($J18="",$K18="",NOT(ISNUMBER($J18))),"",IF($K18="Maund",ROUND($J18*37.32,2),$J18))</f>
        <v/>
      </c>
      <c r="M18" s="22"/>
    </row>
    <row r="19" customFormat="false" ht="19.5" hidden="false" customHeight="true" outlineLevel="0" collapsed="false">
      <c r="B19" s="21"/>
      <c r="C19" s="21"/>
      <c r="D19" s="21"/>
      <c r="E19" s="21"/>
      <c r="F19" s="21"/>
      <c r="G19" s="29"/>
      <c r="H19" s="21"/>
      <c r="I19" s="30" t="str">
        <f aca="false">IF(OR($G19="",$H19="",NOT(ISNUMBER($G19))),"",IF($H19="Maund",ROUND($G19/37.32,2),$G19))</f>
        <v/>
      </c>
      <c r="J19" s="29"/>
      <c r="K19" s="21"/>
      <c r="L19" s="30" t="str">
        <f aca="false">IF(OR($J19="",$K19="",NOT(ISNUMBER($J19))),"",IF($K19="Maund",ROUND($J19*37.32,2),$J19))</f>
        <v/>
      </c>
      <c r="M19" s="22"/>
    </row>
    <row r="20" customFormat="false" ht="19.5" hidden="false" customHeight="true" outlineLevel="0" collapsed="false">
      <c r="B20" s="21"/>
      <c r="C20" s="21"/>
      <c r="D20" s="21"/>
      <c r="E20" s="21"/>
      <c r="F20" s="21"/>
      <c r="G20" s="29"/>
      <c r="H20" s="21"/>
      <c r="I20" s="30" t="str">
        <f aca="false">IF(OR($G20="",$H20="",NOT(ISNUMBER($G20))),"",IF($H20="Maund",ROUND($G20/37.32,2),$G20))</f>
        <v/>
      </c>
      <c r="J20" s="29"/>
      <c r="K20" s="21"/>
      <c r="L20" s="30" t="str">
        <f aca="false">IF(OR($J20="",$K20="",NOT(ISNUMBER($J20))),"",IF($K20="Maund",ROUND($J20*37.32,2),$J20))</f>
        <v/>
      </c>
      <c r="M20" s="22"/>
    </row>
    <row r="21" customFormat="false" ht="19.5" hidden="false" customHeight="true" outlineLevel="0" collapsed="false">
      <c r="B21" s="21"/>
      <c r="C21" s="21"/>
      <c r="D21" s="21"/>
      <c r="E21" s="21"/>
      <c r="F21" s="21"/>
      <c r="G21" s="29"/>
      <c r="H21" s="21"/>
      <c r="I21" s="30" t="str">
        <f aca="false">IF(OR($G21="",$H21="",NOT(ISNUMBER($G21))),"",IF($H21="Maund",ROUND($G21/37.32,2),$G21))</f>
        <v/>
      </c>
      <c r="J21" s="29"/>
      <c r="K21" s="21"/>
      <c r="L21" s="30" t="str">
        <f aca="false">IF(OR($J21="",$K21="",NOT(ISNUMBER($J21))),"",IF($K21="Maund",ROUND($J21*37.32,2),$J21))</f>
        <v/>
      </c>
      <c r="M21" s="22"/>
    </row>
    <row r="22" customFormat="false" ht="19.5" hidden="false" customHeight="true" outlineLevel="0" collapsed="false">
      <c r="B22" s="21"/>
      <c r="C22" s="21"/>
      <c r="D22" s="21"/>
      <c r="E22" s="21"/>
      <c r="F22" s="21"/>
      <c r="G22" s="29"/>
      <c r="H22" s="21"/>
      <c r="I22" s="30" t="str">
        <f aca="false">IF(OR($G22="",$H22="",NOT(ISNUMBER($G22))),"",IF($H22="Maund",ROUND($G22/37.32,2),$G22))</f>
        <v/>
      </c>
      <c r="J22" s="29"/>
      <c r="K22" s="21"/>
      <c r="L22" s="30" t="str">
        <f aca="false">IF(OR($J22="",$K22="",NOT(ISNUMBER($J22))),"",IF($K22="Maund",ROUND($J22*37.32,2),$J22))</f>
        <v/>
      </c>
      <c r="M22" s="22"/>
    </row>
    <row r="23" customFormat="false" ht="19.5" hidden="false" customHeight="true" outlineLevel="0" collapsed="false">
      <c r="B23" s="21"/>
      <c r="C23" s="21"/>
      <c r="D23" s="21"/>
      <c r="E23" s="21"/>
      <c r="F23" s="21"/>
      <c r="G23" s="29"/>
      <c r="H23" s="21"/>
      <c r="I23" s="30" t="str">
        <f aca="false">IF(OR($G23="",$H23="",NOT(ISNUMBER($G23))),"",IF($H23="Maund",ROUND($G23/37.32,2),$G23))</f>
        <v/>
      </c>
      <c r="J23" s="29"/>
      <c r="K23" s="21"/>
      <c r="L23" s="30" t="str">
        <f aca="false">IF(OR($J23="",$K23="",NOT(ISNUMBER($J23))),"",IF($K23="Maund",ROUND($J23*37.32,2),$J23))</f>
        <v/>
      </c>
      <c r="M23" s="22"/>
    </row>
    <row r="24" customFormat="false" ht="19.5" hidden="false" customHeight="true" outlineLevel="0" collapsed="false">
      <c r="B24" s="21"/>
      <c r="C24" s="21"/>
      <c r="D24" s="21"/>
      <c r="E24" s="21"/>
      <c r="F24" s="21"/>
      <c r="G24" s="29"/>
      <c r="H24" s="21"/>
      <c r="I24" s="30" t="str">
        <f aca="false">IF(OR($G24="",$H24="",NOT(ISNUMBER($G24))),"",IF($H24="Maund",ROUND($G24/37.32,2),$G24))</f>
        <v/>
      </c>
      <c r="J24" s="29"/>
      <c r="K24" s="21"/>
      <c r="L24" s="30" t="str">
        <f aca="false">IF(OR($J24="",$K24="",NOT(ISNUMBER($J24))),"",IF($K24="Maund",ROUND($J24*37.32,2),$J24))</f>
        <v/>
      </c>
      <c r="M24" s="22"/>
    </row>
    <row r="25" customFormat="false" ht="19.5" hidden="false" customHeight="true" outlineLevel="0" collapsed="false">
      <c r="B25" s="21"/>
      <c r="C25" s="21"/>
      <c r="D25" s="21"/>
      <c r="E25" s="21"/>
      <c r="F25" s="21"/>
      <c r="G25" s="29"/>
      <c r="H25" s="21"/>
      <c r="I25" s="30" t="str">
        <f aca="false">IF(OR($G25="",$H25="",NOT(ISNUMBER($G25))),"",IF($H25="Maund",ROUND($G25/37.32,2),$G25))</f>
        <v/>
      </c>
      <c r="J25" s="29"/>
      <c r="K25" s="21"/>
      <c r="L25" s="30" t="str">
        <f aca="false">IF(OR($J25="",$K25="",NOT(ISNUMBER($J25))),"",IF($K25="Maund",ROUND($J25*37.32,2),$J25))</f>
        <v/>
      </c>
      <c r="M25" s="22"/>
    </row>
    <row r="26" customFormat="false" ht="19.5" hidden="false" customHeight="true" outlineLevel="0" collapsed="false">
      <c r="B26" s="21"/>
      <c r="C26" s="21"/>
      <c r="D26" s="21"/>
      <c r="E26" s="21"/>
      <c r="F26" s="21"/>
      <c r="G26" s="29"/>
      <c r="H26" s="21"/>
      <c r="I26" s="30" t="str">
        <f aca="false">IF(OR($G26="",$H26="",NOT(ISNUMBER($G26))),"",IF($H26="Maund",ROUND($G26/37.32,2),$G26))</f>
        <v/>
      </c>
      <c r="J26" s="29"/>
      <c r="K26" s="21"/>
      <c r="L26" s="30" t="str">
        <f aca="false">IF(OR($J26="",$K26="",NOT(ISNUMBER($J26))),"",IF($K26="Maund",ROUND($J26*37.32,2),$J26))</f>
        <v/>
      </c>
      <c r="M26" s="22"/>
    </row>
    <row r="27" customFormat="false" ht="19.5" hidden="false" customHeight="true" outlineLevel="0" collapsed="false">
      <c r="B27" s="21"/>
      <c r="C27" s="21"/>
      <c r="D27" s="21"/>
      <c r="E27" s="21"/>
      <c r="F27" s="21"/>
      <c r="G27" s="29"/>
      <c r="H27" s="21"/>
      <c r="I27" s="30" t="str">
        <f aca="false">IF(OR($G27="",$H27="",NOT(ISNUMBER($G27))),"",IF($H27="Maund",ROUND($G27/37.32,2),$G27))</f>
        <v/>
      </c>
      <c r="J27" s="29"/>
      <c r="K27" s="21"/>
      <c r="L27" s="30" t="str">
        <f aca="false">IF(OR($J27="",$K27="",NOT(ISNUMBER($J27))),"",IF($K27="Maund",ROUND($J27*37.32,2),$J27))</f>
        <v/>
      </c>
      <c r="M27" s="22"/>
    </row>
    <row r="28" customFormat="false" ht="19.5" hidden="false" customHeight="true" outlineLevel="0" collapsed="false">
      <c r="B28" s="21"/>
      <c r="C28" s="21"/>
      <c r="D28" s="21"/>
      <c r="E28" s="21"/>
      <c r="F28" s="21"/>
      <c r="G28" s="29"/>
      <c r="H28" s="21"/>
      <c r="I28" s="30" t="str">
        <f aca="false">IF(OR($G28="",$H28="",NOT(ISNUMBER($G28))),"",IF($H28="Maund",ROUND($G28/37.32,2),$G28))</f>
        <v/>
      </c>
      <c r="J28" s="29"/>
      <c r="K28" s="21"/>
      <c r="L28" s="30" t="str">
        <f aca="false">IF(OR($J28="",$K28="",NOT(ISNUMBER($J28))),"",IF($K28="Maund",ROUND($J28*37.32,2),$J28))</f>
        <v/>
      </c>
      <c r="M28" s="22"/>
    </row>
    <row r="29" customFormat="false" ht="19.5" hidden="false" customHeight="true" outlineLevel="0" collapsed="false">
      <c r="B29" s="21"/>
      <c r="C29" s="21"/>
      <c r="D29" s="21"/>
      <c r="E29" s="21"/>
      <c r="F29" s="21"/>
      <c r="G29" s="29"/>
      <c r="H29" s="21"/>
      <c r="I29" s="30" t="str">
        <f aca="false">IF(OR($G29="",$H29="",NOT(ISNUMBER($G29))),"",IF($H29="Maund",ROUND($G29/37.32,2),$G29))</f>
        <v/>
      </c>
      <c r="J29" s="29"/>
      <c r="K29" s="21"/>
      <c r="L29" s="30" t="str">
        <f aca="false">IF(OR($J29="",$K29="",NOT(ISNUMBER($J29))),"",IF($K29="Maund",ROUND($J29*37.32,2),$J29))</f>
        <v/>
      </c>
      <c r="M29" s="22"/>
    </row>
    <row r="30" customFormat="false" ht="19.5" hidden="false" customHeight="true" outlineLevel="0" collapsed="false">
      <c r="B30" s="21"/>
      <c r="C30" s="21"/>
      <c r="D30" s="21"/>
      <c r="E30" s="21"/>
      <c r="F30" s="21"/>
      <c r="G30" s="29"/>
      <c r="H30" s="21"/>
      <c r="I30" s="30" t="str">
        <f aca="false">IF(OR($G30="",$H30="",NOT(ISNUMBER($G30))),"",IF($H30="Maund",ROUND($G30/37.32,2),$G30))</f>
        <v/>
      </c>
      <c r="J30" s="29"/>
      <c r="K30" s="21"/>
      <c r="L30" s="30" t="str">
        <f aca="false">IF(OR($J30="",$K30="",NOT(ISNUMBER($J30))),"",IF($K30="Maund",ROUND($J30*37.32,2),$J30))</f>
        <v/>
      </c>
      <c r="M30" s="22"/>
    </row>
    <row r="31" customFormat="false" ht="19.5" hidden="false" customHeight="true" outlineLevel="0" collapsed="false">
      <c r="B31" s="21"/>
      <c r="C31" s="21"/>
      <c r="D31" s="21"/>
      <c r="E31" s="21"/>
      <c r="F31" s="21"/>
      <c r="G31" s="29"/>
      <c r="H31" s="21"/>
      <c r="I31" s="30" t="str">
        <f aca="false">IF(OR($G31="",$H31="",NOT(ISNUMBER($G31))),"",IF($H31="Maund",ROUND($G31/37.32,2),$G31))</f>
        <v/>
      </c>
      <c r="J31" s="29"/>
      <c r="K31" s="21"/>
      <c r="L31" s="30" t="str">
        <f aca="false">IF(OR($J31="",$K31="",NOT(ISNUMBER($J31))),"",IF($K31="Maund",ROUND($J31*37.32,2),$J31))</f>
        <v/>
      </c>
      <c r="M31" s="22"/>
    </row>
    <row r="32" customFormat="false" ht="19.5" hidden="false" customHeight="true" outlineLevel="0" collapsed="false">
      <c r="B32" s="21"/>
      <c r="C32" s="21"/>
      <c r="D32" s="21"/>
      <c r="E32" s="21"/>
      <c r="F32" s="21"/>
      <c r="G32" s="29"/>
      <c r="H32" s="21"/>
      <c r="I32" s="30" t="str">
        <f aca="false">IF(OR($G32="",$H32="",NOT(ISNUMBER($G32))),"",IF($H32="Maund",ROUND($G32/37.32,2),$G32))</f>
        <v/>
      </c>
      <c r="J32" s="29"/>
      <c r="K32" s="21"/>
      <c r="L32" s="30" t="str">
        <f aca="false">IF(OR($J32="",$K32="",NOT(ISNUMBER($J32))),"",IF($K32="Maund",ROUND($J32*37.32,2),$J32))</f>
        <v/>
      </c>
      <c r="M32" s="22"/>
    </row>
    <row r="33" customFormat="false" ht="19.5" hidden="false" customHeight="true" outlineLevel="0" collapsed="false">
      <c r="B33" s="21"/>
      <c r="C33" s="21"/>
      <c r="D33" s="21"/>
      <c r="E33" s="21"/>
      <c r="F33" s="21"/>
      <c r="G33" s="29"/>
      <c r="H33" s="21"/>
      <c r="I33" s="30" t="str">
        <f aca="false">IF(OR($G33="",$H33="",NOT(ISNUMBER($G33))),"",IF($H33="Maund",ROUND($G33/37.32,2),$G33))</f>
        <v/>
      </c>
      <c r="J33" s="29"/>
      <c r="K33" s="21"/>
      <c r="L33" s="30" t="str">
        <f aca="false">IF(OR($J33="",$K33="",NOT(ISNUMBER($J33))),"",IF($K33="Maund",ROUND($J33*37.32,2),$J33))</f>
        <v/>
      </c>
      <c r="M33" s="22"/>
    </row>
    <row r="34" customFormat="false" ht="19.5" hidden="false" customHeight="true" outlineLevel="0" collapsed="false">
      <c r="B34" s="21"/>
      <c r="C34" s="21"/>
      <c r="D34" s="21"/>
      <c r="E34" s="21"/>
      <c r="F34" s="21"/>
      <c r="G34" s="29"/>
      <c r="H34" s="21"/>
      <c r="I34" s="30" t="str">
        <f aca="false">IF(OR($G34="",$H34="",NOT(ISNUMBER($G34))),"",IF($H34="Maund",ROUND($G34/37.32,2),$G34))</f>
        <v/>
      </c>
      <c r="J34" s="29"/>
      <c r="K34" s="21"/>
      <c r="L34" s="30" t="str">
        <f aca="false">IF(OR($J34="",$K34="",NOT(ISNUMBER($J34))),"",IF($K34="Maund",ROUND($J34*37.32,2),$J34))</f>
        <v/>
      </c>
      <c r="M34" s="22"/>
    </row>
    <row r="35" customFormat="false" ht="19.5" hidden="false" customHeight="true" outlineLevel="0" collapsed="false">
      <c r="B35" s="21"/>
      <c r="C35" s="21"/>
      <c r="D35" s="21"/>
      <c r="E35" s="21"/>
      <c r="F35" s="21"/>
      <c r="G35" s="29"/>
      <c r="H35" s="21"/>
      <c r="I35" s="30" t="str">
        <f aca="false">IF(OR($G35="",$H35="",NOT(ISNUMBER($G35))),"",IF($H35="Maund",ROUND($G35/37.32,2),$G35))</f>
        <v/>
      </c>
      <c r="J35" s="29"/>
      <c r="K35" s="21"/>
      <c r="L35" s="30" t="str">
        <f aca="false">IF(OR($J35="",$K35="",NOT(ISNUMBER($J35))),"",IF($K35="Maund",ROUND($J35*37.32,2),$J35))</f>
        <v/>
      </c>
      <c r="M35" s="22"/>
    </row>
    <row r="36" customFormat="false" ht="19.5" hidden="false" customHeight="true" outlineLevel="0" collapsed="false">
      <c r="B36" s="21"/>
      <c r="C36" s="21"/>
      <c r="D36" s="21"/>
      <c r="E36" s="21"/>
      <c r="F36" s="21"/>
      <c r="G36" s="29"/>
      <c r="H36" s="21"/>
      <c r="I36" s="30" t="str">
        <f aca="false">IF(OR($G36="",$H36="",NOT(ISNUMBER($G36))),"",IF($H36="Maund",ROUND($G36/37.32,2),$G36))</f>
        <v/>
      </c>
      <c r="J36" s="29"/>
      <c r="K36" s="21"/>
      <c r="L36" s="30" t="str">
        <f aca="false">IF(OR($J36="",$K36="",NOT(ISNUMBER($J36))),"",IF($K36="Maund",ROUND($J36*37.32,2),$J36))</f>
        <v/>
      </c>
      <c r="M36" s="22"/>
    </row>
    <row r="37" customFormat="false" ht="19.5" hidden="false" customHeight="true" outlineLevel="0" collapsed="false">
      <c r="B37" s="21"/>
      <c r="C37" s="21"/>
      <c r="D37" s="21"/>
      <c r="E37" s="21"/>
      <c r="F37" s="21"/>
      <c r="G37" s="29"/>
      <c r="H37" s="21"/>
      <c r="I37" s="30" t="str">
        <f aca="false">IF(OR($G37="",$H37="",NOT(ISNUMBER($G37))),"",IF($H37="Maund",ROUND($G37/37.32,2),$G37))</f>
        <v/>
      </c>
      <c r="J37" s="29"/>
      <c r="K37" s="21"/>
      <c r="L37" s="30" t="str">
        <f aca="false">IF(OR($J37="",$K37="",NOT(ISNUMBER($J37))),"",IF($K37="Maund",ROUND($J37*37.32,2),$J37))</f>
        <v/>
      </c>
      <c r="M37" s="22"/>
    </row>
    <row r="38" customFormat="false" ht="19.5" hidden="false" customHeight="true" outlineLevel="0" collapsed="false">
      <c r="B38" s="21"/>
      <c r="C38" s="21"/>
      <c r="D38" s="21"/>
      <c r="E38" s="21"/>
      <c r="F38" s="21"/>
      <c r="G38" s="29"/>
      <c r="H38" s="21"/>
      <c r="I38" s="30" t="str">
        <f aca="false">IF(OR($G38="",$H38="",NOT(ISNUMBER($G38))),"",IF($H38="Maund",ROUND($G38/37.32,2),$G38))</f>
        <v/>
      </c>
      <c r="J38" s="29"/>
      <c r="K38" s="21"/>
      <c r="L38" s="30" t="str">
        <f aca="false">IF(OR($J38="",$K38="",NOT(ISNUMBER($J38))),"",IF($K38="Maund",ROUND($J38*37.32,2),$J38))</f>
        <v/>
      </c>
      <c r="M38" s="22"/>
    </row>
    <row r="39" customFormat="false" ht="19.5" hidden="false" customHeight="true" outlineLevel="0" collapsed="false">
      <c r="B39" s="21"/>
      <c r="C39" s="21"/>
      <c r="D39" s="21"/>
      <c r="E39" s="21"/>
      <c r="F39" s="21"/>
      <c r="G39" s="29"/>
      <c r="H39" s="21"/>
      <c r="I39" s="30" t="str">
        <f aca="false">IF(OR($G39="",$H39="",NOT(ISNUMBER($G39))),"",IF($H39="Maund",ROUND($G39/37.32,2),$G39))</f>
        <v/>
      </c>
      <c r="J39" s="29"/>
      <c r="K39" s="21"/>
      <c r="L39" s="30" t="str">
        <f aca="false">IF(OR($J39="",$K39="",NOT(ISNUMBER($J39))),"",IF($K39="Maund",ROUND($J39*37.32,2),$J39))</f>
        <v/>
      </c>
      <c r="M39" s="22"/>
    </row>
    <row r="40" customFormat="false" ht="19.5" hidden="false" customHeight="true" outlineLevel="0" collapsed="false">
      <c r="B40" s="21"/>
      <c r="C40" s="21"/>
      <c r="D40" s="21"/>
      <c r="E40" s="21"/>
      <c r="F40" s="21"/>
      <c r="G40" s="29"/>
      <c r="H40" s="21"/>
      <c r="I40" s="30" t="str">
        <f aca="false">IF(OR($G40="",$H40="",NOT(ISNUMBER($G40))),"",IF($H40="Maund",ROUND($G40/37.32,2),$G40))</f>
        <v/>
      </c>
      <c r="J40" s="29"/>
      <c r="K40" s="21"/>
      <c r="L40" s="30" t="str">
        <f aca="false">IF(OR($J40="",$K40="",NOT(ISNUMBER($J40))),"",IF($K40="Maund",ROUND($J40*37.32,2),$J40))</f>
        <v/>
      </c>
      <c r="M40" s="22"/>
    </row>
    <row r="41" customFormat="false" ht="19.5" hidden="false" customHeight="true" outlineLevel="0" collapsed="false">
      <c r="B41" s="21"/>
      <c r="C41" s="21"/>
      <c r="D41" s="21"/>
      <c r="E41" s="21"/>
      <c r="F41" s="21"/>
      <c r="G41" s="29"/>
      <c r="H41" s="21"/>
      <c r="I41" s="30" t="str">
        <f aca="false">IF(OR($G41="",$H41="",NOT(ISNUMBER($G41))),"",IF($H41="Maund",ROUND($G41/37.32,2),$G41))</f>
        <v/>
      </c>
      <c r="J41" s="29"/>
      <c r="K41" s="21"/>
      <c r="L41" s="30" t="str">
        <f aca="false">IF(OR($J41="",$K41="",NOT(ISNUMBER($J41))),"",IF($K41="Maund",ROUND($J41*37.32,2),$J41))</f>
        <v/>
      </c>
      <c r="M41" s="22"/>
    </row>
    <row r="42" customFormat="false" ht="19.5" hidden="false" customHeight="true" outlineLevel="0" collapsed="false">
      <c r="B42" s="21"/>
      <c r="C42" s="21"/>
      <c r="D42" s="21"/>
      <c r="E42" s="21"/>
      <c r="F42" s="21"/>
      <c r="G42" s="29"/>
      <c r="H42" s="21"/>
      <c r="I42" s="30" t="str">
        <f aca="false">IF(OR($G42="",$H42="",NOT(ISNUMBER($G42))),"",IF($H42="Maund",ROUND($G42/37.32,2),$G42))</f>
        <v/>
      </c>
      <c r="J42" s="29"/>
      <c r="K42" s="21"/>
      <c r="L42" s="30" t="str">
        <f aca="false">IF(OR($J42="",$K42="",NOT(ISNUMBER($J42))),"",IF($K42="Maund",ROUND($J42*37.32,2),$J42))</f>
        <v/>
      </c>
      <c r="M42" s="22"/>
    </row>
    <row r="43" customFormat="false" ht="19.5" hidden="false" customHeight="true" outlineLevel="0" collapsed="false">
      <c r="B43" s="21"/>
      <c r="C43" s="21"/>
      <c r="D43" s="21"/>
      <c r="E43" s="21"/>
      <c r="F43" s="21"/>
      <c r="G43" s="29"/>
      <c r="H43" s="21"/>
      <c r="I43" s="30" t="str">
        <f aca="false">IF(OR($G43="",$H43="",NOT(ISNUMBER($G43))),"",IF($H43="Maund",ROUND($G43/37.32,2),$G43))</f>
        <v/>
      </c>
      <c r="J43" s="29"/>
      <c r="K43" s="21"/>
      <c r="L43" s="30" t="str">
        <f aca="false">IF(OR($J43="",$K43="",NOT(ISNUMBER($J43))),"",IF($K43="Maund",ROUND($J43*37.32,2),$J43))</f>
        <v/>
      </c>
      <c r="M43" s="22"/>
    </row>
    <row r="44" customFormat="false" ht="19.5" hidden="false" customHeight="true" outlineLevel="0" collapsed="false">
      <c r="B44" s="21"/>
      <c r="C44" s="21"/>
      <c r="D44" s="21"/>
      <c r="E44" s="21"/>
      <c r="F44" s="21"/>
      <c r="G44" s="29"/>
      <c r="H44" s="21"/>
      <c r="I44" s="30" t="str">
        <f aca="false">IF(OR($G44="",$H44="",NOT(ISNUMBER($G44))),"",IF($H44="Maund",ROUND($G44/37.32,2),$G44))</f>
        <v/>
      </c>
      <c r="J44" s="29"/>
      <c r="K44" s="21"/>
      <c r="L44" s="30" t="str">
        <f aca="false">IF(OR($J44="",$K44="",NOT(ISNUMBER($J44))),"",IF($K44="Maund",ROUND($J44*37.32,2),$J44))</f>
        <v/>
      </c>
      <c r="M44" s="22"/>
    </row>
    <row r="45" customFormat="false" ht="19.5" hidden="false" customHeight="true" outlineLevel="0" collapsed="false">
      <c r="B45" s="21"/>
      <c r="C45" s="21"/>
      <c r="D45" s="21"/>
      <c r="E45" s="21"/>
      <c r="F45" s="21"/>
      <c r="G45" s="29"/>
      <c r="H45" s="21"/>
      <c r="I45" s="30" t="str">
        <f aca="false">IF(OR($G45="",$H45="",NOT(ISNUMBER($G45))),"",IF($H45="Maund",ROUND($G45/37.32,2),$G45))</f>
        <v/>
      </c>
      <c r="J45" s="29"/>
      <c r="K45" s="21"/>
      <c r="L45" s="30" t="str">
        <f aca="false">IF(OR($J45="",$K45="",NOT(ISNUMBER($J45))),"",IF($K45="Maund",ROUND($J45*37.32,2),$J45))</f>
        <v/>
      </c>
      <c r="M45" s="22"/>
    </row>
    <row r="46" customFormat="false" ht="19.5" hidden="false" customHeight="true" outlineLevel="0" collapsed="false">
      <c r="B46" s="21"/>
      <c r="C46" s="21"/>
      <c r="D46" s="21"/>
      <c r="E46" s="21"/>
      <c r="F46" s="21"/>
      <c r="G46" s="29"/>
      <c r="H46" s="21"/>
      <c r="I46" s="30" t="str">
        <f aca="false">IF(OR($G46="",$H46="",NOT(ISNUMBER($G46))),"",IF($H46="Maund",ROUND($G46/37.32,2),$G46))</f>
        <v/>
      </c>
      <c r="J46" s="29"/>
      <c r="K46" s="21"/>
      <c r="L46" s="30" t="str">
        <f aca="false">IF(OR($J46="",$K46="",NOT(ISNUMBER($J46))),"",IF($K46="Maund",ROUND($J46*37.32,2),$J46))</f>
        <v/>
      </c>
      <c r="M46" s="22"/>
    </row>
    <row r="47" customFormat="false" ht="19.5" hidden="false" customHeight="true" outlineLevel="0" collapsed="false">
      <c r="B47" s="21"/>
      <c r="C47" s="21"/>
      <c r="D47" s="21"/>
      <c r="E47" s="21"/>
      <c r="F47" s="21"/>
      <c r="G47" s="29"/>
      <c r="H47" s="21"/>
      <c r="I47" s="30" t="str">
        <f aca="false">IF(OR($G47="",$H47="",NOT(ISNUMBER($G47))),"",IF($H47="Maund",ROUND($G47/37.32,2),$G47))</f>
        <v/>
      </c>
      <c r="J47" s="29"/>
      <c r="K47" s="21"/>
      <c r="L47" s="30" t="str">
        <f aca="false">IF(OR($J47="",$K47="",NOT(ISNUMBER($J47))),"",IF($K47="Maund",ROUND($J47*37.32,2),$J47))</f>
        <v/>
      </c>
      <c r="M47" s="22"/>
    </row>
    <row r="48" customFormat="false" ht="19.5" hidden="false" customHeight="true" outlineLevel="0" collapsed="false">
      <c r="B48" s="21"/>
      <c r="C48" s="21"/>
      <c r="D48" s="21"/>
      <c r="E48" s="21"/>
      <c r="F48" s="21"/>
      <c r="G48" s="29"/>
      <c r="H48" s="21"/>
      <c r="I48" s="30" t="str">
        <f aca="false">IF(OR($G48="",$H48="",NOT(ISNUMBER($G48))),"",IF($H48="Maund",ROUND($G48/37.32,2),$G48))</f>
        <v/>
      </c>
      <c r="J48" s="29"/>
      <c r="K48" s="21"/>
      <c r="L48" s="30" t="str">
        <f aca="false">IF(OR($J48="",$K48="",NOT(ISNUMBER($J48))),"",IF($K48="Maund",ROUND($J48*37.32,2),$J48))</f>
        <v/>
      </c>
      <c r="M48" s="22"/>
    </row>
    <row r="49" customFormat="false" ht="19.5" hidden="false" customHeight="true" outlineLevel="0" collapsed="false">
      <c r="B49" s="21"/>
      <c r="C49" s="21"/>
      <c r="D49" s="21"/>
      <c r="E49" s="21"/>
      <c r="F49" s="21"/>
      <c r="G49" s="29"/>
      <c r="H49" s="21"/>
      <c r="I49" s="30" t="str">
        <f aca="false">IF(OR($G49="",$H49="",NOT(ISNUMBER($G49))),"",IF($H49="Maund",ROUND($G49/37.32,2),$G49))</f>
        <v/>
      </c>
      <c r="J49" s="29"/>
      <c r="K49" s="21"/>
      <c r="L49" s="30" t="str">
        <f aca="false">IF(OR($J49="",$K49="",NOT(ISNUMBER($J49))),"",IF($K49="Maund",ROUND($J49*37.32,2),$J49))</f>
        <v/>
      </c>
      <c r="M49" s="22"/>
    </row>
    <row r="50" customFormat="false" ht="19.5" hidden="false" customHeight="true" outlineLevel="0" collapsed="false">
      <c r="B50" s="21"/>
      <c r="C50" s="21"/>
      <c r="D50" s="21"/>
      <c r="E50" s="21"/>
      <c r="F50" s="21"/>
      <c r="G50" s="29"/>
      <c r="H50" s="21"/>
      <c r="I50" s="30" t="str">
        <f aca="false">IF(OR($G50="",$H50="",NOT(ISNUMBER($G50))),"",IF($H50="Maund",ROUND($G50/37.32,2),$G50))</f>
        <v/>
      </c>
      <c r="J50" s="29"/>
      <c r="K50" s="21"/>
      <c r="L50" s="30" t="str">
        <f aca="false">IF(OR($J50="",$K50="",NOT(ISNUMBER($J50))),"",IF($K50="Maund",ROUND($J50*37.32,2),$J50))</f>
        <v/>
      </c>
      <c r="M50" s="22"/>
    </row>
    <row r="51" customFormat="false" ht="19.5" hidden="false" customHeight="true" outlineLevel="0" collapsed="false">
      <c r="B51" s="21"/>
      <c r="C51" s="21"/>
      <c r="D51" s="21"/>
      <c r="E51" s="21"/>
      <c r="F51" s="21"/>
      <c r="G51" s="29"/>
      <c r="H51" s="21"/>
      <c r="I51" s="30" t="str">
        <f aca="false">IF(OR($G51="",$H51="",NOT(ISNUMBER($G51))),"",IF($H51="Maund",ROUND($G51/37.32,2),$G51))</f>
        <v/>
      </c>
      <c r="J51" s="29"/>
      <c r="K51" s="21"/>
      <c r="L51" s="30" t="str">
        <f aca="false">IF(OR($J51="",$K51="",NOT(ISNUMBER($J51))),"",IF($K51="Maund",ROUND($J51*37.32,2),$J51))</f>
        <v/>
      </c>
      <c r="M51" s="22"/>
    </row>
    <row r="52" customFormat="false" ht="19.5" hidden="false" customHeight="true" outlineLevel="0" collapsed="false">
      <c r="B52" s="21"/>
      <c r="C52" s="21"/>
      <c r="D52" s="21"/>
      <c r="E52" s="21"/>
      <c r="F52" s="21"/>
      <c r="G52" s="29"/>
      <c r="H52" s="21"/>
      <c r="I52" s="30" t="str">
        <f aca="false">IF(OR($G52="",$H52="",NOT(ISNUMBER($G52))),"",IF($H52="Maund",ROUND($G52/37.32,2),$G52))</f>
        <v/>
      </c>
      <c r="J52" s="29"/>
      <c r="K52" s="21"/>
      <c r="L52" s="30" t="str">
        <f aca="false">IF(OR($J52="",$K52="",NOT(ISNUMBER($J52))),"",IF($K52="Maund",ROUND($J52*37.32,2),$J52))</f>
        <v/>
      </c>
      <c r="M52" s="22"/>
    </row>
    <row r="53" customFormat="false" ht="19.5" hidden="false" customHeight="true" outlineLevel="0" collapsed="false">
      <c r="B53" s="21"/>
      <c r="C53" s="21"/>
      <c r="D53" s="21"/>
      <c r="E53" s="21"/>
      <c r="F53" s="21"/>
      <c r="G53" s="29"/>
      <c r="H53" s="21"/>
      <c r="I53" s="30" t="str">
        <f aca="false">IF(OR($G53="",$H53="",NOT(ISNUMBER($G53))),"",IF($H53="Maund",ROUND($G53/37.32,2),$G53))</f>
        <v/>
      </c>
      <c r="J53" s="29"/>
      <c r="K53" s="21"/>
      <c r="L53" s="30" t="str">
        <f aca="false">IF(OR($J53="",$K53="",NOT(ISNUMBER($J53))),"",IF($K53="Maund",ROUND($J53*37.32,2),$J53))</f>
        <v/>
      </c>
      <c r="M53" s="22"/>
    </row>
    <row r="54" customFormat="false" ht="19.5" hidden="false" customHeight="true" outlineLevel="0" collapsed="false">
      <c r="B54" s="21"/>
      <c r="C54" s="21"/>
      <c r="D54" s="21"/>
      <c r="E54" s="21"/>
      <c r="F54" s="21"/>
      <c r="G54" s="29"/>
      <c r="H54" s="21"/>
      <c r="I54" s="30" t="str">
        <f aca="false">IF(OR($G54="",$H54="",NOT(ISNUMBER($G54))),"",IF($H54="Maund",ROUND($G54/37.32,2),$G54))</f>
        <v/>
      </c>
      <c r="J54" s="29"/>
      <c r="K54" s="21"/>
      <c r="L54" s="30" t="str">
        <f aca="false">IF(OR($J54="",$K54="",NOT(ISNUMBER($J54))),"",IF($K54="Maund",ROUND($J54*37.32,2),$J54))</f>
        <v/>
      </c>
      <c r="M54" s="22"/>
    </row>
    <row r="55" customFormat="false" ht="19.5" hidden="false" customHeight="true" outlineLevel="0" collapsed="false">
      <c r="B55" s="21"/>
      <c r="C55" s="21"/>
      <c r="D55" s="21"/>
      <c r="E55" s="21"/>
      <c r="F55" s="21"/>
      <c r="G55" s="29"/>
      <c r="H55" s="21"/>
      <c r="I55" s="30" t="str">
        <f aca="false">IF(OR($G55="",$H55="",NOT(ISNUMBER($G55))),"",IF($H55="Maund",ROUND($G55/37.32,2),$G55))</f>
        <v/>
      </c>
      <c r="J55" s="29"/>
      <c r="K55" s="21"/>
      <c r="L55" s="30" t="str">
        <f aca="false">IF(OR($J55="",$K55="",NOT(ISNUMBER($J55))),"",IF($K55="Maund",ROUND($J55*37.32,2),$J55))</f>
        <v/>
      </c>
      <c r="M55" s="22"/>
    </row>
    <row r="56" customFormat="false" ht="19.5" hidden="false" customHeight="true" outlineLevel="0" collapsed="false">
      <c r="B56" s="21"/>
      <c r="C56" s="21"/>
      <c r="D56" s="21"/>
      <c r="E56" s="21"/>
      <c r="F56" s="21"/>
      <c r="G56" s="29"/>
      <c r="H56" s="21"/>
      <c r="I56" s="30" t="str">
        <f aca="false">IF(OR($G56="",$H56="",NOT(ISNUMBER($G56))),"",IF($H56="Maund",ROUND($G56/37.32,2),$G56))</f>
        <v/>
      </c>
      <c r="J56" s="29"/>
      <c r="K56" s="21"/>
      <c r="L56" s="30" t="str">
        <f aca="false">IF(OR($J56="",$K56="",NOT(ISNUMBER($J56))),"",IF($K56="Maund",ROUND($J56*37.32,2),$J56))</f>
        <v/>
      </c>
      <c r="M56" s="22"/>
    </row>
    <row r="57" customFormat="false" ht="19.5" hidden="false" customHeight="true" outlineLevel="0" collapsed="false">
      <c r="B57" s="21"/>
      <c r="C57" s="21"/>
      <c r="D57" s="21"/>
      <c r="E57" s="21"/>
      <c r="F57" s="21"/>
      <c r="G57" s="29"/>
      <c r="H57" s="21"/>
      <c r="I57" s="30" t="str">
        <f aca="false">IF(OR($G57="",$H57="",NOT(ISNUMBER($G57))),"",IF($H57="Maund",ROUND($G57/37.32,2),$G57))</f>
        <v/>
      </c>
      <c r="J57" s="29"/>
      <c r="K57" s="21"/>
      <c r="L57" s="30" t="str">
        <f aca="false">IF(OR($J57="",$K57="",NOT(ISNUMBER($J57))),"",IF($K57="Maund",ROUND($J57*37.32,2),$J57))</f>
        <v/>
      </c>
      <c r="M57" s="22"/>
    </row>
    <row r="58" customFormat="false" ht="19.5" hidden="false" customHeight="true" outlineLevel="0" collapsed="false">
      <c r="B58" s="21"/>
      <c r="C58" s="21"/>
      <c r="D58" s="21"/>
      <c r="E58" s="21"/>
      <c r="F58" s="21"/>
      <c r="G58" s="29"/>
      <c r="H58" s="21"/>
      <c r="I58" s="30" t="str">
        <f aca="false">IF(OR($G58="",$H58="",NOT(ISNUMBER($G58))),"",IF($H58="Maund",ROUND($G58/37.32,2),$G58))</f>
        <v/>
      </c>
      <c r="J58" s="29"/>
      <c r="K58" s="21"/>
      <c r="L58" s="30" t="str">
        <f aca="false">IF(OR($J58="",$K58="",NOT(ISNUMBER($J58))),"",IF($K58="Maund",ROUND($J58*37.32,2),$J58))</f>
        <v/>
      </c>
      <c r="M58" s="22"/>
    </row>
    <row r="59" customFormat="false" ht="19.5" hidden="false" customHeight="true" outlineLevel="0" collapsed="false">
      <c r="B59" s="21"/>
      <c r="C59" s="21"/>
      <c r="D59" s="21"/>
      <c r="E59" s="21"/>
      <c r="F59" s="21"/>
      <c r="G59" s="29"/>
      <c r="H59" s="21"/>
      <c r="I59" s="30" t="str">
        <f aca="false">IF(OR($G59="",$H59="",NOT(ISNUMBER($G59))),"",IF($H59="Maund",ROUND($G59/37.32,2),$G59))</f>
        <v/>
      </c>
      <c r="J59" s="29"/>
      <c r="K59" s="21"/>
      <c r="L59" s="30" t="str">
        <f aca="false">IF(OR($J59="",$K59="",NOT(ISNUMBER($J59))),"",IF($K59="Maund",ROUND($J59*37.32,2),$J59))</f>
        <v/>
      </c>
      <c r="M59" s="22"/>
    </row>
    <row r="60" customFormat="false" ht="19.5" hidden="false" customHeight="true" outlineLevel="0" collapsed="false">
      <c r="B60" s="21"/>
      <c r="C60" s="21"/>
      <c r="D60" s="21"/>
      <c r="E60" s="21"/>
      <c r="F60" s="21"/>
      <c r="G60" s="29"/>
      <c r="H60" s="21"/>
      <c r="I60" s="30" t="str">
        <f aca="false">IF(OR($G60="",$H60="",NOT(ISNUMBER($G60))),"",IF($H60="Maund",ROUND($G60/37.32,2),$G60))</f>
        <v/>
      </c>
      <c r="J60" s="29"/>
      <c r="K60" s="21"/>
      <c r="L60" s="30" t="str">
        <f aca="false">IF(OR($J60="",$K60="",NOT(ISNUMBER($J60))),"",IF($K60="Maund",ROUND($J60*37.32,2),$J60))</f>
        <v/>
      </c>
      <c r="M60" s="22"/>
    </row>
    <row r="61" customFormat="false" ht="19.5" hidden="false" customHeight="true" outlineLevel="0" collapsed="false">
      <c r="B61" s="21"/>
      <c r="C61" s="21"/>
      <c r="D61" s="21"/>
      <c r="E61" s="21"/>
      <c r="F61" s="21"/>
      <c r="G61" s="29"/>
      <c r="H61" s="21"/>
      <c r="I61" s="30" t="str">
        <f aca="false">IF(OR($G61="",$H61="",NOT(ISNUMBER($G61))),"",IF($H61="Maund",ROUND($G61/37.32,2),$G61))</f>
        <v/>
      </c>
      <c r="J61" s="29"/>
      <c r="K61" s="21"/>
      <c r="L61" s="30" t="str">
        <f aca="false">IF(OR($J61="",$K61="",NOT(ISNUMBER($J61))),"",IF($K61="Maund",ROUND($J61*37.32,2),$J61))</f>
        <v/>
      </c>
      <c r="M61" s="22"/>
    </row>
    <row r="62" customFormat="false" ht="19.5" hidden="false" customHeight="true" outlineLevel="0" collapsed="false">
      <c r="B62" s="21"/>
      <c r="C62" s="21"/>
      <c r="D62" s="21"/>
      <c r="E62" s="21"/>
      <c r="F62" s="21"/>
      <c r="G62" s="29"/>
      <c r="H62" s="21"/>
      <c r="I62" s="30" t="str">
        <f aca="false">IF(OR($G62="",$H62="",NOT(ISNUMBER($G62))),"",IF($H62="Maund",ROUND($G62/37.32,2),$G62))</f>
        <v/>
      </c>
      <c r="J62" s="29"/>
      <c r="K62" s="21"/>
      <c r="L62" s="30" t="str">
        <f aca="false">IF(OR($J62="",$K62="",NOT(ISNUMBER($J62))),"",IF($K62="Maund",ROUND($J62*37.32,2),$J62))</f>
        <v/>
      </c>
      <c r="M62" s="22"/>
    </row>
    <row r="63" customFormat="false" ht="19.5" hidden="false" customHeight="true" outlineLevel="0" collapsed="false">
      <c r="B63" s="21"/>
      <c r="C63" s="21"/>
      <c r="D63" s="21"/>
      <c r="E63" s="21"/>
      <c r="F63" s="21"/>
      <c r="G63" s="29"/>
      <c r="H63" s="21"/>
      <c r="I63" s="30" t="str">
        <f aca="false">IF(OR($G63="",$H63="",NOT(ISNUMBER($G63))),"",IF($H63="Maund",ROUND($G63/37.32,2),$G63))</f>
        <v/>
      </c>
      <c r="J63" s="29"/>
      <c r="K63" s="21"/>
      <c r="L63" s="30" t="str">
        <f aca="false">IF(OR($J63="",$K63="",NOT(ISNUMBER($J63))),"",IF($K63="Maund",ROUND($J63*37.32,2),$J63))</f>
        <v/>
      </c>
      <c r="M63" s="22"/>
    </row>
    <row r="64" customFormat="false" ht="19.5" hidden="false" customHeight="true" outlineLevel="0" collapsed="false">
      <c r="B64" s="21"/>
      <c r="C64" s="21"/>
      <c r="D64" s="21"/>
      <c r="E64" s="21"/>
      <c r="F64" s="21"/>
      <c r="G64" s="29"/>
      <c r="H64" s="21"/>
      <c r="I64" s="30" t="str">
        <f aca="false">IF(OR($G64="",$H64="",NOT(ISNUMBER($G64))),"",IF($H64="Maund",ROUND($G64/37.32,2),$G64))</f>
        <v/>
      </c>
      <c r="J64" s="29"/>
      <c r="K64" s="21"/>
      <c r="L64" s="30" t="str">
        <f aca="false">IF(OR($J64="",$K64="",NOT(ISNUMBER($J64))),"",IF($K64="Maund",ROUND($J64*37.32,2),$J64))</f>
        <v/>
      </c>
      <c r="M64" s="22"/>
    </row>
    <row r="65" customFormat="false" ht="19.5" hidden="false" customHeight="true" outlineLevel="0" collapsed="false">
      <c r="B65" s="21"/>
      <c r="C65" s="21"/>
      <c r="D65" s="21"/>
      <c r="E65" s="21"/>
      <c r="F65" s="21"/>
      <c r="G65" s="29"/>
      <c r="H65" s="21"/>
      <c r="I65" s="30" t="str">
        <f aca="false">IF(OR($G65="",$H65="",NOT(ISNUMBER($G65))),"",IF($H65="Maund",ROUND($G65/37.32,2),$G65))</f>
        <v/>
      </c>
      <c r="J65" s="29"/>
      <c r="K65" s="21"/>
      <c r="L65" s="30" t="str">
        <f aca="false">IF(OR($J65="",$K65="",NOT(ISNUMBER($J65))),"",IF($K65="Maund",ROUND($J65*37.32,2),$J65))</f>
        <v/>
      </c>
      <c r="M65" s="22"/>
    </row>
    <row r="66" customFormat="false" ht="19.5" hidden="false" customHeight="true" outlineLevel="0" collapsed="false">
      <c r="B66" s="21"/>
      <c r="C66" s="21"/>
      <c r="D66" s="21"/>
      <c r="E66" s="21"/>
      <c r="F66" s="21"/>
      <c r="G66" s="29"/>
      <c r="H66" s="21"/>
      <c r="I66" s="30" t="str">
        <f aca="false">IF(OR($G66="",$H66="",NOT(ISNUMBER($G66))),"",IF($H66="Maund",ROUND($G66/37.32,2),$G66))</f>
        <v/>
      </c>
      <c r="J66" s="29"/>
      <c r="K66" s="21"/>
      <c r="L66" s="30" t="str">
        <f aca="false">IF(OR($J66="",$K66="",NOT(ISNUMBER($J66))),"",IF($K66="Maund",ROUND($J66*37.32,2),$J66))</f>
        <v/>
      </c>
      <c r="M66" s="22"/>
    </row>
    <row r="67" customFormat="false" ht="19.5" hidden="false" customHeight="true" outlineLevel="0" collapsed="false">
      <c r="B67" s="21"/>
      <c r="C67" s="21"/>
      <c r="D67" s="21"/>
      <c r="E67" s="21"/>
      <c r="F67" s="21"/>
      <c r="G67" s="29"/>
      <c r="H67" s="21"/>
      <c r="I67" s="30" t="str">
        <f aca="false">IF(OR($G67="",$H67="",NOT(ISNUMBER($G67))),"",IF($H67="Maund",ROUND($G67/37.32,2),$G67))</f>
        <v/>
      </c>
      <c r="J67" s="29"/>
      <c r="K67" s="21"/>
      <c r="L67" s="30" t="str">
        <f aca="false">IF(OR($J67="",$K67="",NOT(ISNUMBER($J67))),"",IF($K67="Maund",ROUND($J67*37.32,2),$J67))</f>
        <v/>
      </c>
      <c r="M67" s="22"/>
    </row>
    <row r="68" customFormat="false" ht="19.5" hidden="false" customHeight="true" outlineLevel="0" collapsed="false">
      <c r="B68" s="21"/>
      <c r="C68" s="21"/>
      <c r="D68" s="21"/>
      <c r="E68" s="21"/>
      <c r="F68" s="21"/>
      <c r="G68" s="29"/>
      <c r="H68" s="21"/>
      <c r="I68" s="30" t="str">
        <f aca="false">IF(OR($G68="",$H68="",NOT(ISNUMBER($G68))),"",IF($H68="Maund",ROUND($G68/37.32,2),$G68))</f>
        <v/>
      </c>
      <c r="J68" s="29"/>
      <c r="K68" s="21"/>
      <c r="L68" s="30" t="str">
        <f aca="false">IF(OR($J68="",$K68="",NOT(ISNUMBER($J68))),"",IF($K68="Maund",ROUND($J68*37.32,2),$J68))</f>
        <v/>
      </c>
      <c r="M68" s="22"/>
    </row>
    <row r="69" customFormat="false" ht="19.5" hidden="false" customHeight="true" outlineLevel="0" collapsed="false">
      <c r="B69" s="21"/>
      <c r="C69" s="21"/>
      <c r="D69" s="21"/>
      <c r="E69" s="21"/>
      <c r="F69" s="21"/>
      <c r="G69" s="29"/>
      <c r="H69" s="21"/>
      <c r="I69" s="30" t="str">
        <f aca="false">IF(OR($G69="",$H69="",NOT(ISNUMBER($G69))),"",IF($H69="Maund",ROUND($G69/37.32,2),$G69))</f>
        <v/>
      </c>
      <c r="J69" s="29"/>
      <c r="K69" s="21"/>
      <c r="L69" s="30" t="str">
        <f aca="false">IF(OR($J69="",$K69="",NOT(ISNUMBER($J69))),"",IF($K69="Maund",ROUND($J69*37.32,2),$J69))</f>
        <v/>
      </c>
      <c r="M69" s="22"/>
    </row>
    <row r="70" customFormat="false" ht="19.5" hidden="false" customHeight="true" outlineLevel="0" collapsed="false">
      <c r="B70" s="21"/>
      <c r="C70" s="21"/>
      <c r="D70" s="21"/>
      <c r="E70" s="21"/>
      <c r="F70" s="21"/>
      <c r="G70" s="29"/>
      <c r="H70" s="21"/>
      <c r="I70" s="30" t="str">
        <f aca="false">IF(OR($G70="",$H70="",NOT(ISNUMBER($G70))),"",IF($H70="Maund",ROUND($G70/37.32,2),$G70))</f>
        <v/>
      </c>
      <c r="J70" s="29"/>
      <c r="K70" s="21"/>
      <c r="L70" s="30" t="str">
        <f aca="false">IF(OR($J70="",$K70="",NOT(ISNUMBER($J70))),"",IF($K70="Maund",ROUND($J70*37.32,2),$J70))</f>
        <v/>
      </c>
      <c r="M70" s="22"/>
    </row>
    <row r="71" customFormat="false" ht="19.5" hidden="false" customHeight="true" outlineLevel="0" collapsed="false">
      <c r="B71" s="21"/>
      <c r="C71" s="21"/>
      <c r="D71" s="21"/>
      <c r="E71" s="21"/>
      <c r="F71" s="21"/>
      <c r="G71" s="29"/>
      <c r="H71" s="21"/>
      <c r="I71" s="30" t="str">
        <f aca="false">IF(OR($G71="",$H71="",NOT(ISNUMBER($G71))),"",IF($H71="Maund",ROUND($G71/37.32,2),$G71))</f>
        <v/>
      </c>
      <c r="J71" s="29"/>
      <c r="K71" s="21"/>
      <c r="L71" s="30" t="str">
        <f aca="false">IF(OR($J71="",$K71="",NOT(ISNUMBER($J71))),"",IF($K71="Maund",ROUND($J71*37.32,2),$J71))</f>
        <v/>
      </c>
      <c r="M71" s="22"/>
    </row>
    <row r="72" customFormat="false" ht="19.5" hidden="false" customHeight="true" outlineLevel="0" collapsed="false">
      <c r="B72" s="21"/>
      <c r="C72" s="21"/>
      <c r="D72" s="21"/>
      <c r="E72" s="21"/>
      <c r="F72" s="21"/>
      <c r="G72" s="29"/>
      <c r="H72" s="21"/>
      <c r="I72" s="30" t="str">
        <f aca="false">IF(OR($G72="",$H72="",NOT(ISNUMBER($G72))),"",IF($H72="Maund",ROUND($G72/37.32,2),$G72))</f>
        <v/>
      </c>
      <c r="J72" s="29"/>
      <c r="K72" s="21"/>
      <c r="L72" s="30" t="str">
        <f aca="false">IF(OR($J72="",$K72="",NOT(ISNUMBER($J72))),"",IF($K72="Maund",ROUND($J72*37.32,2),$J72))</f>
        <v/>
      </c>
      <c r="M72" s="22"/>
    </row>
    <row r="73" customFormat="false" ht="19.5" hidden="false" customHeight="true" outlineLevel="0" collapsed="false">
      <c r="B73" s="21"/>
      <c r="C73" s="21"/>
      <c r="D73" s="21"/>
      <c r="E73" s="21"/>
      <c r="F73" s="21"/>
      <c r="G73" s="29"/>
      <c r="H73" s="21"/>
      <c r="I73" s="30" t="str">
        <f aca="false">IF(OR($G73="",$H73="",NOT(ISNUMBER($G73))),"",IF($H73="Maund",ROUND($G73/37.32,2),$G73))</f>
        <v/>
      </c>
      <c r="J73" s="29"/>
      <c r="K73" s="21"/>
      <c r="L73" s="30" t="str">
        <f aca="false">IF(OR($J73="",$K73="",NOT(ISNUMBER($J73))),"",IF($K73="Maund",ROUND($J73*37.32,2),$J73))</f>
        <v/>
      </c>
      <c r="M73" s="22"/>
    </row>
    <row r="74" customFormat="false" ht="19.5" hidden="false" customHeight="true" outlineLevel="0" collapsed="false">
      <c r="B74" s="21"/>
      <c r="C74" s="21"/>
      <c r="D74" s="21"/>
      <c r="E74" s="21"/>
      <c r="F74" s="21"/>
      <c r="G74" s="29"/>
      <c r="H74" s="21"/>
      <c r="I74" s="30" t="str">
        <f aca="false">IF(OR($G74="",$H74="",NOT(ISNUMBER($G74))),"",IF($H74="Maund",ROUND($G74/37.32,2),$G74))</f>
        <v/>
      </c>
      <c r="J74" s="29"/>
      <c r="K74" s="21"/>
      <c r="L74" s="30" t="str">
        <f aca="false">IF(OR($J74="",$K74="",NOT(ISNUMBER($J74))),"",IF($K74="Maund",ROUND($J74*37.32,2),$J74))</f>
        <v/>
      </c>
      <c r="M74" s="22"/>
    </row>
    <row r="75" customFormat="false" ht="19.5" hidden="false" customHeight="true" outlineLevel="0" collapsed="false">
      <c r="B75" s="21"/>
      <c r="C75" s="21"/>
      <c r="D75" s="21"/>
      <c r="E75" s="21"/>
      <c r="F75" s="21"/>
      <c r="G75" s="29"/>
      <c r="H75" s="21"/>
      <c r="I75" s="30" t="str">
        <f aca="false">IF(OR($G75="",$H75="",NOT(ISNUMBER($G75))),"",IF($H75="Maund",ROUND($G75/37.32,2),$G75))</f>
        <v/>
      </c>
      <c r="J75" s="29"/>
      <c r="K75" s="21"/>
      <c r="L75" s="30" t="str">
        <f aca="false">IF(OR($J75="",$K75="",NOT(ISNUMBER($J75))),"",IF($K75="Maund",ROUND($J75*37.32,2),$J75))</f>
        <v/>
      </c>
      <c r="M75" s="22"/>
    </row>
    <row r="76" customFormat="false" ht="19.5" hidden="false" customHeight="true" outlineLevel="0" collapsed="false">
      <c r="B76" s="21"/>
      <c r="C76" s="21"/>
      <c r="D76" s="21"/>
      <c r="E76" s="21"/>
      <c r="F76" s="21"/>
      <c r="G76" s="29"/>
      <c r="H76" s="21"/>
      <c r="I76" s="30" t="str">
        <f aca="false">IF(OR($G76="",$H76="",NOT(ISNUMBER($G76))),"",IF($H76="Maund",ROUND($G76/37.32,2),$G76))</f>
        <v/>
      </c>
      <c r="J76" s="29"/>
      <c r="K76" s="21"/>
      <c r="L76" s="30" t="str">
        <f aca="false">IF(OR($J76="",$K76="",NOT(ISNUMBER($J76))),"",IF($K76="Maund",ROUND($J76*37.32,2),$J76))</f>
        <v/>
      </c>
      <c r="M76" s="22"/>
    </row>
    <row r="77" customFormat="false" ht="19.5" hidden="false" customHeight="true" outlineLevel="0" collapsed="false">
      <c r="B77" s="21"/>
      <c r="C77" s="21"/>
      <c r="D77" s="21"/>
      <c r="E77" s="21"/>
      <c r="F77" s="21"/>
      <c r="G77" s="29"/>
      <c r="H77" s="21"/>
      <c r="I77" s="30" t="str">
        <f aca="false">IF(OR($G77="",$H77="",NOT(ISNUMBER($G77))),"",IF($H77="Maund",ROUND($G77/37.32,2),$G77))</f>
        <v/>
      </c>
      <c r="J77" s="29"/>
      <c r="K77" s="21"/>
      <c r="L77" s="30" t="str">
        <f aca="false">IF(OR($J77="",$K77="",NOT(ISNUMBER($J77))),"",IF($K77="Maund",ROUND($J77*37.32,2),$J77))</f>
        <v/>
      </c>
      <c r="M77" s="22"/>
    </row>
    <row r="78" customFormat="false" ht="19.5" hidden="false" customHeight="true" outlineLevel="0" collapsed="false">
      <c r="B78" s="21"/>
      <c r="C78" s="21"/>
      <c r="D78" s="21"/>
      <c r="E78" s="21"/>
      <c r="F78" s="21"/>
      <c r="G78" s="29"/>
      <c r="H78" s="21"/>
      <c r="I78" s="30" t="str">
        <f aca="false">IF(OR($G78="",$H78="",NOT(ISNUMBER($G78))),"",IF($H78="Maund",ROUND($G78/37.32,2),$G78))</f>
        <v/>
      </c>
      <c r="J78" s="29"/>
      <c r="K78" s="21"/>
      <c r="L78" s="30" t="str">
        <f aca="false">IF(OR($J78="",$K78="",NOT(ISNUMBER($J78))),"",IF($K78="Maund",ROUND($J78*37.32,2),$J78))</f>
        <v/>
      </c>
      <c r="M78" s="22"/>
    </row>
    <row r="79" customFormat="false" ht="19.5" hidden="false" customHeight="true" outlineLevel="0" collapsed="false">
      <c r="B79" s="21"/>
      <c r="C79" s="21"/>
      <c r="D79" s="21"/>
      <c r="E79" s="21"/>
      <c r="F79" s="21"/>
      <c r="G79" s="29"/>
      <c r="H79" s="21"/>
      <c r="I79" s="30" t="str">
        <f aca="false">IF(OR($G79="",$H79="",NOT(ISNUMBER($G79))),"",IF($H79="Maund",ROUND($G79/37.32,2),$G79))</f>
        <v/>
      </c>
      <c r="J79" s="29"/>
      <c r="K79" s="21"/>
      <c r="L79" s="30" t="str">
        <f aca="false">IF(OR($J79="",$K79="",NOT(ISNUMBER($J79))),"",IF($K79="Maund",ROUND($J79*37.32,2),$J79))</f>
        <v/>
      </c>
      <c r="M79" s="22"/>
    </row>
    <row r="80" customFormat="false" ht="19.5" hidden="false" customHeight="true" outlineLevel="0" collapsed="false">
      <c r="B80" s="21"/>
      <c r="C80" s="21"/>
      <c r="D80" s="21"/>
      <c r="E80" s="21"/>
      <c r="F80" s="21"/>
      <c r="G80" s="29"/>
      <c r="H80" s="21"/>
      <c r="I80" s="30" t="str">
        <f aca="false">IF(OR($G80="",$H80="",NOT(ISNUMBER($G80))),"",IF($H80="Maund",ROUND($G80/37.32,2),$G80))</f>
        <v/>
      </c>
      <c r="J80" s="29"/>
      <c r="K80" s="21"/>
      <c r="L80" s="30" t="str">
        <f aca="false">IF(OR($J80="",$K80="",NOT(ISNUMBER($J80))),"",IF($K80="Maund",ROUND($J80*37.32,2),$J80))</f>
        <v/>
      </c>
      <c r="M80" s="22"/>
    </row>
    <row r="81" customFormat="false" ht="19.5" hidden="false" customHeight="true" outlineLevel="0" collapsed="false">
      <c r="B81" s="21"/>
      <c r="C81" s="21"/>
      <c r="D81" s="21"/>
      <c r="E81" s="21"/>
      <c r="F81" s="21"/>
      <c r="G81" s="29"/>
      <c r="H81" s="21"/>
      <c r="I81" s="30" t="str">
        <f aca="false">IF(OR($G81="",$H81="",NOT(ISNUMBER($G81))),"",IF($H81="Maund",ROUND($G81/37.32,2),$G81))</f>
        <v/>
      </c>
      <c r="J81" s="29"/>
      <c r="K81" s="21"/>
      <c r="L81" s="30" t="str">
        <f aca="false">IF(OR($J81="",$K81="",NOT(ISNUMBER($J81))),"",IF($K81="Maund",ROUND($J81*37.32,2),$J81))</f>
        <v/>
      </c>
      <c r="M81" s="22"/>
    </row>
    <row r="82" customFormat="false" ht="19.5" hidden="false" customHeight="true" outlineLevel="0" collapsed="false">
      <c r="B82" s="21"/>
      <c r="C82" s="21"/>
      <c r="D82" s="21"/>
      <c r="E82" s="21"/>
      <c r="F82" s="21"/>
      <c r="G82" s="29"/>
      <c r="H82" s="21"/>
      <c r="I82" s="30" t="str">
        <f aca="false">IF(OR($G82="",$H82="",NOT(ISNUMBER($G82))),"",IF($H82="Maund",ROUND($G82/37.32,2),$G82))</f>
        <v/>
      </c>
      <c r="J82" s="29"/>
      <c r="K82" s="21"/>
      <c r="L82" s="30" t="str">
        <f aca="false">IF(OR($J82="",$K82="",NOT(ISNUMBER($J82))),"",IF($K82="Maund",ROUND($J82*37.32,2),$J82))</f>
        <v/>
      </c>
      <c r="M82" s="22"/>
    </row>
    <row r="83" customFormat="false" ht="19.5" hidden="false" customHeight="true" outlineLevel="0" collapsed="false">
      <c r="B83" s="21"/>
      <c r="C83" s="21"/>
      <c r="D83" s="21"/>
      <c r="E83" s="21"/>
      <c r="F83" s="21"/>
      <c r="G83" s="29"/>
      <c r="H83" s="21"/>
      <c r="I83" s="30" t="str">
        <f aca="false">IF(OR($G83="",$H83="",NOT(ISNUMBER($G83))),"",IF($H83="Maund",ROUND($G83/37.32,2),$G83))</f>
        <v/>
      </c>
      <c r="J83" s="29"/>
      <c r="K83" s="21"/>
      <c r="L83" s="30" t="str">
        <f aca="false">IF(OR($J83="",$K83="",NOT(ISNUMBER($J83))),"",IF($K83="Maund",ROUND($J83*37.32,2),$J83))</f>
        <v/>
      </c>
      <c r="M83" s="22"/>
    </row>
    <row r="84" customFormat="false" ht="19.5" hidden="false" customHeight="true" outlineLevel="0" collapsed="false">
      <c r="B84" s="21"/>
      <c r="C84" s="21"/>
      <c r="D84" s="21"/>
      <c r="E84" s="21"/>
      <c r="F84" s="21"/>
      <c r="G84" s="29"/>
      <c r="H84" s="21"/>
      <c r="I84" s="30" t="str">
        <f aca="false">IF(OR($G84="",$H84="",NOT(ISNUMBER($G84))),"",IF($H84="Maund",ROUND($G84/37.32,2),$G84))</f>
        <v/>
      </c>
      <c r="J84" s="29"/>
      <c r="K84" s="21"/>
      <c r="L84" s="30" t="str">
        <f aca="false">IF(OR($J84="",$K84="",NOT(ISNUMBER($J84))),"",IF($K84="Maund",ROUND($J84*37.32,2),$J84))</f>
        <v/>
      </c>
      <c r="M84" s="22"/>
    </row>
    <row r="85" customFormat="false" ht="19.5" hidden="false" customHeight="true" outlineLevel="0" collapsed="false">
      <c r="B85" s="21"/>
      <c r="C85" s="21"/>
      <c r="D85" s="21"/>
      <c r="E85" s="21"/>
      <c r="F85" s="21"/>
      <c r="G85" s="29"/>
      <c r="H85" s="21"/>
      <c r="I85" s="30" t="str">
        <f aca="false">IF(OR($G85="",$H85="",NOT(ISNUMBER($G85))),"",IF($H85="Maund",ROUND($G85/37.32,2),$G85))</f>
        <v/>
      </c>
      <c r="J85" s="29"/>
      <c r="K85" s="21"/>
      <c r="L85" s="30" t="str">
        <f aca="false">IF(OR($J85="",$K85="",NOT(ISNUMBER($J85))),"",IF($K85="Maund",ROUND($J85*37.32,2),$J85))</f>
        <v/>
      </c>
      <c r="M85" s="22"/>
    </row>
    <row r="86" customFormat="false" ht="19.5" hidden="false" customHeight="true" outlineLevel="0" collapsed="false">
      <c r="B86" s="21"/>
      <c r="C86" s="21"/>
      <c r="D86" s="21"/>
      <c r="E86" s="21"/>
      <c r="F86" s="21"/>
      <c r="G86" s="29"/>
      <c r="H86" s="21"/>
      <c r="I86" s="30" t="str">
        <f aca="false">IF(OR($G86="",$H86="",NOT(ISNUMBER($G86))),"",IF($H86="Maund",ROUND($G86/37.32,2),$G86))</f>
        <v/>
      </c>
      <c r="J86" s="29"/>
      <c r="K86" s="21"/>
      <c r="L86" s="30" t="str">
        <f aca="false">IF(OR($J86="",$K86="",NOT(ISNUMBER($J86))),"",IF($K86="Maund",ROUND($J86*37.32,2),$J86))</f>
        <v/>
      </c>
      <c r="M86" s="22"/>
    </row>
    <row r="87" customFormat="false" ht="19.5" hidden="false" customHeight="true" outlineLevel="0" collapsed="false">
      <c r="B87" s="21"/>
      <c r="C87" s="21"/>
      <c r="D87" s="21"/>
      <c r="E87" s="21"/>
      <c r="F87" s="21"/>
      <c r="G87" s="29"/>
      <c r="H87" s="21"/>
      <c r="I87" s="30" t="str">
        <f aca="false">IF(OR($G87="",$H87="",NOT(ISNUMBER($G87))),"",IF($H87="Maund",ROUND($G87/37.32,2),$G87))</f>
        <v/>
      </c>
      <c r="J87" s="29"/>
      <c r="K87" s="21"/>
      <c r="L87" s="30" t="str">
        <f aca="false">IF(OR($J87="",$K87="",NOT(ISNUMBER($J87))),"",IF($K87="Maund",ROUND($J87*37.32,2),$J87))</f>
        <v/>
      </c>
      <c r="M87" s="22"/>
    </row>
    <row r="88" customFormat="false" ht="19.5" hidden="false" customHeight="true" outlineLevel="0" collapsed="false">
      <c r="B88" s="21"/>
      <c r="C88" s="21"/>
      <c r="D88" s="21"/>
      <c r="E88" s="21"/>
      <c r="F88" s="21"/>
      <c r="G88" s="29"/>
      <c r="H88" s="21"/>
      <c r="I88" s="30" t="str">
        <f aca="false">IF(OR($G88="",$H88="",NOT(ISNUMBER($G88))),"",IF($H88="Maund",ROUND($G88/37.32,2),$G88))</f>
        <v/>
      </c>
      <c r="J88" s="29"/>
      <c r="K88" s="21"/>
      <c r="L88" s="30" t="str">
        <f aca="false">IF(OR($J88="",$K88="",NOT(ISNUMBER($J88))),"",IF($K88="Maund",ROUND($J88*37.32,2),$J88))</f>
        <v/>
      </c>
      <c r="M88" s="22"/>
    </row>
    <row r="89" customFormat="false" ht="19.5" hidden="false" customHeight="true" outlineLevel="0" collapsed="false">
      <c r="B89" s="21"/>
      <c r="C89" s="21"/>
      <c r="D89" s="21"/>
      <c r="E89" s="21"/>
      <c r="F89" s="21"/>
      <c r="G89" s="29"/>
      <c r="H89" s="21"/>
      <c r="I89" s="30" t="str">
        <f aca="false">IF(OR($G89="",$H89="",NOT(ISNUMBER($G89))),"",IF($H89="Maund",ROUND($G89/37.32,2),$G89))</f>
        <v/>
      </c>
      <c r="J89" s="29"/>
      <c r="K89" s="21"/>
      <c r="L89" s="30" t="str">
        <f aca="false">IF(OR($J89="",$K89="",NOT(ISNUMBER($J89))),"",IF($K89="Maund",ROUND($J89*37.32,2),$J89))</f>
        <v/>
      </c>
      <c r="M89" s="22"/>
    </row>
    <row r="90" customFormat="false" ht="19.5" hidden="false" customHeight="true" outlineLevel="0" collapsed="false">
      <c r="B90" s="21"/>
      <c r="C90" s="21"/>
      <c r="D90" s="21"/>
      <c r="E90" s="21"/>
      <c r="F90" s="21"/>
      <c r="G90" s="29"/>
      <c r="H90" s="21"/>
      <c r="I90" s="30" t="str">
        <f aca="false">IF(OR($G90="",$H90="",NOT(ISNUMBER($G90))),"",IF($H90="Maund",ROUND($G90/37.32,2),$G90))</f>
        <v/>
      </c>
      <c r="J90" s="29"/>
      <c r="K90" s="21"/>
      <c r="L90" s="30" t="str">
        <f aca="false">IF(OR($J90="",$K90="",NOT(ISNUMBER($J90))),"",IF($K90="Maund",ROUND($J90*37.32,2),$J90))</f>
        <v/>
      </c>
      <c r="M90" s="22"/>
    </row>
    <row r="91" customFormat="false" ht="19.5" hidden="false" customHeight="true" outlineLevel="0" collapsed="false">
      <c r="B91" s="21"/>
      <c r="C91" s="21"/>
      <c r="D91" s="21"/>
      <c r="E91" s="21"/>
      <c r="F91" s="21"/>
      <c r="G91" s="29"/>
      <c r="H91" s="21"/>
      <c r="I91" s="30" t="str">
        <f aca="false">IF(OR($G91="",$H91="",NOT(ISNUMBER($G91))),"",IF($H91="Maund",ROUND($G91/37.32,2),$G91))</f>
        <v/>
      </c>
      <c r="J91" s="29"/>
      <c r="K91" s="21"/>
      <c r="L91" s="30" t="str">
        <f aca="false">IF(OR($J91="",$K91="",NOT(ISNUMBER($J91))),"",IF($K91="Maund",ROUND($J91*37.32,2),$J91))</f>
        <v/>
      </c>
      <c r="M91" s="22"/>
    </row>
    <row r="92" customFormat="false" ht="19.5" hidden="false" customHeight="true" outlineLevel="0" collapsed="false">
      <c r="B92" s="21"/>
      <c r="C92" s="21"/>
      <c r="D92" s="21"/>
      <c r="E92" s="21"/>
      <c r="F92" s="21"/>
      <c r="G92" s="29"/>
      <c r="H92" s="21"/>
      <c r="I92" s="30" t="str">
        <f aca="false">IF(OR($G92="",$H92="",NOT(ISNUMBER($G92))),"",IF($H92="Maund",ROUND($G92/37.32,2),$G92))</f>
        <v/>
      </c>
      <c r="J92" s="29"/>
      <c r="K92" s="21"/>
      <c r="L92" s="30" t="str">
        <f aca="false">IF(OR($J92="",$K92="",NOT(ISNUMBER($J92))),"",IF($K92="Maund",ROUND($J92*37.32,2),$J92))</f>
        <v/>
      </c>
      <c r="M92" s="22"/>
    </row>
    <row r="93" customFormat="false" ht="19.5" hidden="false" customHeight="true" outlineLevel="0" collapsed="false">
      <c r="B93" s="21"/>
      <c r="C93" s="21"/>
      <c r="D93" s="21"/>
      <c r="E93" s="21"/>
      <c r="F93" s="21"/>
      <c r="G93" s="29"/>
      <c r="H93" s="21"/>
      <c r="I93" s="30" t="str">
        <f aca="false">IF(OR($G93="",$H93="",NOT(ISNUMBER($G93))),"",IF($H93="Maund",ROUND($G93/37.32,2),$G93))</f>
        <v/>
      </c>
      <c r="J93" s="29"/>
      <c r="K93" s="21"/>
      <c r="L93" s="30" t="str">
        <f aca="false">IF(OR($J93="",$K93="",NOT(ISNUMBER($J93))),"",IF($K93="Maund",ROUND($J93*37.32,2),$J93))</f>
        <v/>
      </c>
      <c r="M93" s="22"/>
    </row>
    <row r="94" customFormat="false" ht="19.5" hidden="false" customHeight="true" outlineLevel="0" collapsed="false">
      <c r="B94" s="21"/>
      <c r="C94" s="21"/>
      <c r="D94" s="21"/>
      <c r="E94" s="21"/>
      <c r="F94" s="21"/>
      <c r="G94" s="29"/>
      <c r="H94" s="21"/>
      <c r="I94" s="30" t="str">
        <f aca="false">IF(OR($G94="",$H94="",NOT(ISNUMBER($G94))),"",IF($H94="Maund",ROUND($G94/37.32,2),$G94))</f>
        <v/>
      </c>
      <c r="J94" s="29"/>
      <c r="K94" s="21"/>
      <c r="L94" s="30" t="str">
        <f aca="false">IF(OR($J94="",$K94="",NOT(ISNUMBER($J94))),"",IF($K94="Maund",ROUND($J94*37.32,2),$J94))</f>
        <v/>
      </c>
      <c r="M94" s="22"/>
    </row>
    <row r="95" customFormat="false" ht="19.5" hidden="false" customHeight="true" outlineLevel="0" collapsed="false">
      <c r="B95" s="21"/>
      <c r="C95" s="21"/>
      <c r="D95" s="21"/>
      <c r="E95" s="21"/>
      <c r="F95" s="21"/>
      <c r="G95" s="29"/>
      <c r="H95" s="21"/>
      <c r="I95" s="30" t="str">
        <f aca="false">IF(OR($G95="",$H95="",NOT(ISNUMBER($G95))),"",IF($H95="Maund",ROUND($G95/37.32,2),$G95))</f>
        <v/>
      </c>
      <c r="J95" s="29"/>
      <c r="K95" s="21"/>
      <c r="L95" s="30" t="str">
        <f aca="false">IF(OR($J95="",$K95="",NOT(ISNUMBER($J95))),"",IF($K95="Maund",ROUND($J95*37.32,2),$J95))</f>
        <v/>
      </c>
      <c r="M95" s="22"/>
    </row>
    <row r="96" customFormat="false" ht="19.5" hidden="false" customHeight="true" outlineLevel="0" collapsed="false">
      <c r="B96" s="21"/>
      <c r="C96" s="21"/>
      <c r="D96" s="21"/>
      <c r="E96" s="21"/>
      <c r="F96" s="21"/>
      <c r="G96" s="29"/>
      <c r="H96" s="21"/>
      <c r="I96" s="30" t="str">
        <f aca="false">IF(OR($G96="",$H96="",NOT(ISNUMBER($G96))),"",IF($H96="Maund",ROUND($G96/37.32,2),$G96))</f>
        <v/>
      </c>
      <c r="J96" s="29"/>
      <c r="K96" s="21"/>
      <c r="L96" s="30" t="str">
        <f aca="false">IF(OR($J96="",$K96="",NOT(ISNUMBER($J96))),"",IF($K96="Maund",ROUND($J96*37.32,2),$J96))</f>
        <v/>
      </c>
      <c r="M96" s="22"/>
    </row>
    <row r="97" customFormat="false" ht="19.5" hidden="false" customHeight="true" outlineLevel="0" collapsed="false">
      <c r="B97" s="21"/>
      <c r="C97" s="21"/>
      <c r="D97" s="21"/>
      <c r="E97" s="21"/>
      <c r="F97" s="21"/>
      <c r="G97" s="29"/>
      <c r="H97" s="21"/>
      <c r="I97" s="30" t="str">
        <f aca="false">IF(OR($G97="",$H97="",NOT(ISNUMBER($G97))),"",IF($H97="Maund",ROUND($G97/37.32,2),$G97))</f>
        <v/>
      </c>
      <c r="J97" s="29"/>
      <c r="K97" s="21"/>
      <c r="L97" s="30" t="str">
        <f aca="false">IF(OR($J97="",$K97="",NOT(ISNUMBER($J97))),"",IF($K97="Maund",ROUND($J97*37.32,2),$J97))</f>
        <v/>
      </c>
      <c r="M97" s="22"/>
    </row>
    <row r="98" customFormat="false" ht="19.5" hidden="false" customHeight="true" outlineLevel="0" collapsed="false">
      <c r="B98" s="21"/>
      <c r="C98" s="21"/>
      <c r="D98" s="21"/>
      <c r="E98" s="21"/>
      <c r="F98" s="21"/>
      <c r="G98" s="29"/>
      <c r="H98" s="21"/>
      <c r="I98" s="30" t="str">
        <f aca="false">IF(OR($G98="",$H98="",NOT(ISNUMBER($G98))),"",IF($H98="Maund",ROUND($G98/37.32,2),$G98))</f>
        <v/>
      </c>
      <c r="J98" s="29"/>
      <c r="K98" s="21"/>
      <c r="L98" s="30" t="str">
        <f aca="false">IF(OR($J98="",$K98="",NOT(ISNUMBER($J98))),"",IF($K98="Maund",ROUND($J98*37.32,2),$J98))</f>
        <v/>
      </c>
      <c r="M98" s="22"/>
    </row>
    <row r="99" customFormat="false" ht="19.5" hidden="false" customHeight="true" outlineLevel="0" collapsed="false">
      <c r="B99" s="21"/>
      <c r="C99" s="21"/>
      <c r="D99" s="21"/>
      <c r="E99" s="21"/>
      <c r="F99" s="21"/>
      <c r="G99" s="29"/>
      <c r="H99" s="21"/>
      <c r="I99" s="30" t="str">
        <f aca="false">IF(OR($G99="",$H99="",NOT(ISNUMBER($G99))),"",IF($H99="Maund",ROUND($G99/37.32,2),$G99))</f>
        <v/>
      </c>
      <c r="J99" s="29"/>
      <c r="K99" s="21"/>
      <c r="L99" s="30" t="str">
        <f aca="false">IF(OR($J99="",$K99="",NOT(ISNUMBER($J99))),"",IF($K99="Maund",ROUND($J99*37.32,2),$J99))</f>
        <v/>
      </c>
      <c r="M99" s="22"/>
    </row>
    <row r="100" customFormat="false" ht="19.5" hidden="false" customHeight="true" outlineLevel="0" collapsed="false">
      <c r="B100" s="21"/>
      <c r="C100" s="21"/>
      <c r="D100" s="21"/>
      <c r="E100" s="21"/>
      <c r="F100" s="21"/>
      <c r="G100" s="29"/>
      <c r="H100" s="21"/>
      <c r="I100" s="30" t="str">
        <f aca="false">IF(OR($G100="",$H100="",NOT(ISNUMBER($G100))),"",IF($H100="Maund",ROUND($G100/37.32,2),$G100))</f>
        <v/>
      </c>
      <c r="J100" s="29"/>
      <c r="K100" s="21"/>
      <c r="L100" s="30" t="str">
        <f aca="false">IF(OR($J100="",$K100="",NOT(ISNUMBER($J100))),"",IF($K100="Maund",ROUND($J100*37.32,2),$J100))</f>
        <v/>
      </c>
      <c r="M100" s="22"/>
    </row>
    <row r="101" customFormat="false" ht="19.5" hidden="false" customHeight="true" outlineLevel="0" collapsed="false">
      <c r="B101" s="21"/>
      <c r="C101" s="21"/>
      <c r="D101" s="21"/>
      <c r="E101" s="21"/>
      <c r="F101" s="21"/>
      <c r="G101" s="29"/>
      <c r="H101" s="21"/>
      <c r="I101" s="30" t="str">
        <f aca="false">IF(OR($G101="",$H101="",NOT(ISNUMBER($G101))),"",IF($H101="Maund",ROUND($G101/37.32,2),$G101))</f>
        <v/>
      </c>
      <c r="J101" s="29"/>
      <c r="K101" s="21"/>
      <c r="L101" s="30" t="str">
        <f aca="false">IF(OR($J101="",$K101="",NOT(ISNUMBER($J101))),"",IF($K101="Maund",ROUND($J101*37.32,2),$J101))</f>
        <v/>
      </c>
      <c r="M101" s="22"/>
    </row>
    <row r="102" customFormat="false" ht="19.5" hidden="false" customHeight="true" outlineLevel="0" collapsed="false">
      <c r="B102" s="21"/>
      <c r="C102" s="21"/>
      <c r="D102" s="21"/>
      <c r="E102" s="21"/>
      <c r="F102" s="21"/>
      <c r="G102" s="29"/>
      <c r="H102" s="21"/>
      <c r="I102" s="30" t="str">
        <f aca="false">IF(OR($G102="",$H102="",NOT(ISNUMBER($G102))),"",IF($H102="Maund",ROUND($G102/37.32,2),$G102))</f>
        <v/>
      </c>
      <c r="J102" s="29"/>
      <c r="K102" s="21"/>
      <c r="L102" s="30" t="str">
        <f aca="false">IF(OR($J102="",$K102="",NOT(ISNUMBER($J102))),"",IF($K102="Maund",ROUND($J102*37.32,2),$J102))</f>
        <v/>
      </c>
      <c r="M102" s="22"/>
    </row>
    <row r="103" customFormat="false" ht="19.5" hidden="false" customHeight="true" outlineLevel="0" collapsed="false">
      <c r="B103" s="21"/>
      <c r="C103" s="21"/>
      <c r="D103" s="21"/>
      <c r="E103" s="21"/>
      <c r="F103" s="21"/>
      <c r="G103" s="29"/>
      <c r="H103" s="21"/>
      <c r="I103" s="30" t="str">
        <f aca="false">IF(OR($G103="",$H103="",NOT(ISNUMBER($G103))),"",IF($H103="Maund",ROUND($G103/37.32,2),$G103))</f>
        <v/>
      </c>
      <c r="J103" s="29"/>
      <c r="K103" s="21"/>
      <c r="L103" s="30" t="str">
        <f aca="false">IF(OR($J103="",$K103="",NOT(ISNUMBER($J103))),"",IF($K103="Maund",ROUND($J103*37.32,2),$J103))</f>
        <v/>
      </c>
      <c r="M103" s="22"/>
    </row>
    <row r="104" customFormat="false" ht="19.5" hidden="false" customHeight="true" outlineLevel="0" collapsed="false">
      <c r="B104" s="21"/>
      <c r="C104" s="21"/>
      <c r="D104" s="21"/>
      <c r="E104" s="21"/>
      <c r="F104" s="21"/>
      <c r="G104" s="29"/>
      <c r="H104" s="21"/>
      <c r="I104" s="30" t="str">
        <f aca="false">IF(OR($G104="",$H104="",NOT(ISNUMBER($G104))),"",IF($H104="Maund",ROUND($G104/37.32,2),$G104))</f>
        <v/>
      </c>
      <c r="J104" s="29"/>
      <c r="K104" s="21"/>
      <c r="L104" s="30" t="str">
        <f aca="false">IF(OR($J104="",$K104="",NOT(ISNUMBER($J104))),"",IF($K104="Maund",ROUND($J104*37.32,2),$J104))</f>
        <v/>
      </c>
      <c r="M104" s="22"/>
    </row>
    <row r="105" customFormat="false" ht="19.5" hidden="false" customHeight="true" outlineLevel="0" collapsed="false">
      <c r="B105" s="21"/>
      <c r="C105" s="21"/>
      <c r="D105" s="21"/>
      <c r="E105" s="21"/>
      <c r="F105" s="21"/>
      <c r="G105" s="29"/>
      <c r="H105" s="21"/>
      <c r="I105" s="30" t="str">
        <f aca="false">IF(OR($G105="",$H105="",NOT(ISNUMBER($G105))),"",IF($H105="Maund",ROUND($G105/37.32,2),$G105))</f>
        <v/>
      </c>
      <c r="J105" s="29"/>
      <c r="K105" s="21"/>
      <c r="L105" s="30" t="str">
        <f aca="false">IF(OR($J105="",$K105="",NOT(ISNUMBER($J105))),"",IF($K105="Maund",ROUND($J105*37.32,2),$J105))</f>
        <v/>
      </c>
      <c r="M105" s="22"/>
    </row>
    <row r="106" customFormat="false" ht="19.5" hidden="false" customHeight="true" outlineLevel="0" collapsed="false">
      <c r="B106" s="21"/>
      <c r="C106" s="21"/>
      <c r="D106" s="21"/>
      <c r="E106" s="21"/>
      <c r="F106" s="21"/>
      <c r="G106" s="29"/>
      <c r="H106" s="21"/>
      <c r="I106" s="30" t="str">
        <f aca="false">IF(OR($G106="",$H106="",NOT(ISNUMBER($G106))),"",IF($H106="Maund",ROUND($G106/37.32,2),$G106))</f>
        <v/>
      </c>
      <c r="J106" s="29"/>
      <c r="K106" s="21"/>
      <c r="L106" s="30" t="str">
        <f aca="false">IF(OR($J106="",$K106="",NOT(ISNUMBER($J106))),"",IF($K106="Maund",ROUND($J106*37.32,2),$J106))</f>
        <v/>
      </c>
      <c r="M106" s="22"/>
    </row>
    <row r="107" customFormat="false" ht="19.5" hidden="false" customHeight="true" outlineLevel="0" collapsed="false">
      <c r="B107" s="21"/>
      <c r="C107" s="21"/>
      <c r="D107" s="21"/>
      <c r="E107" s="21"/>
      <c r="F107" s="21"/>
      <c r="G107" s="29"/>
      <c r="H107" s="21"/>
      <c r="I107" s="30" t="str">
        <f aca="false">IF(OR($G107="",$H107="",NOT(ISNUMBER($G107))),"",IF($H107="Maund",ROUND($G107/37.32,2),$G107))</f>
        <v/>
      </c>
      <c r="J107" s="29"/>
      <c r="K107" s="21"/>
      <c r="L107" s="30" t="str">
        <f aca="false">IF(OR($J107="",$K107="",NOT(ISNUMBER($J107))),"",IF($K107="Maund",ROUND($J107*37.32,2),$J107))</f>
        <v/>
      </c>
      <c r="M107" s="22"/>
    </row>
    <row r="108" customFormat="false" ht="19.5" hidden="false" customHeight="true" outlineLevel="0" collapsed="false">
      <c r="B108" s="21"/>
      <c r="C108" s="21"/>
      <c r="D108" s="21"/>
      <c r="E108" s="21"/>
      <c r="F108" s="21"/>
      <c r="G108" s="29"/>
      <c r="H108" s="21"/>
      <c r="I108" s="30" t="str">
        <f aca="false">IF(OR($G108="",$H108="",NOT(ISNUMBER($G108))),"",IF($H108="Maund",ROUND($G108/37.32,2),$G108))</f>
        <v/>
      </c>
      <c r="J108" s="29"/>
      <c r="K108" s="21"/>
      <c r="L108" s="30" t="str">
        <f aca="false">IF(OR($J108="",$K108="",NOT(ISNUMBER($J108))),"",IF($K108="Maund",ROUND($J108*37.32,2),$J108))</f>
        <v/>
      </c>
      <c r="M108" s="22"/>
    </row>
    <row r="109" customFormat="false" ht="19.5" hidden="false" customHeight="true" outlineLevel="0" collapsed="false">
      <c r="B109" s="21"/>
      <c r="C109" s="21"/>
      <c r="D109" s="21"/>
      <c r="E109" s="21"/>
      <c r="F109" s="21"/>
      <c r="G109" s="29"/>
      <c r="H109" s="21"/>
      <c r="I109" s="30" t="str">
        <f aca="false">IF(OR($G109="",$H109="",NOT(ISNUMBER($G109))),"",IF($H109="Maund",ROUND($G109/37.32,2),$G109))</f>
        <v/>
      </c>
      <c r="J109" s="29"/>
      <c r="K109" s="21"/>
      <c r="L109" s="30" t="str">
        <f aca="false">IF(OR($J109="",$K109="",NOT(ISNUMBER($J109))),"",IF($K109="Maund",ROUND($J109*37.32,2),$J109))</f>
        <v/>
      </c>
      <c r="M109" s="22"/>
    </row>
    <row r="110" customFormat="false" ht="19.5" hidden="false" customHeight="true" outlineLevel="0" collapsed="false">
      <c r="B110" s="21"/>
      <c r="C110" s="21"/>
      <c r="D110" s="21"/>
      <c r="E110" s="21"/>
      <c r="F110" s="21"/>
      <c r="G110" s="29"/>
      <c r="H110" s="21"/>
      <c r="I110" s="30" t="str">
        <f aca="false">IF(OR($G110="",$H110="",NOT(ISNUMBER($G110))),"",IF($H110="Maund",ROUND($G110/37.32,2),$G110))</f>
        <v/>
      </c>
      <c r="J110" s="29"/>
      <c r="K110" s="21"/>
      <c r="L110" s="30" t="str">
        <f aca="false">IF(OR($J110="",$K110="",NOT(ISNUMBER($J110))),"",IF($K110="Maund",ROUND($J110*37.32,2),$J110))</f>
        <v/>
      </c>
      <c r="M110" s="22"/>
    </row>
    <row r="111" customFormat="false" ht="19.5" hidden="false" customHeight="true" outlineLevel="0" collapsed="false">
      <c r="B111" s="21"/>
      <c r="C111" s="21"/>
      <c r="D111" s="21"/>
      <c r="E111" s="21"/>
      <c r="F111" s="21"/>
      <c r="G111" s="29"/>
      <c r="H111" s="21"/>
      <c r="I111" s="30" t="str">
        <f aca="false">IF(OR($G111="",$H111="",NOT(ISNUMBER($G111))),"",IF($H111="Maund",ROUND($G111/37.32,2),$G111))</f>
        <v/>
      </c>
      <c r="J111" s="29"/>
      <c r="K111" s="21"/>
      <c r="L111" s="30" t="str">
        <f aca="false">IF(OR($J111="",$K111="",NOT(ISNUMBER($J111))),"",IF($K111="Maund",ROUND($J111*37.32,2),$J111))</f>
        <v/>
      </c>
      <c r="M111" s="22"/>
    </row>
    <row r="112" customFormat="false" ht="19.5" hidden="false" customHeight="true" outlineLevel="0" collapsed="false">
      <c r="B112" s="21"/>
      <c r="C112" s="21"/>
      <c r="D112" s="21"/>
      <c r="E112" s="21"/>
      <c r="F112" s="21"/>
      <c r="G112" s="29"/>
      <c r="H112" s="21"/>
      <c r="I112" s="30" t="str">
        <f aca="false">IF(OR($G112="",$H112="",NOT(ISNUMBER($G112))),"",IF($H112="Maund",ROUND($G112/37.32,2),$G112))</f>
        <v/>
      </c>
      <c r="J112" s="29"/>
      <c r="K112" s="21"/>
      <c r="L112" s="30" t="str">
        <f aca="false">IF(OR($J112="",$K112="",NOT(ISNUMBER($J112))),"",IF($K112="Maund",ROUND($J112*37.32,2),$J112))</f>
        <v/>
      </c>
      <c r="M112" s="22"/>
    </row>
    <row r="113" customFormat="false" ht="19.5" hidden="false" customHeight="true" outlineLevel="0" collapsed="false">
      <c r="B113" s="21"/>
      <c r="C113" s="21"/>
      <c r="D113" s="21"/>
      <c r="E113" s="21"/>
      <c r="F113" s="21"/>
      <c r="G113" s="29"/>
      <c r="H113" s="21"/>
      <c r="I113" s="30" t="str">
        <f aca="false">IF(OR($G113="",$H113="",NOT(ISNUMBER($G113))),"",IF($H113="Maund",ROUND($G113/37.32,2),$G113))</f>
        <v/>
      </c>
      <c r="J113" s="29"/>
      <c r="K113" s="21"/>
      <c r="L113" s="30" t="str">
        <f aca="false">IF(OR($J113="",$K113="",NOT(ISNUMBER($J113))),"",IF($K113="Maund",ROUND($J113*37.32,2),$J113))</f>
        <v/>
      </c>
      <c r="M113" s="22"/>
    </row>
    <row r="114" customFormat="false" ht="19.5" hidden="false" customHeight="true" outlineLevel="0" collapsed="false">
      <c r="B114" s="21"/>
      <c r="C114" s="21"/>
      <c r="D114" s="21"/>
      <c r="E114" s="21"/>
      <c r="F114" s="21"/>
      <c r="G114" s="29"/>
      <c r="H114" s="21"/>
      <c r="I114" s="30" t="str">
        <f aca="false">IF(OR($G114="",$H114="",NOT(ISNUMBER($G114))),"",IF($H114="Maund",ROUND($G114/37.32,2),$G114))</f>
        <v/>
      </c>
      <c r="J114" s="29"/>
      <c r="K114" s="21"/>
      <c r="L114" s="30" t="str">
        <f aca="false">IF(OR($J114="",$K114="",NOT(ISNUMBER($J114))),"",IF($K114="Maund",ROUND($J114*37.32,2),$J114))</f>
        <v/>
      </c>
      <c r="M114" s="22"/>
    </row>
    <row r="115" customFormat="false" ht="19.5" hidden="false" customHeight="true" outlineLevel="0" collapsed="false">
      <c r="B115" s="21"/>
      <c r="C115" s="21"/>
      <c r="D115" s="21"/>
      <c r="E115" s="21"/>
      <c r="F115" s="21"/>
      <c r="G115" s="29"/>
      <c r="H115" s="21"/>
      <c r="I115" s="30" t="str">
        <f aca="false">IF(OR($G115="",$H115="",NOT(ISNUMBER($G115))),"",IF($H115="Maund",ROUND($G115/37.32,2),$G115))</f>
        <v/>
      </c>
      <c r="J115" s="29"/>
      <c r="K115" s="21"/>
      <c r="L115" s="30" t="str">
        <f aca="false">IF(OR($J115="",$K115="",NOT(ISNUMBER($J115))),"",IF($K115="Maund",ROUND($J115*37.32,2),$J115))</f>
        <v/>
      </c>
      <c r="M115" s="22"/>
    </row>
    <row r="116" customFormat="false" ht="19.5" hidden="false" customHeight="true" outlineLevel="0" collapsed="false">
      <c r="B116" s="21"/>
      <c r="C116" s="21"/>
      <c r="D116" s="21"/>
      <c r="E116" s="21"/>
      <c r="F116" s="21"/>
      <c r="G116" s="29"/>
      <c r="H116" s="21"/>
      <c r="I116" s="30" t="str">
        <f aca="false">IF(OR($G116="",$H116="",NOT(ISNUMBER($G116))),"",IF($H116="Maund",ROUND($G116/37.32,2),$G116))</f>
        <v/>
      </c>
      <c r="J116" s="29"/>
      <c r="K116" s="21"/>
      <c r="L116" s="30" t="str">
        <f aca="false">IF(OR($J116="",$K116="",NOT(ISNUMBER($J116))),"",IF($K116="Maund",ROUND($J116*37.32,2),$J116))</f>
        <v/>
      </c>
      <c r="M116" s="22"/>
    </row>
    <row r="117" customFormat="false" ht="19.5" hidden="false" customHeight="true" outlineLevel="0" collapsed="false">
      <c r="B117" s="21"/>
      <c r="C117" s="21"/>
      <c r="D117" s="21"/>
      <c r="E117" s="21"/>
      <c r="F117" s="21"/>
      <c r="G117" s="29"/>
      <c r="H117" s="21"/>
      <c r="I117" s="30" t="str">
        <f aca="false">IF(OR($G117="",$H117="",NOT(ISNUMBER($G117))),"",IF($H117="Maund",ROUND($G117/37.32,2),$G117))</f>
        <v/>
      </c>
      <c r="J117" s="29"/>
      <c r="K117" s="21"/>
      <c r="L117" s="30" t="str">
        <f aca="false">IF(OR($J117="",$K117="",NOT(ISNUMBER($J117))),"",IF($K117="Maund",ROUND($J117*37.32,2),$J117))</f>
        <v/>
      </c>
      <c r="M117" s="22"/>
    </row>
    <row r="118" customFormat="false" ht="19.5" hidden="false" customHeight="true" outlineLevel="0" collapsed="false">
      <c r="B118" s="21"/>
      <c r="C118" s="21"/>
      <c r="D118" s="21"/>
      <c r="E118" s="21"/>
      <c r="F118" s="21"/>
      <c r="G118" s="29"/>
      <c r="H118" s="21"/>
      <c r="I118" s="30" t="str">
        <f aca="false">IF(OR($G118="",$H118="",NOT(ISNUMBER($G118))),"",IF($H118="Maund",ROUND($G118/37.32,2),$G118))</f>
        <v/>
      </c>
      <c r="J118" s="29"/>
      <c r="K118" s="21"/>
      <c r="L118" s="30" t="str">
        <f aca="false">IF(OR($J118="",$K118="",NOT(ISNUMBER($J118))),"",IF($K118="Maund",ROUND($J118*37.32,2),$J118))</f>
        <v/>
      </c>
      <c r="M118" s="22"/>
    </row>
    <row r="119" customFormat="false" ht="19.5" hidden="false" customHeight="true" outlineLevel="0" collapsed="false">
      <c r="B119" s="21"/>
      <c r="C119" s="21"/>
      <c r="D119" s="21"/>
      <c r="E119" s="21"/>
      <c r="F119" s="21"/>
      <c r="G119" s="29"/>
      <c r="H119" s="21"/>
      <c r="I119" s="30" t="str">
        <f aca="false">IF(OR($G119="",$H119="",NOT(ISNUMBER($G119))),"",IF($H119="Maund",ROUND($G119/37.32,2),$G119))</f>
        <v/>
      </c>
      <c r="J119" s="29"/>
      <c r="K119" s="21"/>
      <c r="L119" s="30" t="str">
        <f aca="false">IF(OR($J119="",$K119="",NOT(ISNUMBER($J119))),"",IF($K119="Maund",ROUND($J119*37.32,2),$J119))</f>
        <v/>
      </c>
      <c r="M119" s="22"/>
    </row>
    <row r="120" customFormat="false" ht="19.5" hidden="false" customHeight="true" outlineLevel="0" collapsed="false">
      <c r="B120" s="21"/>
      <c r="C120" s="21"/>
      <c r="D120" s="21"/>
      <c r="E120" s="21"/>
      <c r="F120" s="21"/>
      <c r="G120" s="29"/>
      <c r="H120" s="21"/>
      <c r="I120" s="30" t="str">
        <f aca="false">IF(OR($G120="",$H120="",NOT(ISNUMBER($G120))),"",IF($H120="Maund",ROUND($G120/37.32,2),$G120))</f>
        <v/>
      </c>
      <c r="J120" s="29"/>
      <c r="K120" s="21"/>
      <c r="L120" s="30" t="str">
        <f aca="false">IF(OR($J120="",$K120="",NOT(ISNUMBER($J120))),"",IF($K120="Maund",ROUND($J120*37.32,2),$J120))</f>
        <v/>
      </c>
      <c r="M120" s="22"/>
    </row>
    <row r="121" customFormat="false" ht="19.5" hidden="false" customHeight="true" outlineLevel="0" collapsed="false">
      <c r="B121" s="21"/>
      <c r="C121" s="21"/>
      <c r="D121" s="21"/>
      <c r="E121" s="21"/>
      <c r="F121" s="21"/>
      <c r="G121" s="29"/>
      <c r="H121" s="21"/>
      <c r="I121" s="30" t="str">
        <f aca="false">IF(OR($G121="",$H121="",NOT(ISNUMBER($G121))),"",IF($H121="Maund",ROUND($G121/37.32,2),$G121))</f>
        <v/>
      </c>
      <c r="J121" s="29"/>
      <c r="K121" s="21"/>
      <c r="L121" s="30" t="str">
        <f aca="false">IF(OR($J121="",$K121="",NOT(ISNUMBER($J121))),"",IF($K121="Maund",ROUND($J121*37.32,2),$J121))</f>
        <v/>
      </c>
      <c r="M121" s="22"/>
    </row>
    <row r="122" customFormat="false" ht="19.5" hidden="false" customHeight="true" outlineLevel="0" collapsed="false">
      <c r="B122" s="21"/>
      <c r="C122" s="21"/>
      <c r="D122" s="21"/>
      <c r="E122" s="21"/>
      <c r="F122" s="21"/>
      <c r="G122" s="29"/>
      <c r="H122" s="21"/>
      <c r="I122" s="30" t="str">
        <f aca="false">IF(OR($G122="",$H122="",NOT(ISNUMBER($G122))),"",IF($H122="Maund",ROUND($G122/37.32,2),$G122))</f>
        <v/>
      </c>
      <c r="J122" s="29"/>
      <c r="K122" s="21"/>
      <c r="L122" s="30" t="str">
        <f aca="false">IF(OR($J122="",$K122="",NOT(ISNUMBER($J122))),"",IF($K122="Maund",ROUND($J122*37.32,2),$J122))</f>
        <v/>
      </c>
      <c r="M122" s="22"/>
    </row>
    <row r="123" customFormat="false" ht="19.5" hidden="false" customHeight="true" outlineLevel="0" collapsed="false">
      <c r="B123" s="21"/>
      <c r="C123" s="21"/>
      <c r="D123" s="21"/>
      <c r="E123" s="21"/>
      <c r="F123" s="21"/>
      <c r="G123" s="29"/>
      <c r="H123" s="21"/>
      <c r="I123" s="30" t="str">
        <f aca="false">IF(OR($G123="",$H123="",NOT(ISNUMBER($G123))),"",IF($H123="Maund",ROUND($G123/37.32,2),$G123))</f>
        <v/>
      </c>
      <c r="J123" s="29"/>
      <c r="K123" s="21"/>
      <c r="L123" s="30" t="str">
        <f aca="false">IF(OR($J123="",$K123="",NOT(ISNUMBER($J123))),"",IF($K123="Maund",ROUND($J123*37.32,2),$J123))</f>
        <v/>
      </c>
      <c r="M123" s="22"/>
    </row>
    <row r="124" customFormat="false" ht="19.5" hidden="false" customHeight="true" outlineLevel="0" collapsed="false">
      <c r="B124" s="21"/>
      <c r="C124" s="21"/>
      <c r="D124" s="21"/>
      <c r="E124" s="21"/>
      <c r="F124" s="21"/>
      <c r="G124" s="29"/>
      <c r="H124" s="21"/>
      <c r="I124" s="30" t="str">
        <f aca="false">IF(OR($G124="",$H124="",NOT(ISNUMBER($G124))),"",IF($H124="Maund",ROUND($G124/37.32,2),$G124))</f>
        <v/>
      </c>
      <c r="J124" s="29"/>
      <c r="K124" s="21"/>
      <c r="L124" s="30" t="str">
        <f aca="false">IF(OR($J124="",$K124="",NOT(ISNUMBER($J124))),"",IF($K124="Maund",ROUND($J124*37.32,2),$J124))</f>
        <v/>
      </c>
      <c r="M124" s="22"/>
    </row>
    <row r="125" customFormat="false" ht="19.5" hidden="false" customHeight="true" outlineLevel="0" collapsed="false">
      <c r="B125" s="21"/>
      <c r="C125" s="21"/>
      <c r="D125" s="21"/>
      <c r="E125" s="21"/>
      <c r="F125" s="21"/>
      <c r="G125" s="29"/>
      <c r="H125" s="21"/>
      <c r="I125" s="30" t="str">
        <f aca="false">IF(OR($G125="",$H125="",NOT(ISNUMBER($G125))),"",IF($H125="Maund",ROUND($G125/37.32,2),$G125))</f>
        <v/>
      </c>
      <c r="J125" s="29"/>
      <c r="K125" s="21"/>
      <c r="L125" s="30" t="str">
        <f aca="false">IF(OR($J125="",$K125="",NOT(ISNUMBER($J125))),"",IF($K125="Maund",ROUND($J125*37.32,2),$J125))</f>
        <v/>
      </c>
      <c r="M125" s="22"/>
    </row>
    <row r="126" customFormat="false" ht="19.5" hidden="false" customHeight="true" outlineLevel="0" collapsed="false">
      <c r="B126" s="21"/>
      <c r="C126" s="21"/>
      <c r="D126" s="21"/>
      <c r="E126" s="21"/>
      <c r="F126" s="21"/>
      <c r="G126" s="29"/>
      <c r="H126" s="21"/>
      <c r="I126" s="30" t="str">
        <f aca="false">IF(OR($G126="",$H126="",NOT(ISNUMBER($G126))),"",IF($H126="Maund",ROUND($G126/37.32,2),$G126))</f>
        <v/>
      </c>
      <c r="J126" s="29"/>
      <c r="K126" s="21"/>
      <c r="L126" s="30" t="str">
        <f aca="false">IF(OR($J126="",$K126="",NOT(ISNUMBER($J126))),"",IF($K126="Maund",ROUND($J126*37.32,2),$J126))</f>
        <v/>
      </c>
      <c r="M126" s="22"/>
    </row>
    <row r="127" customFormat="false" ht="19.5" hidden="false" customHeight="true" outlineLevel="0" collapsed="false">
      <c r="B127" s="21"/>
      <c r="C127" s="21"/>
      <c r="D127" s="21"/>
      <c r="E127" s="21"/>
      <c r="F127" s="21"/>
      <c r="G127" s="29"/>
      <c r="H127" s="21"/>
      <c r="I127" s="30" t="str">
        <f aca="false">IF(OR($G127="",$H127="",NOT(ISNUMBER($G127))),"",IF($H127="Maund",ROUND($G127/37.32,2),$G127))</f>
        <v/>
      </c>
      <c r="J127" s="29"/>
      <c r="K127" s="21"/>
      <c r="L127" s="30" t="str">
        <f aca="false">IF(OR($J127="",$K127="",NOT(ISNUMBER($J127))),"",IF($K127="Maund",ROUND($J127*37.32,2),$J127))</f>
        <v/>
      </c>
      <c r="M127" s="22"/>
    </row>
    <row r="128" customFormat="false" ht="19.5" hidden="false" customHeight="true" outlineLevel="0" collapsed="false">
      <c r="B128" s="21"/>
      <c r="C128" s="21"/>
      <c r="D128" s="21"/>
      <c r="E128" s="21"/>
      <c r="F128" s="21"/>
      <c r="G128" s="29"/>
      <c r="H128" s="21"/>
      <c r="I128" s="30" t="str">
        <f aca="false">IF(OR($G128="",$H128="",NOT(ISNUMBER($G128))),"",IF($H128="Maund",ROUND($G128/37.32,2),$G128))</f>
        <v/>
      </c>
      <c r="J128" s="29"/>
      <c r="K128" s="21"/>
      <c r="L128" s="30" t="str">
        <f aca="false">IF(OR($J128="",$K128="",NOT(ISNUMBER($J128))),"",IF($K128="Maund",ROUND($J128*37.32,2),$J128))</f>
        <v/>
      </c>
      <c r="M128" s="22"/>
    </row>
    <row r="129" customFormat="false" ht="19.5" hidden="false" customHeight="true" outlineLevel="0" collapsed="false">
      <c r="B129" s="21"/>
      <c r="C129" s="21"/>
      <c r="D129" s="21"/>
      <c r="E129" s="21"/>
      <c r="F129" s="21"/>
      <c r="G129" s="29"/>
      <c r="H129" s="21"/>
      <c r="I129" s="30" t="str">
        <f aca="false">IF(OR($G129="",$H129="",NOT(ISNUMBER($G129))),"",IF($H129="Maund",ROUND($G129/37.32,2),$G129))</f>
        <v/>
      </c>
      <c r="J129" s="29"/>
      <c r="K129" s="21"/>
      <c r="L129" s="30" t="str">
        <f aca="false">IF(OR($J129="",$K129="",NOT(ISNUMBER($J129))),"",IF($K129="Maund",ROUND($J129*37.32,2),$J129))</f>
        <v/>
      </c>
      <c r="M129" s="22"/>
    </row>
    <row r="130" customFormat="false" ht="19.5" hidden="false" customHeight="true" outlineLevel="0" collapsed="false">
      <c r="B130" s="21"/>
      <c r="C130" s="21"/>
      <c r="D130" s="21"/>
      <c r="E130" s="21"/>
      <c r="F130" s="21"/>
      <c r="G130" s="29"/>
      <c r="H130" s="21"/>
      <c r="I130" s="30" t="str">
        <f aca="false">IF(OR($G130="",$H130="",NOT(ISNUMBER($G130))),"",IF($H130="Maund",ROUND($G130/37.32,2),$G130))</f>
        <v/>
      </c>
      <c r="J130" s="29"/>
      <c r="K130" s="21"/>
      <c r="L130" s="30" t="str">
        <f aca="false">IF(OR($J130="",$K130="",NOT(ISNUMBER($J130))),"",IF($K130="Maund",ROUND($J130*37.32,2),$J130))</f>
        <v/>
      </c>
      <c r="M130" s="22"/>
    </row>
    <row r="131" customFormat="false" ht="19.5" hidden="false" customHeight="true" outlineLevel="0" collapsed="false">
      <c r="B131" s="21"/>
      <c r="C131" s="21"/>
      <c r="D131" s="21"/>
      <c r="E131" s="21"/>
      <c r="F131" s="21"/>
      <c r="G131" s="29"/>
      <c r="H131" s="21"/>
      <c r="I131" s="30" t="str">
        <f aca="false">IF(OR($G131="",$H131="",NOT(ISNUMBER($G131))),"",IF($H131="Maund",ROUND($G131/37.32,2),$G131))</f>
        <v/>
      </c>
      <c r="J131" s="29"/>
      <c r="K131" s="21"/>
      <c r="L131" s="30" t="str">
        <f aca="false">IF(OR($J131="",$K131="",NOT(ISNUMBER($J131))),"",IF($K131="Maund",ROUND($J131*37.32,2),$J131))</f>
        <v/>
      </c>
      <c r="M131" s="22"/>
    </row>
    <row r="132" customFormat="false" ht="19.5" hidden="false" customHeight="true" outlineLevel="0" collapsed="false">
      <c r="B132" s="21"/>
      <c r="C132" s="21"/>
      <c r="D132" s="21"/>
      <c r="E132" s="21"/>
      <c r="F132" s="21"/>
      <c r="G132" s="29"/>
      <c r="H132" s="21"/>
      <c r="I132" s="30" t="str">
        <f aca="false">IF(OR($G132="",$H132="",NOT(ISNUMBER($G132))),"",IF($H132="Maund",ROUND($G132/37.32,2),$G132))</f>
        <v/>
      </c>
      <c r="J132" s="29"/>
      <c r="K132" s="21"/>
      <c r="L132" s="30" t="str">
        <f aca="false">IF(OR($J132="",$K132="",NOT(ISNUMBER($J132))),"",IF($K132="Maund",ROUND($J132*37.32,2),$J132))</f>
        <v/>
      </c>
      <c r="M132" s="22"/>
    </row>
    <row r="133" customFormat="false" ht="19.5" hidden="false" customHeight="true" outlineLevel="0" collapsed="false">
      <c r="B133" s="21"/>
      <c r="C133" s="21"/>
      <c r="D133" s="21"/>
      <c r="E133" s="21"/>
      <c r="F133" s="21"/>
      <c r="G133" s="29"/>
      <c r="H133" s="21"/>
      <c r="I133" s="30" t="str">
        <f aca="false">IF(OR($G133="",$H133="",NOT(ISNUMBER($G133))),"",IF($H133="Maund",ROUND($G133/37.32,2),$G133))</f>
        <v/>
      </c>
      <c r="J133" s="29"/>
      <c r="K133" s="21"/>
      <c r="L133" s="30" t="str">
        <f aca="false">IF(OR($J133="",$K133="",NOT(ISNUMBER($J133))),"",IF($K133="Maund",ROUND($J133*37.32,2),$J133))</f>
        <v/>
      </c>
      <c r="M133" s="22"/>
    </row>
    <row r="134" customFormat="false" ht="19.5" hidden="false" customHeight="true" outlineLevel="0" collapsed="false">
      <c r="B134" s="21"/>
      <c r="C134" s="21"/>
      <c r="D134" s="21"/>
      <c r="E134" s="21"/>
      <c r="F134" s="21"/>
      <c r="G134" s="29"/>
      <c r="H134" s="21"/>
      <c r="I134" s="30" t="str">
        <f aca="false">IF(OR($G134="",$H134="",NOT(ISNUMBER($G134))),"",IF($H134="Maund",ROUND($G134/37.32,2),$G134))</f>
        <v/>
      </c>
      <c r="J134" s="29"/>
      <c r="K134" s="21"/>
      <c r="L134" s="30" t="str">
        <f aca="false">IF(OR($J134="",$K134="",NOT(ISNUMBER($J134))),"",IF($K134="Maund",ROUND($J134*37.32,2),$J134))</f>
        <v/>
      </c>
      <c r="M134" s="22"/>
    </row>
    <row r="135" customFormat="false" ht="19.5" hidden="false" customHeight="true" outlineLevel="0" collapsed="false">
      <c r="B135" s="21"/>
      <c r="C135" s="21"/>
      <c r="D135" s="21"/>
      <c r="E135" s="21"/>
      <c r="F135" s="21"/>
      <c r="G135" s="29"/>
      <c r="H135" s="21"/>
      <c r="I135" s="30" t="str">
        <f aca="false">IF(OR($G135="",$H135="",NOT(ISNUMBER($G135))),"",IF($H135="Maund",ROUND($G135/37.32,2),$G135))</f>
        <v/>
      </c>
      <c r="J135" s="29"/>
      <c r="K135" s="21"/>
      <c r="L135" s="30" t="str">
        <f aca="false">IF(OR($J135="",$K135="",NOT(ISNUMBER($J135))),"",IF($K135="Maund",ROUND($J135*37.32,2),$J135))</f>
        <v/>
      </c>
      <c r="M135" s="22"/>
    </row>
    <row r="136" customFormat="false" ht="19.5" hidden="false" customHeight="true" outlineLevel="0" collapsed="false">
      <c r="B136" s="21"/>
      <c r="C136" s="21"/>
      <c r="D136" s="21"/>
      <c r="E136" s="21"/>
      <c r="F136" s="21"/>
      <c r="G136" s="29"/>
      <c r="H136" s="21"/>
      <c r="I136" s="30" t="str">
        <f aca="false">IF(OR($G136="",$H136="",NOT(ISNUMBER($G136))),"",IF($H136="Maund",ROUND($G136/37.32,2),$G136))</f>
        <v/>
      </c>
      <c r="J136" s="29"/>
      <c r="K136" s="21"/>
      <c r="L136" s="30" t="str">
        <f aca="false">IF(OR($J136="",$K136="",NOT(ISNUMBER($J136))),"",IF($K136="Maund",ROUND($J136*37.32,2),$J136))</f>
        <v/>
      </c>
      <c r="M136" s="22"/>
    </row>
    <row r="137" customFormat="false" ht="19.5" hidden="false" customHeight="true" outlineLevel="0" collapsed="false">
      <c r="B137" s="21"/>
      <c r="C137" s="21"/>
      <c r="D137" s="21"/>
      <c r="E137" s="21"/>
      <c r="F137" s="21"/>
      <c r="G137" s="29"/>
      <c r="H137" s="21"/>
      <c r="I137" s="30" t="str">
        <f aca="false">IF(OR($G137="",$H137="",NOT(ISNUMBER($G137))),"",IF($H137="Maund",ROUND($G137/37.32,2),$G137))</f>
        <v/>
      </c>
      <c r="J137" s="29"/>
      <c r="K137" s="21"/>
      <c r="L137" s="30" t="str">
        <f aca="false">IF(OR($J137="",$K137="",NOT(ISNUMBER($J137))),"",IF($K137="Maund",ROUND($J137*37.32,2),$J137))</f>
        <v/>
      </c>
      <c r="M137" s="22"/>
    </row>
    <row r="138" customFormat="false" ht="19.5" hidden="false" customHeight="true" outlineLevel="0" collapsed="false">
      <c r="B138" s="21"/>
      <c r="C138" s="21"/>
      <c r="D138" s="21"/>
      <c r="E138" s="21"/>
      <c r="F138" s="21"/>
      <c r="G138" s="29"/>
      <c r="H138" s="21"/>
      <c r="I138" s="30" t="str">
        <f aca="false">IF(OR($G138="",$H138="",NOT(ISNUMBER($G138))),"",IF($H138="Maund",ROUND($G138/37.32,2),$G138))</f>
        <v/>
      </c>
      <c r="J138" s="29"/>
      <c r="K138" s="21"/>
      <c r="L138" s="30" t="str">
        <f aca="false">IF(OR($J138="",$K138="",NOT(ISNUMBER($J138))),"",IF($K138="Maund",ROUND($J138*37.32,2),$J138))</f>
        <v/>
      </c>
      <c r="M138" s="22"/>
    </row>
    <row r="139" customFormat="false" ht="19.5" hidden="false" customHeight="true" outlineLevel="0" collapsed="false">
      <c r="B139" s="21"/>
      <c r="C139" s="21"/>
      <c r="D139" s="21"/>
      <c r="E139" s="21"/>
      <c r="F139" s="21"/>
      <c r="G139" s="29"/>
      <c r="H139" s="21"/>
      <c r="I139" s="30" t="str">
        <f aca="false">IF(OR($G139="",$H139="",NOT(ISNUMBER($G139))),"",IF($H139="Maund",ROUND($G139/37.32,2),$G139))</f>
        <v/>
      </c>
      <c r="J139" s="29"/>
      <c r="K139" s="21"/>
      <c r="L139" s="30" t="str">
        <f aca="false">IF(OR($J139="",$K139="",NOT(ISNUMBER($J139))),"",IF($K139="Maund",ROUND($J139*37.32,2),$J139))</f>
        <v/>
      </c>
      <c r="M139" s="22"/>
    </row>
    <row r="140" customFormat="false" ht="19.5" hidden="false" customHeight="true" outlineLevel="0" collapsed="false">
      <c r="B140" s="21"/>
      <c r="C140" s="21"/>
      <c r="D140" s="21"/>
      <c r="E140" s="21"/>
      <c r="F140" s="21"/>
      <c r="G140" s="29"/>
      <c r="H140" s="21"/>
      <c r="I140" s="30" t="str">
        <f aca="false">IF(OR($G140="",$H140="",NOT(ISNUMBER($G140))),"",IF($H140="Maund",ROUND($G140/37.32,2),$G140))</f>
        <v/>
      </c>
      <c r="J140" s="29"/>
      <c r="K140" s="21"/>
      <c r="L140" s="30" t="str">
        <f aca="false">IF(OR($J140="",$K140="",NOT(ISNUMBER($J140))),"",IF($K140="Maund",ROUND($J140*37.32,2),$J140))</f>
        <v/>
      </c>
      <c r="M140" s="22"/>
    </row>
    <row r="141" customFormat="false" ht="19.5" hidden="false" customHeight="true" outlineLevel="0" collapsed="false">
      <c r="B141" s="21"/>
      <c r="C141" s="21"/>
      <c r="D141" s="21"/>
      <c r="E141" s="21"/>
      <c r="F141" s="21"/>
      <c r="G141" s="29"/>
      <c r="H141" s="21"/>
      <c r="I141" s="30" t="str">
        <f aca="false">IF(OR($G141="",$H141="",NOT(ISNUMBER($G141))),"",IF($H141="Maund",ROUND($G141/37.32,2),$G141))</f>
        <v/>
      </c>
      <c r="J141" s="29"/>
      <c r="K141" s="21"/>
      <c r="L141" s="30" t="str">
        <f aca="false">IF(OR($J141="",$K141="",NOT(ISNUMBER($J141))),"",IF($K141="Maund",ROUND($J141*37.32,2),$J141))</f>
        <v/>
      </c>
      <c r="M141" s="22"/>
    </row>
    <row r="142" customFormat="false" ht="19.5" hidden="false" customHeight="true" outlineLevel="0" collapsed="false">
      <c r="B142" s="21"/>
      <c r="C142" s="21"/>
      <c r="D142" s="21"/>
      <c r="E142" s="21"/>
      <c r="F142" s="21"/>
      <c r="G142" s="29"/>
      <c r="H142" s="21"/>
      <c r="I142" s="30" t="str">
        <f aca="false">IF(OR($G142="",$H142="",NOT(ISNUMBER($G142))),"",IF($H142="Maund",ROUND($G142/37.32,2),$G142))</f>
        <v/>
      </c>
      <c r="J142" s="29"/>
      <c r="K142" s="21"/>
      <c r="L142" s="30" t="str">
        <f aca="false">IF(OR($J142="",$K142="",NOT(ISNUMBER($J142))),"",IF($K142="Maund",ROUND($J142*37.32,2),$J142))</f>
        <v/>
      </c>
      <c r="M142" s="22"/>
    </row>
    <row r="143" customFormat="false" ht="19.5" hidden="false" customHeight="true" outlineLevel="0" collapsed="false">
      <c r="B143" s="21"/>
      <c r="C143" s="21"/>
      <c r="D143" s="21"/>
      <c r="E143" s="21"/>
      <c r="F143" s="21"/>
      <c r="G143" s="29"/>
      <c r="H143" s="21"/>
      <c r="I143" s="30" t="str">
        <f aca="false">IF(OR($G143="",$H143="",NOT(ISNUMBER($G143))),"",IF($H143="Maund",ROUND($G143/37.32,2),$G143))</f>
        <v/>
      </c>
      <c r="J143" s="29"/>
      <c r="K143" s="21"/>
      <c r="L143" s="30" t="str">
        <f aca="false">IF(OR($J143="",$K143="",NOT(ISNUMBER($J143))),"",IF($K143="Maund",ROUND($J143*37.32,2),$J143))</f>
        <v/>
      </c>
      <c r="M143" s="22"/>
    </row>
    <row r="144" customFormat="false" ht="19.5" hidden="false" customHeight="true" outlineLevel="0" collapsed="false">
      <c r="B144" s="21"/>
      <c r="C144" s="21"/>
      <c r="D144" s="21"/>
      <c r="E144" s="21"/>
      <c r="F144" s="21"/>
      <c r="G144" s="29"/>
      <c r="H144" s="21"/>
      <c r="I144" s="30" t="str">
        <f aca="false">IF(OR($G144="",$H144="",NOT(ISNUMBER($G144))),"",IF($H144="Maund",ROUND($G144/37.32,2),$G144))</f>
        <v/>
      </c>
      <c r="J144" s="29"/>
      <c r="K144" s="21"/>
      <c r="L144" s="30" t="str">
        <f aca="false">IF(OR($J144="",$K144="",NOT(ISNUMBER($J144))),"",IF($K144="Maund",ROUND($J144*37.32,2),$J144))</f>
        <v/>
      </c>
      <c r="M144" s="22"/>
    </row>
    <row r="145" customFormat="false" ht="19.5" hidden="false" customHeight="true" outlineLevel="0" collapsed="false">
      <c r="B145" s="21"/>
      <c r="C145" s="21"/>
      <c r="D145" s="21"/>
      <c r="E145" s="21"/>
      <c r="F145" s="21"/>
      <c r="G145" s="29"/>
      <c r="H145" s="21"/>
      <c r="I145" s="30" t="str">
        <f aca="false">IF(OR($G145="",$H145="",NOT(ISNUMBER($G145))),"",IF($H145="Maund",ROUND($G145/37.32,2),$G145))</f>
        <v/>
      </c>
      <c r="J145" s="29"/>
      <c r="K145" s="21"/>
      <c r="L145" s="30" t="str">
        <f aca="false">IF(OR($J145="",$K145="",NOT(ISNUMBER($J145))),"",IF($K145="Maund",ROUND($J145*37.32,2),$J145))</f>
        <v/>
      </c>
      <c r="M145" s="22"/>
    </row>
    <row r="146" customFormat="false" ht="19.5" hidden="false" customHeight="true" outlineLevel="0" collapsed="false">
      <c r="B146" s="21"/>
      <c r="C146" s="21"/>
      <c r="D146" s="21"/>
      <c r="E146" s="21"/>
      <c r="F146" s="21"/>
      <c r="G146" s="29"/>
      <c r="H146" s="21"/>
      <c r="I146" s="30" t="str">
        <f aca="false">IF(OR($G146="",$H146="",NOT(ISNUMBER($G146))),"",IF($H146="Maund",ROUND($G146/37.32,2),$G146))</f>
        <v/>
      </c>
      <c r="J146" s="29"/>
      <c r="K146" s="21"/>
      <c r="L146" s="30" t="str">
        <f aca="false">IF(OR($J146="",$K146="",NOT(ISNUMBER($J146))),"",IF($K146="Maund",ROUND($J146*37.32,2),$J146))</f>
        <v/>
      </c>
      <c r="M146" s="22"/>
    </row>
    <row r="147" customFormat="false" ht="19.5" hidden="false" customHeight="true" outlineLevel="0" collapsed="false">
      <c r="B147" s="21"/>
      <c r="C147" s="21"/>
      <c r="D147" s="21"/>
      <c r="E147" s="21"/>
      <c r="F147" s="21"/>
      <c r="G147" s="29"/>
      <c r="H147" s="21"/>
      <c r="I147" s="30" t="str">
        <f aca="false">IF(OR($G147="",$H147="",NOT(ISNUMBER($G147))),"",IF($H147="Maund",ROUND($G147/37.32,2),$G147))</f>
        <v/>
      </c>
      <c r="J147" s="29"/>
      <c r="K147" s="21"/>
      <c r="L147" s="30" t="str">
        <f aca="false">IF(OR($J147="",$K147="",NOT(ISNUMBER($J147))),"",IF($K147="Maund",ROUND($J147*37.32,2),$J147))</f>
        <v/>
      </c>
      <c r="M147" s="22"/>
    </row>
    <row r="148" customFormat="false" ht="19.5" hidden="false" customHeight="true" outlineLevel="0" collapsed="false">
      <c r="B148" s="21"/>
      <c r="C148" s="21"/>
      <c r="D148" s="21"/>
      <c r="E148" s="21"/>
      <c r="F148" s="21"/>
      <c r="G148" s="29"/>
      <c r="H148" s="21"/>
      <c r="I148" s="30" t="str">
        <f aca="false">IF(OR($G148="",$H148="",NOT(ISNUMBER($G148))),"",IF($H148="Maund",ROUND($G148/37.32,2),$G148))</f>
        <v/>
      </c>
      <c r="J148" s="29"/>
      <c r="K148" s="21"/>
      <c r="L148" s="30" t="str">
        <f aca="false">IF(OR($J148="",$K148="",NOT(ISNUMBER($J148))),"",IF($K148="Maund",ROUND($J148*37.32,2),$J148))</f>
        <v/>
      </c>
      <c r="M148" s="22"/>
    </row>
    <row r="149" customFormat="false" ht="19.5" hidden="false" customHeight="true" outlineLevel="0" collapsed="false">
      <c r="B149" s="21"/>
      <c r="C149" s="21"/>
      <c r="D149" s="21"/>
      <c r="E149" s="21"/>
      <c r="F149" s="21"/>
      <c r="G149" s="29"/>
      <c r="H149" s="21"/>
      <c r="I149" s="30" t="str">
        <f aca="false">IF(OR($G149="",$H149="",NOT(ISNUMBER($G149))),"",IF($H149="Maund",ROUND($G149/37.32,2),$G149))</f>
        <v/>
      </c>
      <c r="J149" s="29"/>
      <c r="K149" s="21"/>
      <c r="L149" s="30" t="str">
        <f aca="false">IF(OR($J149="",$K149="",NOT(ISNUMBER($J149))),"",IF($K149="Maund",ROUND($J149*37.32,2),$J149))</f>
        <v/>
      </c>
      <c r="M149" s="22"/>
    </row>
    <row r="150" customFormat="false" ht="19.5" hidden="false" customHeight="true" outlineLevel="0" collapsed="false">
      <c r="B150" s="21"/>
      <c r="C150" s="21"/>
      <c r="D150" s="21"/>
      <c r="E150" s="21"/>
      <c r="F150" s="21"/>
      <c r="G150" s="29"/>
      <c r="H150" s="21"/>
      <c r="I150" s="30" t="str">
        <f aca="false">IF(OR($G150="",$H150="",NOT(ISNUMBER($G150))),"",IF($H150="Maund",ROUND($G150/37.32,2),$G150))</f>
        <v/>
      </c>
      <c r="J150" s="29"/>
      <c r="K150" s="21"/>
      <c r="L150" s="30" t="str">
        <f aca="false">IF(OR($J150="",$K150="",NOT(ISNUMBER($J150))),"",IF($K150="Maund",ROUND($J150*37.32,2),$J150))</f>
        <v/>
      </c>
      <c r="M150" s="22"/>
    </row>
    <row r="151" customFormat="false" ht="19.5" hidden="false" customHeight="true" outlineLevel="0" collapsed="false">
      <c r="B151" s="21"/>
      <c r="C151" s="21"/>
      <c r="D151" s="21"/>
      <c r="E151" s="21"/>
      <c r="F151" s="21"/>
      <c r="G151" s="29"/>
      <c r="H151" s="21"/>
      <c r="I151" s="30" t="str">
        <f aca="false">IF(OR($G151="",$H151="",NOT(ISNUMBER($G151))),"",IF($H151="Maund",ROUND($G151/37.32,2),$G151))</f>
        <v/>
      </c>
      <c r="J151" s="29"/>
      <c r="K151" s="21"/>
      <c r="L151" s="30" t="str">
        <f aca="false">IF(OR($J151="",$K151="",NOT(ISNUMBER($J151))),"",IF($K151="Maund",ROUND($J151*37.32,2),$J151))</f>
        <v/>
      </c>
      <c r="M151" s="22"/>
    </row>
    <row r="152" customFormat="false" ht="19.5" hidden="false" customHeight="true" outlineLevel="0" collapsed="false">
      <c r="B152" s="21"/>
      <c r="C152" s="21"/>
      <c r="D152" s="21"/>
      <c r="E152" s="21"/>
      <c r="F152" s="21"/>
      <c r="G152" s="29"/>
      <c r="H152" s="21"/>
      <c r="I152" s="30" t="str">
        <f aca="false">IF(OR($G152="",$H152="",NOT(ISNUMBER($G152))),"",IF($H152="Maund",ROUND($G152/37.32,2),$G152))</f>
        <v/>
      </c>
      <c r="J152" s="29"/>
      <c r="K152" s="21"/>
      <c r="L152" s="30" t="str">
        <f aca="false">IF(OR($J152="",$K152="",NOT(ISNUMBER($J152))),"",IF($K152="Maund",ROUND($J152*37.32,2),$J152))</f>
        <v/>
      </c>
      <c r="M152" s="22"/>
    </row>
    <row r="153" customFormat="false" ht="19.5" hidden="false" customHeight="true" outlineLevel="0" collapsed="false">
      <c r="B153" s="21"/>
      <c r="C153" s="21"/>
      <c r="D153" s="21"/>
      <c r="E153" s="21"/>
      <c r="F153" s="21"/>
      <c r="G153" s="29"/>
      <c r="H153" s="21"/>
      <c r="I153" s="30" t="str">
        <f aca="false">IF(OR($G153="",$H153="",NOT(ISNUMBER($G153))),"",IF($H153="Maund",ROUND($G153/37.32,2),$G153))</f>
        <v/>
      </c>
      <c r="J153" s="29"/>
      <c r="K153" s="21"/>
      <c r="L153" s="30" t="str">
        <f aca="false">IF(OR($J153="",$K153="",NOT(ISNUMBER($J153))),"",IF($K153="Maund",ROUND($J153*37.32,2),$J153))</f>
        <v/>
      </c>
      <c r="M153" s="22"/>
    </row>
    <row r="154" customFormat="false" ht="19.5" hidden="false" customHeight="true" outlineLevel="0" collapsed="false">
      <c r="B154" s="21"/>
      <c r="C154" s="21"/>
      <c r="D154" s="21"/>
      <c r="E154" s="21"/>
      <c r="F154" s="21"/>
      <c r="G154" s="29"/>
      <c r="H154" s="21"/>
      <c r="I154" s="30" t="str">
        <f aca="false">IF(OR($G154="",$H154="",NOT(ISNUMBER($G154))),"",IF($H154="Maund",ROUND($G154/37.32,2),$G154))</f>
        <v/>
      </c>
      <c r="J154" s="29"/>
      <c r="K154" s="21"/>
      <c r="L154" s="30" t="str">
        <f aca="false">IF(OR($J154="",$K154="",NOT(ISNUMBER($J154))),"",IF($K154="Maund",ROUND($J154*37.32,2),$J154))</f>
        <v/>
      </c>
      <c r="M154" s="22"/>
    </row>
    <row r="155" customFormat="false" ht="19.5" hidden="false" customHeight="true" outlineLevel="0" collapsed="false">
      <c r="B155" s="21"/>
      <c r="C155" s="21"/>
      <c r="D155" s="21"/>
      <c r="E155" s="21"/>
      <c r="F155" s="21"/>
      <c r="G155" s="29"/>
      <c r="H155" s="21"/>
      <c r="I155" s="30" t="str">
        <f aca="false">IF(OR($G155="",$H155="",NOT(ISNUMBER($G155))),"",IF($H155="Maund",ROUND($G155/37.32,2),$G155))</f>
        <v/>
      </c>
      <c r="J155" s="29"/>
      <c r="K155" s="21"/>
      <c r="L155" s="30" t="str">
        <f aca="false">IF(OR($J155="",$K155="",NOT(ISNUMBER($J155))),"",IF($K155="Maund",ROUND($J155*37.32,2),$J155))</f>
        <v/>
      </c>
      <c r="M155" s="22"/>
    </row>
    <row r="156" customFormat="false" ht="19.5" hidden="false" customHeight="true" outlineLevel="0" collapsed="false">
      <c r="B156" s="21"/>
      <c r="C156" s="21"/>
      <c r="D156" s="21"/>
      <c r="E156" s="21"/>
      <c r="F156" s="21"/>
      <c r="G156" s="29"/>
      <c r="H156" s="21"/>
      <c r="I156" s="30" t="str">
        <f aca="false">IF(OR($G156="",$H156="",NOT(ISNUMBER($G156))),"",IF($H156="Maund",ROUND($G156/37.32,2),$G156))</f>
        <v/>
      </c>
      <c r="J156" s="29"/>
      <c r="K156" s="21"/>
      <c r="L156" s="30" t="str">
        <f aca="false">IF(OR($J156="",$K156="",NOT(ISNUMBER($J156))),"",IF($K156="Maund",ROUND($J156*37.32,2),$J156))</f>
        <v/>
      </c>
      <c r="M156" s="22"/>
    </row>
    <row r="157" customFormat="false" ht="19.5" hidden="false" customHeight="true" outlineLevel="0" collapsed="false">
      <c r="B157" s="21"/>
      <c r="C157" s="21"/>
      <c r="D157" s="21"/>
      <c r="E157" s="21"/>
      <c r="F157" s="21"/>
      <c r="G157" s="29"/>
      <c r="H157" s="21"/>
      <c r="I157" s="30" t="str">
        <f aca="false">IF(OR($G157="",$H157="",NOT(ISNUMBER($G157))),"",IF($H157="Maund",ROUND($G157/37.32,2),$G157))</f>
        <v/>
      </c>
      <c r="J157" s="29"/>
      <c r="K157" s="21"/>
      <c r="L157" s="30" t="str">
        <f aca="false">IF(OR($J157="",$K157="",NOT(ISNUMBER($J157))),"",IF($K157="Maund",ROUND($J157*37.32,2),$J157))</f>
        <v/>
      </c>
      <c r="M157" s="22"/>
    </row>
    <row r="158" customFormat="false" ht="19.5" hidden="false" customHeight="true" outlineLevel="0" collapsed="false">
      <c r="B158" s="21"/>
      <c r="C158" s="21"/>
      <c r="D158" s="21"/>
      <c r="E158" s="21"/>
      <c r="F158" s="21"/>
      <c r="G158" s="29"/>
      <c r="H158" s="21"/>
      <c r="I158" s="30" t="str">
        <f aca="false">IF(OR($G158="",$H158="",NOT(ISNUMBER($G158))),"",IF($H158="Maund",ROUND($G158/37.32,2),$G158))</f>
        <v/>
      </c>
      <c r="J158" s="29"/>
      <c r="K158" s="21"/>
      <c r="L158" s="30" t="str">
        <f aca="false">IF(OR($J158="",$K158="",NOT(ISNUMBER($J158))),"",IF($K158="Maund",ROUND($J158*37.32,2),$J158))</f>
        <v/>
      </c>
      <c r="M158" s="22"/>
    </row>
    <row r="159" customFormat="false" ht="19.5" hidden="false" customHeight="true" outlineLevel="0" collapsed="false">
      <c r="B159" s="21"/>
      <c r="C159" s="21"/>
      <c r="D159" s="21"/>
      <c r="E159" s="21"/>
      <c r="F159" s="21"/>
      <c r="G159" s="29"/>
      <c r="H159" s="21"/>
      <c r="I159" s="30" t="str">
        <f aca="false">IF(OR($G159="",$H159="",NOT(ISNUMBER($G159))),"",IF($H159="Maund",ROUND($G159/37.32,2),$G159))</f>
        <v/>
      </c>
      <c r="J159" s="29"/>
      <c r="K159" s="21"/>
      <c r="L159" s="30" t="str">
        <f aca="false">IF(OR($J159="",$K159="",NOT(ISNUMBER($J159))),"",IF($K159="Maund",ROUND($J159*37.32,2),$J159))</f>
        <v/>
      </c>
      <c r="M159" s="22"/>
    </row>
    <row r="160" customFormat="false" ht="19.5" hidden="false" customHeight="true" outlineLevel="0" collapsed="false">
      <c r="B160" s="21"/>
      <c r="C160" s="21"/>
      <c r="D160" s="21"/>
      <c r="E160" s="21"/>
      <c r="F160" s="21"/>
      <c r="G160" s="29"/>
      <c r="H160" s="21"/>
      <c r="I160" s="30" t="str">
        <f aca="false">IF(OR($G160="",$H160="",NOT(ISNUMBER($G160))),"",IF($H160="Maund",ROUND($G160/37.32,2),$G160))</f>
        <v/>
      </c>
      <c r="J160" s="29"/>
      <c r="K160" s="21"/>
      <c r="L160" s="30" t="str">
        <f aca="false">IF(OR($J160="",$K160="",NOT(ISNUMBER($J160))),"",IF($K160="Maund",ROUND($J160*37.32,2),$J160))</f>
        <v/>
      </c>
      <c r="M160" s="22"/>
    </row>
    <row r="161" customFormat="false" ht="19.5" hidden="false" customHeight="true" outlineLevel="0" collapsed="false">
      <c r="B161" s="21"/>
      <c r="C161" s="21"/>
      <c r="D161" s="21"/>
      <c r="E161" s="21"/>
      <c r="F161" s="21"/>
      <c r="G161" s="29"/>
      <c r="H161" s="21"/>
      <c r="I161" s="30" t="str">
        <f aca="false">IF(OR($G161="",$H161="",NOT(ISNUMBER($G161))),"",IF($H161="Maund",ROUND($G161/37.32,2),$G161))</f>
        <v/>
      </c>
      <c r="J161" s="29"/>
      <c r="K161" s="21"/>
      <c r="L161" s="30" t="str">
        <f aca="false">IF(OR($J161="",$K161="",NOT(ISNUMBER($J161))),"",IF($K161="Maund",ROUND($J161*37.32,2),$J161))</f>
        <v/>
      </c>
      <c r="M161" s="22"/>
    </row>
    <row r="162" customFormat="false" ht="19.5" hidden="false" customHeight="true" outlineLevel="0" collapsed="false">
      <c r="B162" s="21"/>
      <c r="C162" s="21"/>
      <c r="D162" s="21"/>
      <c r="E162" s="21"/>
      <c r="F162" s="21"/>
      <c r="G162" s="29"/>
      <c r="H162" s="21"/>
      <c r="I162" s="30" t="str">
        <f aca="false">IF(OR($G162="",$H162="",NOT(ISNUMBER($G162))),"",IF($H162="Maund",ROUND($G162/37.32,2),$G162))</f>
        <v/>
      </c>
      <c r="J162" s="29"/>
      <c r="K162" s="21"/>
      <c r="L162" s="30" t="str">
        <f aca="false">IF(OR($J162="",$K162="",NOT(ISNUMBER($J162))),"",IF($K162="Maund",ROUND($J162*37.32,2),$J162))</f>
        <v/>
      </c>
      <c r="M162" s="22"/>
    </row>
    <row r="163" customFormat="false" ht="19.5" hidden="false" customHeight="true" outlineLevel="0" collapsed="false">
      <c r="B163" s="21"/>
      <c r="C163" s="21"/>
      <c r="D163" s="21"/>
      <c r="E163" s="21"/>
      <c r="F163" s="21"/>
      <c r="G163" s="29"/>
      <c r="H163" s="21"/>
      <c r="I163" s="30" t="str">
        <f aca="false">IF(OR($G163="",$H163="",NOT(ISNUMBER($G163))),"",IF($H163="Maund",ROUND($G163/37.32,2),$G163))</f>
        <v/>
      </c>
      <c r="J163" s="29"/>
      <c r="K163" s="21"/>
      <c r="L163" s="30" t="str">
        <f aca="false">IF(OR($J163="",$K163="",NOT(ISNUMBER($J163))),"",IF($K163="Maund",ROUND($J163*37.32,2),$J163))</f>
        <v/>
      </c>
      <c r="M163" s="22"/>
    </row>
    <row r="164" customFormat="false" ht="19.5" hidden="false" customHeight="true" outlineLevel="0" collapsed="false">
      <c r="B164" s="21"/>
      <c r="C164" s="21"/>
      <c r="D164" s="21"/>
      <c r="E164" s="21"/>
      <c r="F164" s="21"/>
      <c r="G164" s="29"/>
      <c r="H164" s="21"/>
      <c r="I164" s="30" t="str">
        <f aca="false">IF(OR($G164="",$H164="",NOT(ISNUMBER($G164))),"",IF($H164="Maund",ROUND($G164/37.32,2),$G164))</f>
        <v/>
      </c>
      <c r="J164" s="29"/>
      <c r="K164" s="21"/>
      <c r="L164" s="30" t="str">
        <f aca="false">IF(OR($J164="",$K164="",NOT(ISNUMBER($J164))),"",IF($K164="Maund",ROUND($J164*37.32,2),$J164))</f>
        <v/>
      </c>
      <c r="M164" s="22"/>
    </row>
    <row r="165" customFormat="false" ht="19.5" hidden="false" customHeight="true" outlineLevel="0" collapsed="false">
      <c r="B165" s="21"/>
      <c r="C165" s="21"/>
      <c r="D165" s="21"/>
      <c r="E165" s="21"/>
      <c r="F165" s="21"/>
      <c r="G165" s="29"/>
      <c r="H165" s="21"/>
      <c r="I165" s="30" t="str">
        <f aca="false">IF(OR($G165="",$H165="",NOT(ISNUMBER($G165))),"",IF($H165="Maund",ROUND($G165/37.32,2),$G165))</f>
        <v/>
      </c>
      <c r="J165" s="29"/>
      <c r="K165" s="21"/>
      <c r="L165" s="30" t="str">
        <f aca="false">IF(OR($J165="",$K165="",NOT(ISNUMBER($J165))),"",IF($K165="Maund",ROUND($J165*37.32,2),$J165))</f>
        <v/>
      </c>
      <c r="M165" s="22"/>
    </row>
    <row r="166" customFormat="false" ht="19.5" hidden="false" customHeight="true" outlineLevel="0" collapsed="false">
      <c r="B166" s="21"/>
      <c r="C166" s="21"/>
      <c r="D166" s="21"/>
      <c r="E166" s="21"/>
      <c r="F166" s="21"/>
      <c r="G166" s="29"/>
      <c r="H166" s="21"/>
      <c r="I166" s="30" t="str">
        <f aca="false">IF(OR($G166="",$H166="",NOT(ISNUMBER($G166))),"",IF($H166="Maund",ROUND($G166/37.32,2),$G166))</f>
        <v/>
      </c>
      <c r="J166" s="29"/>
      <c r="K166" s="21"/>
      <c r="L166" s="30" t="str">
        <f aca="false">IF(OR($J166="",$K166="",NOT(ISNUMBER($J166))),"",IF($K166="Maund",ROUND($J166*37.32,2),$J166))</f>
        <v/>
      </c>
      <c r="M166" s="22"/>
    </row>
    <row r="167" customFormat="false" ht="19.5" hidden="false" customHeight="true" outlineLevel="0" collapsed="false">
      <c r="B167" s="21"/>
      <c r="C167" s="21"/>
      <c r="D167" s="21"/>
      <c r="E167" s="21"/>
      <c r="F167" s="21"/>
      <c r="G167" s="29"/>
      <c r="H167" s="21"/>
      <c r="I167" s="30" t="str">
        <f aca="false">IF(OR($G167="",$H167="",NOT(ISNUMBER($G167))),"",IF($H167="Maund",ROUND($G167/37.32,2),$G167))</f>
        <v/>
      </c>
      <c r="J167" s="29"/>
      <c r="K167" s="21"/>
      <c r="L167" s="30" t="str">
        <f aca="false">IF(OR($J167="",$K167="",NOT(ISNUMBER($J167))),"",IF($K167="Maund",ROUND($J167*37.32,2),$J167))</f>
        <v/>
      </c>
      <c r="M167" s="22"/>
    </row>
    <row r="168" customFormat="false" ht="19.5" hidden="false" customHeight="true" outlineLevel="0" collapsed="false">
      <c r="B168" s="21"/>
      <c r="C168" s="21"/>
      <c r="D168" s="21"/>
      <c r="E168" s="21"/>
      <c r="F168" s="21"/>
      <c r="G168" s="29"/>
      <c r="H168" s="21"/>
      <c r="I168" s="30" t="str">
        <f aca="false">IF(OR($G168="",$H168="",NOT(ISNUMBER($G168))),"",IF($H168="Maund",ROUND($G168/37.32,2),$G168))</f>
        <v/>
      </c>
      <c r="J168" s="29"/>
      <c r="K168" s="21"/>
      <c r="L168" s="30" t="str">
        <f aca="false">IF(OR($J168="",$K168="",NOT(ISNUMBER($J168))),"",IF($K168="Maund",ROUND($J168*37.32,2),$J168))</f>
        <v/>
      </c>
      <c r="M168" s="22"/>
    </row>
    <row r="169" customFormat="false" ht="19.5" hidden="false" customHeight="true" outlineLevel="0" collapsed="false">
      <c r="B169" s="21"/>
      <c r="C169" s="21"/>
      <c r="D169" s="21"/>
      <c r="E169" s="21"/>
      <c r="F169" s="21"/>
      <c r="G169" s="29"/>
      <c r="H169" s="21"/>
      <c r="I169" s="30" t="str">
        <f aca="false">IF(OR($G169="",$H169="",NOT(ISNUMBER($G169))),"",IF($H169="Maund",ROUND($G169/37.32,2),$G169))</f>
        <v/>
      </c>
      <c r="J169" s="29"/>
      <c r="K169" s="21"/>
      <c r="L169" s="30" t="str">
        <f aca="false">IF(OR($J169="",$K169="",NOT(ISNUMBER($J169))),"",IF($K169="Maund",ROUND($J169*37.32,2),$J169))</f>
        <v/>
      </c>
      <c r="M169" s="22"/>
    </row>
    <row r="170" customFormat="false" ht="19.5" hidden="false" customHeight="true" outlineLevel="0" collapsed="false">
      <c r="B170" s="21"/>
      <c r="C170" s="21"/>
      <c r="D170" s="21"/>
      <c r="E170" s="21"/>
      <c r="F170" s="21"/>
      <c r="G170" s="29"/>
      <c r="H170" s="21"/>
      <c r="I170" s="30" t="str">
        <f aca="false">IF(OR($G170="",$H170="",NOT(ISNUMBER($G170))),"",IF($H170="Maund",ROUND($G170/37.32,2),$G170))</f>
        <v/>
      </c>
      <c r="J170" s="29"/>
      <c r="K170" s="21"/>
      <c r="L170" s="30" t="str">
        <f aca="false">IF(OR($J170="",$K170="",NOT(ISNUMBER($J170))),"",IF($K170="Maund",ROUND($J170*37.32,2),$J170))</f>
        <v/>
      </c>
      <c r="M170" s="22"/>
    </row>
    <row r="171" customFormat="false" ht="19.5" hidden="false" customHeight="true" outlineLevel="0" collapsed="false">
      <c r="B171" s="21"/>
      <c r="C171" s="21"/>
      <c r="D171" s="21"/>
      <c r="E171" s="21"/>
      <c r="F171" s="21"/>
      <c r="G171" s="29"/>
      <c r="H171" s="21"/>
      <c r="I171" s="30" t="str">
        <f aca="false">IF(OR($G171="",$H171="",NOT(ISNUMBER($G171))),"",IF($H171="Maund",ROUND($G171/37.32,2),$G171))</f>
        <v/>
      </c>
      <c r="J171" s="29"/>
      <c r="K171" s="21"/>
      <c r="L171" s="30" t="str">
        <f aca="false">IF(OR($J171="",$K171="",NOT(ISNUMBER($J171))),"",IF($K171="Maund",ROUND($J171*37.32,2),$J171))</f>
        <v/>
      </c>
      <c r="M171" s="22"/>
    </row>
    <row r="172" customFormat="false" ht="19.5" hidden="false" customHeight="true" outlineLevel="0" collapsed="false">
      <c r="B172" s="21"/>
      <c r="C172" s="21"/>
      <c r="D172" s="21"/>
      <c r="E172" s="21"/>
      <c r="F172" s="21"/>
      <c r="G172" s="29"/>
      <c r="H172" s="21"/>
      <c r="I172" s="30" t="str">
        <f aca="false">IF(OR($G172="",$H172="",NOT(ISNUMBER($G172))),"",IF($H172="Maund",ROUND($G172/37.32,2),$G172))</f>
        <v/>
      </c>
      <c r="J172" s="29"/>
      <c r="K172" s="21"/>
      <c r="L172" s="30" t="str">
        <f aca="false">IF(OR($J172="",$K172="",NOT(ISNUMBER($J172))),"",IF($K172="Maund",ROUND($J172*37.32,2),$J172))</f>
        <v/>
      </c>
      <c r="M172" s="22"/>
    </row>
    <row r="173" customFormat="false" ht="19.5" hidden="false" customHeight="true" outlineLevel="0" collapsed="false">
      <c r="B173" s="21"/>
      <c r="C173" s="21"/>
      <c r="D173" s="21"/>
      <c r="E173" s="21"/>
      <c r="F173" s="21"/>
      <c r="G173" s="29"/>
      <c r="H173" s="21"/>
      <c r="I173" s="30" t="str">
        <f aca="false">IF(OR($G173="",$H173="",NOT(ISNUMBER($G173))),"",IF($H173="Maund",ROUND($G173/37.32,2),$G173))</f>
        <v/>
      </c>
      <c r="J173" s="29"/>
      <c r="K173" s="21"/>
      <c r="L173" s="30" t="str">
        <f aca="false">IF(OR($J173="",$K173="",NOT(ISNUMBER($J173))),"",IF($K173="Maund",ROUND($J173*37.32,2),$J173))</f>
        <v/>
      </c>
      <c r="M173" s="22"/>
    </row>
    <row r="174" customFormat="false" ht="19.5" hidden="false" customHeight="true" outlineLevel="0" collapsed="false">
      <c r="B174" s="21"/>
      <c r="C174" s="21"/>
      <c r="D174" s="21"/>
      <c r="E174" s="21"/>
      <c r="F174" s="21"/>
      <c r="G174" s="29"/>
      <c r="H174" s="21"/>
      <c r="I174" s="30" t="str">
        <f aca="false">IF(OR($G174="",$H174="",NOT(ISNUMBER($G174))),"",IF($H174="Maund",ROUND($G174/37.32,2),$G174))</f>
        <v/>
      </c>
      <c r="J174" s="29"/>
      <c r="K174" s="21"/>
      <c r="L174" s="30" t="str">
        <f aca="false">IF(OR($J174="",$K174="",NOT(ISNUMBER($J174))),"",IF($K174="Maund",ROUND($J174*37.32,2),$J174))</f>
        <v/>
      </c>
      <c r="M174" s="22"/>
    </row>
    <row r="175" customFormat="false" ht="19.5" hidden="false" customHeight="true" outlineLevel="0" collapsed="false">
      <c r="B175" s="21"/>
      <c r="C175" s="21"/>
      <c r="D175" s="21"/>
      <c r="E175" s="21"/>
      <c r="F175" s="21"/>
      <c r="G175" s="29"/>
      <c r="H175" s="21"/>
      <c r="I175" s="30" t="str">
        <f aca="false">IF(OR($G175="",$H175="",NOT(ISNUMBER($G175))),"",IF($H175="Maund",ROUND($G175/37.32,2),$G175))</f>
        <v/>
      </c>
      <c r="J175" s="29"/>
      <c r="K175" s="21"/>
      <c r="L175" s="30" t="str">
        <f aca="false">IF(OR($J175="",$K175="",NOT(ISNUMBER($J175))),"",IF($K175="Maund",ROUND($J175*37.32,2),$J175))</f>
        <v/>
      </c>
      <c r="M175" s="22"/>
    </row>
    <row r="176" customFormat="false" ht="19.5" hidden="false" customHeight="true" outlineLevel="0" collapsed="false">
      <c r="B176" s="21"/>
      <c r="C176" s="21"/>
      <c r="D176" s="21"/>
      <c r="E176" s="21"/>
      <c r="F176" s="21"/>
      <c r="G176" s="29"/>
      <c r="H176" s="21"/>
      <c r="I176" s="30" t="str">
        <f aca="false">IF(OR($G176="",$H176="",NOT(ISNUMBER($G176))),"",IF($H176="Maund",ROUND($G176/37.32,2),$G176))</f>
        <v/>
      </c>
      <c r="J176" s="29"/>
      <c r="K176" s="21"/>
      <c r="L176" s="30" t="str">
        <f aca="false">IF(OR($J176="",$K176="",NOT(ISNUMBER($J176))),"",IF($K176="Maund",ROUND($J176*37.32,2),$J176))</f>
        <v/>
      </c>
      <c r="M176" s="22"/>
    </row>
    <row r="177" customFormat="false" ht="19.5" hidden="false" customHeight="true" outlineLevel="0" collapsed="false">
      <c r="B177" s="21"/>
      <c r="C177" s="21"/>
      <c r="D177" s="21"/>
      <c r="E177" s="21"/>
      <c r="F177" s="21"/>
      <c r="G177" s="29"/>
      <c r="H177" s="21"/>
      <c r="I177" s="30" t="str">
        <f aca="false">IF(OR($G177="",$H177="",NOT(ISNUMBER($G177))),"",IF($H177="Maund",ROUND($G177/37.32,2),$G177))</f>
        <v/>
      </c>
      <c r="J177" s="29"/>
      <c r="K177" s="21"/>
      <c r="L177" s="30" t="str">
        <f aca="false">IF(OR($J177="",$K177="",NOT(ISNUMBER($J177))),"",IF($K177="Maund",ROUND($J177*37.32,2),$J177))</f>
        <v/>
      </c>
      <c r="M177" s="22"/>
    </row>
    <row r="178" customFormat="false" ht="19.5" hidden="false" customHeight="true" outlineLevel="0" collapsed="false">
      <c r="B178" s="21"/>
      <c r="C178" s="21"/>
      <c r="D178" s="21"/>
      <c r="E178" s="21"/>
      <c r="F178" s="21"/>
      <c r="G178" s="29"/>
      <c r="H178" s="21"/>
      <c r="I178" s="30" t="str">
        <f aca="false">IF(OR($G178="",$H178="",NOT(ISNUMBER($G178))),"",IF($H178="Maund",ROUND($G178/37.32,2),$G178))</f>
        <v/>
      </c>
      <c r="J178" s="29"/>
      <c r="K178" s="21"/>
      <c r="L178" s="30" t="str">
        <f aca="false">IF(OR($J178="",$K178="",NOT(ISNUMBER($J178))),"",IF($K178="Maund",ROUND($J178*37.32,2),$J178))</f>
        <v/>
      </c>
      <c r="M178" s="22"/>
    </row>
    <row r="179" customFormat="false" ht="19.5" hidden="false" customHeight="true" outlineLevel="0" collapsed="false">
      <c r="B179" s="21"/>
      <c r="C179" s="21"/>
      <c r="D179" s="21"/>
      <c r="E179" s="21"/>
      <c r="F179" s="21"/>
      <c r="G179" s="29"/>
      <c r="H179" s="21"/>
      <c r="I179" s="30" t="str">
        <f aca="false">IF(OR($G179="",$H179="",NOT(ISNUMBER($G179))),"",IF($H179="Maund",ROUND($G179/37.32,2),$G179))</f>
        <v/>
      </c>
      <c r="J179" s="29"/>
      <c r="K179" s="21"/>
      <c r="L179" s="30" t="str">
        <f aca="false">IF(OR($J179="",$K179="",NOT(ISNUMBER($J179))),"",IF($K179="Maund",ROUND($J179*37.32,2),$J179))</f>
        <v/>
      </c>
      <c r="M179" s="22"/>
    </row>
    <row r="180" customFormat="false" ht="19.5" hidden="false" customHeight="true" outlineLevel="0" collapsed="false">
      <c r="B180" s="21"/>
      <c r="C180" s="21"/>
      <c r="D180" s="21"/>
      <c r="E180" s="21"/>
      <c r="F180" s="21"/>
      <c r="G180" s="29"/>
      <c r="H180" s="21"/>
      <c r="I180" s="30" t="str">
        <f aca="false">IF(OR($G180="",$H180="",NOT(ISNUMBER($G180))),"",IF($H180="Maund",ROUND($G180/37.32,2),$G180))</f>
        <v/>
      </c>
      <c r="J180" s="29"/>
      <c r="K180" s="21"/>
      <c r="L180" s="30" t="str">
        <f aca="false">IF(OR($J180="",$K180="",NOT(ISNUMBER($J180))),"",IF($K180="Maund",ROUND($J180*37.32,2),$J180))</f>
        <v/>
      </c>
      <c r="M180" s="22"/>
    </row>
    <row r="181" customFormat="false" ht="19.5" hidden="false" customHeight="true" outlineLevel="0" collapsed="false">
      <c r="B181" s="21"/>
      <c r="C181" s="21"/>
      <c r="D181" s="21"/>
      <c r="E181" s="21"/>
      <c r="F181" s="21"/>
      <c r="G181" s="29"/>
      <c r="H181" s="21"/>
      <c r="I181" s="30" t="str">
        <f aca="false">IF(OR($G181="",$H181="",NOT(ISNUMBER($G181))),"",IF($H181="Maund",ROUND($G181/37.32,2),$G181))</f>
        <v/>
      </c>
      <c r="J181" s="29"/>
      <c r="K181" s="21"/>
      <c r="L181" s="30" t="str">
        <f aca="false">IF(OR($J181="",$K181="",NOT(ISNUMBER($J181))),"",IF($K181="Maund",ROUND($J181*37.32,2),$J181))</f>
        <v/>
      </c>
      <c r="M181" s="22"/>
    </row>
    <row r="182" customFormat="false" ht="19.5" hidden="false" customHeight="true" outlineLevel="0" collapsed="false">
      <c r="B182" s="21"/>
      <c r="C182" s="21"/>
      <c r="D182" s="21"/>
      <c r="E182" s="21"/>
      <c r="F182" s="21"/>
      <c r="G182" s="29"/>
      <c r="H182" s="21"/>
      <c r="I182" s="30" t="str">
        <f aca="false">IF(OR($G182="",$H182="",NOT(ISNUMBER($G182))),"",IF($H182="Maund",ROUND($G182/37.32,2),$G182))</f>
        <v/>
      </c>
      <c r="J182" s="29"/>
      <c r="K182" s="21"/>
      <c r="L182" s="30" t="str">
        <f aca="false">IF(OR($J182="",$K182="",NOT(ISNUMBER($J182))),"",IF($K182="Maund",ROUND($J182*37.32,2),$J182))</f>
        <v/>
      </c>
      <c r="M182" s="22"/>
    </row>
    <row r="183" customFormat="false" ht="19.5" hidden="false" customHeight="true" outlineLevel="0" collapsed="false">
      <c r="B183" s="21"/>
      <c r="C183" s="21"/>
      <c r="D183" s="21"/>
      <c r="E183" s="21"/>
      <c r="F183" s="21"/>
      <c r="G183" s="29"/>
      <c r="H183" s="21"/>
      <c r="I183" s="30" t="str">
        <f aca="false">IF(OR($G183="",$H183="",NOT(ISNUMBER($G183))),"",IF($H183="Maund",ROUND($G183/37.32,2),$G183))</f>
        <v/>
      </c>
      <c r="J183" s="29"/>
      <c r="K183" s="21"/>
      <c r="L183" s="30" t="str">
        <f aca="false">IF(OR($J183="",$K183="",NOT(ISNUMBER($J183))),"",IF($K183="Maund",ROUND($J183*37.32,2),$J183))</f>
        <v/>
      </c>
      <c r="M183" s="22"/>
    </row>
    <row r="184" customFormat="false" ht="19.5" hidden="false" customHeight="true" outlineLevel="0" collapsed="false">
      <c r="B184" s="21"/>
      <c r="C184" s="21"/>
      <c r="D184" s="21"/>
      <c r="E184" s="21"/>
      <c r="F184" s="21"/>
      <c r="G184" s="29"/>
      <c r="H184" s="21"/>
      <c r="I184" s="30" t="str">
        <f aca="false">IF(OR($G184="",$H184="",NOT(ISNUMBER($G184))),"",IF($H184="Maund",ROUND($G184/37.32,2),$G184))</f>
        <v/>
      </c>
      <c r="J184" s="29"/>
      <c r="K184" s="21"/>
      <c r="L184" s="30" t="str">
        <f aca="false">IF(OR($J184="",$K184="",NOT(ISNUMBER($J184))),"",IF($K184="Maund",ROUND($J184*37.32,2),$J184))</f>
        <v/>
      </c>
      <c r="M184" s="22"/>
    </row>
    <row r="185" customFormat="false" ht="19.5" hidden="false" customHeight="true" outlineLevel="0" collapsed="false">
      <c r="B185" s="21"/>
      <c r="C185" s="21"/>
      <c r="D185" s="21"/>
      <c r="E185" s="21"/>
      <c r="F185" s="21"/>
      <c r="G185" s="29"/>
      <c r="H185" s="21"/>
      <c r="I185" s="30" t="str">
        <f aca="false">IF(OR($G185="",$H185="",NOT(ISNUMBER($G185))),"",IF($H185="Maund",ROUND($G185/37.32,2),$G185))</f>
        <v/>
      </c>
      <c r="J185" s="29"/>
      <c r="K185" s="21"/>
      <c r="L185" s="30" t="str">
        <f aca="false">IF(OR($J185="",$K185="",NOT(ISNUMBER($J185))),"",IF($K185="Maund",ROUND($J185*37.32,2),$J185))</f>
        <v/>
      </c>
      <c r="M185" s="22"/>
    </row>
    <row r="186" customFormat="false" ht="19.5" hidden="false" customHeight="true" outlineLevel="0" collapsed="false">
      <c r="B186" s="21"/>
      <c r="C186" s="21"/>
      <c r="D186" s="21"/>
      <c r="E186" s="21"/>
      <c r="F186" s="21"/>
      <c r="G186" s="29"/>
      <c r="H186" s="21"/>
      <c r="I186" s="30" t="str">
        <f aca="false">IF(OR($G186="",$H186="",NOT(ISNUMBER($G186))),"",IF($H186="Maund",ROUND($G186/37.32,2),$G186))</f>
        <v/>
      </c>
      <c r="J186" s="29"/>
      <c r="K186" s="21"/>
      <c r="L186" s="30" t="str">
        <f aca="false">IF(OR($J186="",$K186="",NOT(ISNUMBER($J186))),"",IF($K186="Maund",ROUND($J186*37.32,2),$J186))</f>
        <v/>
      </c>
      <c r="M186" s="22"/>
    </row>
    <row r="187" customFormat="false" ht="19.5" hidden="false" customHeight="true" outlineLevel="0" collapsed="false">
      <c r="B187" s="21"/>
      <c r="C187" s="21"/>
      <c r="D187" s="21"/>
      <c r="E187" s="21"/>
      <c r="F187" s="21"/>
      <c r="G187" s="29"/>
      <c r="H187" s="21"/>
      <c r="I187" s="30" t="str">
        <f aca="false">IF(OR($G187="",$H187="",NOT(ISNUMBER($G187))),"",IF($H187="Maund",ROUND($G187/37.32,2),$G187))</f>
        <v/>
      </c>
      <c r="J187" s="29"/>
      <c r="K187" s="21"/>
      <c r="L187" s="30" t="str">
        <f aca="false">IF(OR($J187="",$K187="",NOT(ISNUMBER($J187))),"",IF($K187="Maund",ROUND($J187*37.32,2),$J187))</f>
        <v/>
      </c>
      <c r="M187" s="22"/>
    </row>
    <row r="188" customFormat="false" ht="19.5" hidden="false" customHeight="true" outlineLevel="0" collapsed="false">
      <c r="B188" s="21"/>
      <c r="C188" s="21"/>
      <c r="D188" s="21"/>
      <c r="E188" s="21"/>
      <c r="F188" s="21"/>
      <c r="G188" s="29"/>
      <c r="H188" s="21"/>
      <c r="I188" s="30" t="str">
        <f aca="false">IF(OR($G188="",$H188="",NOT(ISNUMBER($G188))),"",IF($H188="Maund",ROUND($G188/37.32,2),$G188))</f>
        <v/>
      </c>
      <c r="J188" s="29"/>
      <c r="K188" s="21"/>
      <c r="L188" s="30" t="str">
        <f aca="false">IF(OR($J188="",$K188="",NOT(ISNUMBER($J188))),"",IF($K188="Maund",ROUND($J188*37.32,2),$J188))</f>
        <v/>
      </c>
      <c r="M188" s="22"/>
    </row>
    <row r="189" customFormat="false" ht="19.5" hidden="false" customHeight="true" outlineLevel="0" collapsed="false">
      <c r="B189" s="21"/>
      <c r="C189" s="21"/>
      <c r="D189" s="21"/>
      <c r="E189" s="21"/>
      <c r="F189" s="21"/>
      <c r="G189" s="29"/>
      <c r="H189" s="21"/>
      <c r="I189" s="30" t="str">
        <f aca="false">IF(OR($G189="",$H189="",NOT(ISNUMBER($G189))),"",IF($H189="Maund",ROUND($G189/37.32,2),$G189))</f>
        <v/>
      </c>
      <c r="J189" s="29"/>
      <c r="K189" s="21"/>
      <c r="L189" s="30" t="str">
        <f aca="false">IF(OR($J189="",$K189="",NOT(ISNUMBER($J189))),"",IF($K189="Maund",ROUND($J189*37.32,2),$J189))</f>
        <v/>
      </c>
      <c r="M189" s="22"/>
    </row>
    <row r="190" customFormat="false" ht="19.5" hidden="false" customHeight="true" outlineLevel="0" collapsed="false">
      <c r="B190" s="21"/>
      <c r="C190" s="21"/>
      <c r="D190" s="21"/>
      <c r="E190" s="21"/>
      <c r="F190" s="21"/>
      <c r="G190" s="29"/>
      <c r="H190" s="21"/>
      <c r="I190" s="30" t="str">
        <f aca="false">IF(OR($G190="",$H190="",NOT(ISNUMBER($G190))),"",IF($H190="Maund",ROUND($G190/37.32,2),$G190))</f>
        <v/>
      </c>
      <c r="J190" s="29"/>
      <c r="K190" s="21"/>
      <c r="L190" s="30" t="str">
        <f aca="false">IF(OR($J190="",$K190="",NOT(ISNUMBER($J190))),"",IF($K190="Maund",ROUND($J190*37.32,2),$J190))</f>
        <v/>
      </c>
      <c r="M190" s="22"/>
    </row>
    <row r="191" customFormat="false" ht="19.5" hidden="false" customHeight="true" outlineLevel="0" collapsed="false">
      <c r="B191" s="21"/>
      <c r="C191" s="21"/>
      <c r="D191" s="21"/>
      <c r="E191" s="21"/>
      <c r="F191" s="21"/>
      <c r="G191" s="29"/>
      <c r="H191" s="21"/>
      <c r="I191" s="30" t="str">
        <f aca="false">IF(OR($G191="",$H191="",NOT(ISNUMBER($G191))),"",IF($H191="Maund",ROUND($G191/37.32,2),$G191))</f>
        <v/>
      </c>
      <c r="J191" s="29"/>
      <c r="K191" s="21"/>
      <c r="L191" s="30" t="str">
        <f aca="false">IF(OR($J191="",$K191="",NOT(ISNUMBER($J191))),"",IF($K191="Maund",ROUND($J191*37.32,2),$J191))</f>
        <v/>
      </c>
      <c r="M191" s="22"/>
    </row>
    <row r="192" customFormat="false" ht="19.5" hidden="false" customHeight="true" outlineLevel="0" collapsed="false">
      <c r="B192" s="21"/>
      <c r="C192" s="21"/>
      <c r="D192" s="21"/>
      <c r="E192" s="21"/>
      <c r="F192" s="21"/>
      <c r="G192" s="29"/>
      <c r="H192" s="21"/>
      <c r="I192" s="30" t="str">
        <f aca="false">IF(OR($G192="",$H192="",NOT(ISNUMBER($G192))),"",IF($H192="Maund",ROUND($G192/37.32,2),$G192))</f>
        <v/>
      </c>
      <c r="J192" s="29"/>
      <c r="K192" s="21"/>
      <c r="L192" s="30" t="str">
        <f aca="false">IF(OR($J192="",$K192="",NOT(ISNUMBER($J192))),"",IF($K192="Maund",ROUND($J192*37.32,2),$J192))</f>
        <v/>
      </c>
      <c r="M192" s="22"/>
    </row>
    <row r="193" customFormat="false" ht="19.5" hidden="false" customHeight="true" outlineLevel="0" collapsed="false">
      <c r="B193" s="21"/>
      <c r="C193" s="21"/>
      <c r="D193" s="21"/>
      <c r="E193" s="21"/>
      <c r="F193" s="21"/>
      <c r="G193" s="29"/>
      <c r="H193" s="21"/>
      <c r="I193" s="30" t="str">
        <f aca="false">IF(OR($G193="",$H193="",NOT(ISNUMBER($G193))),"",IF($H193="Maund",ROUND($G193/37.32,2),$G193))</f>
        <v/>
      </c>
      <c r="J193" s="29"/>
      <c r="K193" s="21"/>
      <c r="L193" s="30" t="str">
        <f aca="false">IF(OR($J193="",$K193="",NOT(ISNUMBER($J193))),"",IF($K193="Maund",ROUND($J193*37.32,2),$J193))</f>
        <v/>
      </c>
      <c r="M193" s="22"/>
    </row>
    <row r="194" customFormat="false" ht="19.5" hidden="false" customHeight="true" outlineLevel="0" collapsed="false">
      <c r="B194" s="21"/>
      <c r="C194" s="21"/>
      <c r="D194" s="21"/>
      <c r="E194" s="21"/>
      <c r="F194" s="21"/>
      <c r="G194" s="29"/>
      <c r="H194" s="21"/>
      <c r="I194" s="30" t="str">
        <f aca="false">IF(OR($G194="",$H194="",NOT(ISNUMBER($G194))),"",IF($H194="Maund",ROUND($G194/37.32,2),$G194))</f>
        <v/>
      </c>
      <c r="J194" s="29"/>
      <c r="K194" s="21"/>
      <c r="L194" s="30" t="str">
        <f aca="false">IF(OR($J194="",$K194="",NOT(ISNUMBER($J194))),"",IF($K194="Maund",ROUND($J194*37.32,2),$J194))</f>
        <v/>
      </c>
      <c r="M194" s="22"/>
    </row>
    <row r="195" customFormat="false" ht="19.5" hidden="false" customHeight="true" outlineLevel="0" collapsed="false">
      <c r="B195" s="21"/>
      <c r="C195" s="21"/>
      <c r="D195" s="21"/>
      <c r="E195" s="21"/>
      <c r="F195" s="21"/>
      <c r="G195" s="29"/>
      <c r="H195" s="21"/>
      <c r="I195" s="30" t="str">
        <f aca="false">IF(OR($G195="",$H195="",NOT(ISNUMBER($G195))),"",IF($H195="Maund",ROUND($G195/37.32,2),$G195))</f>
        <v/>
      </c>
      <c r="J195" s="29"/>
      <c r="K195" s="21"/>
      <c r="L195" s="30" t="str">
        <f aca="false">IF(OR($J195="",$K195="",NOT(ISNUMBER($J195))),"",IF($K195="Maund",ROUND($J195*37.32,2),$J195))</f>
        <v/>
      </c>
      <c r="M195" s="22"/>
    </row>
    <row r="196" customFormat="false" ht="19.5" hidden="false" customHeight="true" outlineLevel="0" collapsed="false">
      <c r="B196" s="21"/>
      <c r="C196" s="21"/>
      <c r="D196" s="21"/>
      <c r="E196" s="21"/>
      <c r="F196" s="21"/>
      <c r="G196" s="29"/>
      <c r="H196" s="21"/>
      <c r="I196" s="30" t="str">
        <f aca="false">IF(OR($G196="",$H196="",NOT(ISNUMBER($G196))),"",IF($H196="Maund",ROUND($G196/37.32,2),$G196))</f>
        <v/>
      </c>
      <c r="J196" s="29"/>
      <c r="K196" s="21"/>
      <c r="L196" s="30" t="str">
        <f aca="false">IF(OR($J196="",$K196="",NOT(ISNUMBER($J196))),"",IF($K196="Maund",ROUND($J196*37.32,2),$J196))</f>
        <v/>
      </c>
      <c r="M196" s="22"/>
    </row>
    <row r="197" customFormat="false" ht="19.5" hidden="false" customHeight="true" outlineLevel="0" collapsed="false">
      <c r="B197" s="21"/>
      <c r="C197" s="21"/>
      <c r="D197" s="21"/>
      <c r="E197" s="21"/>
      <c r="F197" s="21"/>
      <c r="G197" s="29"/>
      <c r="H197" s="21"/>
      <c r="I197" s="30" t="str">
        <f aca="false">IF(OR($G197="",$H197="",NOT(ISNUMBER($G197))),"",IF($H197="Maund",ROUND($G197/37.32,2),$G197))</f>
        <v/>
      </c>
      <c r="J197" s="29"/>
      <c r="K197" s="21"/>
      <c r="L197" s="30" t="str">
        <f aca="false">IF(OR($J197="",$K197="",NOT(ISNUMBER($J197))),"",IF($K197="Maund",ROUND($J197*37.32,2),$J197))</f>
        <v/>
      </c>
      <c r="M197" s="22"/>
    </row>
    <row r="198" customFormat="false" ht="19.5" hidden="false" customHeight="true" outlineLevel="0" collapsed="false">
      <c r="B198" s="21"/>
      <c r="C198" s="21"/>
      <c r="D198" s="21"/>
      <c r="E198" s="21"/>
      <c r="F198" s="21"/>
      <c r="G198" s="29"/>
      <c r="H198" s="21"/>
      <c r="I198" s="30" t="str">
        <f aca="false">IF(OR($G198="",$H198="",NOT(ISNUMBER($G198))),"",IF($H198="Maund",ROUND($G198/37.32,2),$G198))</f>
        <v/>
      </c>
      <c r="J198" s="29"/>
      <c r="K198" s="21"/>
      <c r="L198" s="30" t="str">
        <f aca="false">IF(OR($J198="",$K198="",NOT(ISNUMBER($J198))),"",IF($K198="Maund",ROUND($J198*37.32,2),$J198))</f>
        <v/>
      </c>
      <c r="M198" s="22"/>
    </row>
    <row r="199" customFormat="false" ht="19.5" hidden="false" customHeight="true" outlineLevel="0" collapsed="false">
      <c r="B199" s="21"/>
      <c r="C199" s="21"/>
      <c r="D199" s="21"/>
      <c r="E199" s="21"/>
      <c r="F199" s="21"/>
      <c r="G199" s="29"/>
      <c r="H199" s="21"/>
      <c r="I199" s="30" t="str">
        <f aca="false">IF(OR($G199="",$H199="",NOT(ISNUMBER($G199))),"",IF($H199="Maund",ROUND($G199/37.32,2),$G199))</f>
        <v/>
      </c>
      <c r="J199" s="29"/>
      <c r="K199" s="21"/>
      <c r="L199" s="30" t="str">
        <f aca="false">IF(OR($J199="",$K199="",NOT(ISNUMBER($J199))),"",IF($K199="Maund",ROUND($J199*37.32,2),$J199))</f>
        <v/>
      </c>
      <c r="M199" s="22"/>
    </row>
    <row r="200" customFormat="false" ht="19.5" hidden="false" customHeight="true" outlineLevel="0" collapsed="false">
      <c r="B200" s="21"/>
      <c r="C200" s="21"/>
      <c r="D200" s="21"/>
      <c r="E200" s="21"/>
      <c r="F200" s="21"/>
      <c r="G200" s="29"/>
      <c r="H200" s="21"/>
      <c r="I200" s="30" t="str">
        <f aca="false">IF(OR($G200="",$H200="",NOT(ISNUMBER($G200))),"",IF($H200="Maund",ROUND($G200/37.32,2),$G200))</f>
        <v/>
      </c>
      <c r="J200" s="29"/>
      <c r="K200" s="21"/>
      <c r="L200" s="30" t="str">
        <f aca="false">IF(OR($J200="",$K200="",NOT(ISNUMBER($J200))),"",IF($K200="Maund",ROUND($J200*37.32,2),$J200))</f>
        <v/>
      </c>
      <c r="M200" s="22"/>
    </row>
    <row r="201" customFormat="false" ht="19.5" hidden="false" customHeight="true" outlineLevel="0" collapsed="false">
      <c r="B201" s="21"/>
      <c r="C201" s="21"/>
      <c r="D201" s="21"/>
      <c r="E201" s="21"/>
      <c r="F201" s="21"/>
      <c r="G201" s="29"/>
      <c r="H201" s="21"/>
      <c r="I201" s="30" t="str">
        <f aca="false">IF(OR($G201="",$H201="",NOT(ISNUMBER($G201))),"",IF($H201="Maund",ROUND($G201/37.32,2),$G201))</f>
        <v/>
      </c>
      <c r="J201" s="29"/>
      <c r="K201" s="21"/>
      <c r="L201" s="30" t="str">
        <f aca="false">IF(OR($J201="",$K201="",NOT(ISNUMBER($J201))),"",IF($K201="Maund",ROUND($J201*37.32,2),$J201))</f>
        <v/>
      </c>
      <c r="M201" s="22"/>
    </row>
    <row r="202" customFormat="false" ht="19.5" hidden="false" customHeight="true" outlineLevel="0" collapsed="false">
      <c r="B202" s="21"/>
      <c r="C202" s="21"/>
      <c r="D202" s="21"/>
      <c r="E202" s="21"/>
      <c r="F202" s="21"/>
      <c r="G202" s="29"/>
      <c r="H202" s="21"/>
      <c r="I202" s="30" t="str">
        <f aca="false">IF(OR($G202="",$H202="",NOT(ISNUMBER($G202))),"",IF($H202="Maund",ROUND($G202/37.32,2),$G202))</f>
        <v/>
      </c>
      <c r="J202" s="29"/>
      <c r="K202" s="21"/>
      <c r="L202" s="30" t="str">
        <f aca="false">IF(OR($J202="",$K202="",NOT(ISNUMBER($J202))),"",IF($K202="Maund",ROUND($J202*37.32,2),$J202))</f>
        <v/>
      </c>
      <c r="M202" s="22"/>
    </row>
    <row r="203" customFormat="false" ht="19.5" hidden="false" customHeight="true" outlineLevel="0" collapsed="false">
      <c r="B203" s="21"/>
      <c r="C203" s="21"/>
      <c r="D203" s="21"/>
      <c r="E203" s="21"/>
      <c r="F203" s="21"/>
      <c r="G203" s="29"/>
      <c r="H203" s="21"/>
      <c r="I203" s="30" t="str">
        <f aca="false">IF(OR($G203="",$H203="",NOT(ISNUMBER($G203))),"",IF($H203="Maund",ROUND($G203/37.32,2),$G203))</f>
        <v/>
      </c>
      <c r="J203" s="29"/>
      <c r="K203" s="21"/>
      <c r="L203" s="30" t="str">
        <f aca="false">IF(OR($J203="",$K203="",NOT(ISNUMBER($J203))),"",IF($K203="Maund",ROUND($J203*37.32,2),$J203))</f>
        <v/>
      </c>
      <c r="M203" s="22"/>
    </row>
    <row r="204" customFormat="false" ht="19.5" hidden="false" customHeight="true" outlineLevel="0" collapsed="false">
      <c r="B204" s="21"/>
      <c r="C204" s="21"/>
      <c r="D204" s="21"/>
      <c r="E204" s="21"/>
      <c r="F204" s="21"/>
      <c r="G204" s="29"/>
      <c r="H204" s="21"/>
      <c r="I204" s="30" t="str">
        <f aca="false">IF(OR($G204="",$H204="",NOT(ISNUMBER($G204))),"",IF($H204="Maund",ROUND($G204/37.32,2),$G204))</f>
        <v/>
      </c>
      <c r="J204" s="29"/>
      <c r="K204" s="21"/>
      <c r="L204" s="30" t="str">
        <f aca="false">IF(OR($J204="",$K204="",NOT(ISNUMBER($J204))),"",IF($K204="Maund",ROUND($J204*37.32,2),$J204))</f>
        <v/>
      </c>
      <c r="M204" s="22"/>
    </row>
    <row r="205" customFormat="false" ht="19.5" hidden="false" customHeight="true" outlineLevel="0" collapsed="false">
      <c r="B205" s="21"/>
      <c r="C205" s="21"/>
      <c r="D205" s="21"/>
      <c r="E205" s="21"/>
      <c r="F205" s="21"/>
      <c r="G205" s="29"/>
      <c r="H205" s="21"/>
      <c r="I205" s="30" t="str">
        <f aca="false">IF(OR($G205="",$H205="",NOT(ISNUMBER($G205))),"",IF($H205="Maund",ROUND($G205/37.32,2),$G205))</f>
        <v/>
      </c>
      <c r="J205" s="29"/>
      <c r="K205" s="21"/>
      <c r="L205" s="30" t="str">
        <f aca="false">IF(OR($J205="",$K205="",NOT(ISNUMBER($J205))),"",IF($K205="Maund",ROUND($J205*37.32,2),$J205))</f>
        <v/>
      </c>
      <c r="M205" s="22"/>
    </row>
    <row r="206" customFormat="false" ht="19.5" hidden="false" customHeight="true" outlineLevel="0" collapsed="false">
      <c r="B206" s="21"/>
      <c r="C206" s="21"/>
      <c r="D206" s="21"/>
      <c r="E206" s="21"/>
      <c r="F206" s="21"/>
      <c r="G206" s="29"/>
      <c r="H206" s="21"/>
      <c r="I206" s="30" t="str">
        <f aca="false">IF(OR($G206="",$H206="",NOT(ISNUMBER($G206))),"",IF($H206="Maund",ROUND($G206/37.32,2),$G206))</f>
        <v/>
      </c>
      <c r="J206" s="29"/>
      <c r="K206" s="21"/>
      <c r="L206" s="30" t="str">
        <f aca="false">IF(OR($J206="",$K206="",NOT(ISNUMBER($J206))),"",IF($K206="Maund",ROUND($J206*37.32,2),$J206))</f>
        <v/>
      </c>
      <c r="M206" s="22"/>
    </row>
    <row r="207" customFormat="false" ht="19.5" hidden="false" customHeight="true" outlineLevel="0" collapsed="false">
      <c r="B207" s="21"/>
      <c r="C207" s="21"/>
      <c r="D207" s="21"/>
      <c r="E207" s="21"/>
      <c r="F207" s="21"/>
      <c r="G207" s="29"/>
      <c r="H207" s="21"/>
      <c r="I207" s="30" t="str">
        <f aca="false">IF(OR($G207="",$H207="",NOT(ISNUMBER($G207))),"",IF($H207="Maund",ROUND($G207/37.32,2),$G207))</f>
        <v/>
      </c>
      <c r="J207" s="29"/>
      <c r="K207" s="21"/>
      <c r="L207" s="30" t="str">
        <f aca="false">IF(OR($J207="",$K207="",NOT(ISNUMBER($J207))),"",IF($K207="Maund",ROUND($J207*37.32,2),$J207))</f>
        <v/>
      </c>
      <c r="M207" s="22"/>
    </row>
    <row r="208" customFormat="false" ht="19.5" hidden="false" customHeight="true" outlineLevel="0" collapsed="false">
      <c r="B208" s="21"/>
      <c r="C208" s="21"/>
      <c r="D208" s="21"/>
      <c r="E208" s="21"/>
      <c r="F208" s="21"/>
      <c r="G208" s="29"/>
      <c r="H208" s="21"/>
      <c r="I208" s="30" t="str">
        <f aca="false">IF(OR($G208="",$H208="",NOT(ISNUMBER($G208))),"",IF($H208="Maund",ROUND($G208/37.32,2),$G208))</f>
        <v/>
      </c>
      <c r="J208" s="29"/>
      <c r="K208" s="21"/>
      <c r="L208" s="30" t="str">
        <f aca="false">IF(OR($J208="",$K208="",NOT(ISNUMBER($J208))),"",IF($K208="Maund",ROUND($J208*37.32,2),$J208))</f>
        <v/>
      </c>
      <c r="M208" s="22"/>
    </row>
    <row r="209" customFormat="false" ht="19.5" hidden="false" customHeight="true" outlineLevel="0" collapsed="false">
      <c r="B209" s="21"/>
      <c r="C209" s="21"/>
      <c r="D209" s="21"/>
      <c r="E209" s="21"/>
      <c r="F209" s="21"/>
      <c r="G209" s="29"/>
      <c r="H209" s="21"/>
      <c r="I209" s="30" t="str">
        <f aca="false">IF(OR($G209="",$H209="",NOT(ISNUMBER($G209))),"",IF($H209="Maund",ROUND($G209/37.32,2),$G209))</f>
        <v/>
      </c>
      <c r="J209" s="29"/>
      <c r="K209" s="21"/>
      <c r="L209" s="30" t="str">
        <f aca="false">IF(OR($J209="",$K209="",NOT(ISNUMBER($J209))),"",IF($K209="Maund",ROUND($J209*37.32,2),$J209))</f>
        <v/>
      </c>
      <c r="M209" s="22"/>
    </row>
    <row r="210" customFormat="false" ht="19.5" hidden="false" customHeight="true" outlineLevel="0" collapsed="false">
      <c r="B210" s="21"/>
      <c r="C210" s="21"/>
      <c r="D210" s="21"/>
      <c r="E210" s="21"/>
      <c r="F210" s="21"/>
      <c r="G210" s="29"/>
      <c r="H210" s="21"/>
      <c r="I210" s="30" t="str">
        <f aca="false">IF(OR($G210="",$H210="",NOT(ISNUMBER($G210))),"",IF($H210="Maund",ROUND($G210/37.32,2),$G210))</f>
        <v/>
      </c>
      <c r="J210" s="29"/>
      <c r="K210" s="21"/>
      <c r="L210" s="30" t="str">
        <f aca="false">IF(OR($J210="",$K210="",NOT(ISNUMBER($J210))),"",IF($K210="Maund",ROUND($J210*37.32,2),$J210))</f>
        <v/>
      </c>
      <c r="M210" s="22"/>
    </row>
    <row r="211" customFormat="false" ht="19.5" hidden="false" customHeight="true" outlineLevel="0" collapsed="false">
      <c r="B211" s="21"/>
      <c r="C211" s="21"/>
      <c r="D211" s="21"/>
      <c r="E211" s="21"/>
      <c r="F211" s="21"/>
      <c r="G211" s="29"/>
      <c r="H211" s="21"/>
      <c r="I211" s="30" t="str">
        <f aca="false">IF(OR($G211="",$H211="",NOT(ISNUMBER($G211))),"",IF($H211="Maund",ROUND($G211/37.32,2),$G211))</f>
        <v/>
      </c>
      <c r="J211" s="29"/>
      <c r="K211" s="21"/>
      <c r="L211" s="30" t="str">
        <f aca="false">IF(OR($J211="",$K211="",NOT(ISNUMBER($J211))),"",IF($K211="Maund",ROUND($J211*37.32,2),$J211))</f>
        <v/>
      </c>
      <c r="M211" s="22"/>
    </row>
    <row r="212" customFormat="false" ht="19.5" hidden="false" customHeight="true" outlineLevel="0" collapsed="false">
      <c r="B212" s="21"/>
      <c r="C212" s="21"/>
      <c r="D212" s="21"/>
      <c r="E212" s="21"/>
      <c r="F212" s="21"/>
      <c r="G212" s="29"/>
      <c r="H212" s="21"/>
      <c r="I212" s="30" t="str">
        <f aca="false">IF(OR($G212="",$H212="",NOT(ISNUMBER($G212))),"",IF($H212="Maund",ROUND($G212/37.32,2),$G212))</f>
        <v/>
      </c>
      <c r="J212" s="29"/>
      <c r="K212" s="21"/>
      <c r="L212" s="30" t="str">
        <f aca="false">IF(OR($J212="",$K212="",NOT(ISNUMBER($J212))),"",IF($K212="Maund",ROUND($J212*37.32,2),$J212))</f>
        <v/>
      </c>
      <c r="M212" s="22"/>
    </row>
    <row r="213" customFormat="false" ht="19.5" hidden="false" customHeight="true" outlineLevel="0" collapsed="false">
      <c r="B213" s="21"/>
      <c r="C213" s="21"/>
      <c r="D213" s="21"/>
      <c r="E213" s="21"/>
      <c r="F213" s="21"/>
      <c r="G213" s="29"/>
      <c r="H213" s="21"/>
      <c r="I213" s="30" t="str">
        <f aca="false">IF(OR($G213="",$H213="",NOT(ISNUMBER($G213))),"",IF($H213="Maund",ROUND($G213/37.32,2),$G213))</f>
        <v/>
      </c>
      <c r="J213" s="29"/>
      <c r="K213" s="21"/>
      <c r="L213" s="30" t="str">
        <f aca="false">IF(OR($J213="",$K213="",NOT(ISNUMBER($J213))),"",IF($K213="Maund",ROUND($J213*37.32,2),$J213))</f>
        <v/>
      </c>
      <c r="M213" s="22"/>
    </row>
    <row r="214" customFormat="false" ht="19.5" hidden="false" customHeight="true" outlineLevel="0" collapsed="false">
      <c r="B214" s="21"/>
      <c r="C214" s="21"/>
      <c r="D214" s="21"/>
      <c r="E214" s="21"/>
      <c r="F214" s="21"/>
      <c r="G214" s="29"/>
      <c r="H214" s="21"/>
      <c r="I214" s="30" t="str">
        <f aca="false">IF(OR($G214="",$H214="",NOT(ISNUMBER($G214))),"",IF($H214="Maund",ROUND($G214/37.32,2),$G214))</f>
        <v/>
      </c>
      <c r="J214" s="29"/>
      <c r="K214" s="21"/>
      <c r="L214" s="30" t="str">
        <f aca="false">IF(OR($J214="",$K214="",NOT(ISNUMBER($J214))),"",IF($K214="Maund",ROUND($J214*37.32,2),$J214))</f>
        <v/>
      </c>
      <c r="M214" s="22"/>
    </row>
    <row r="215" customFormat="false" ht="19.5" hidden="false" customHeight="true" outlineLevel="0" collapsed="false">
      <c r="B215" s="21"/>
      <c r="C215" s="21"/>
      <c r="D215" s="21"/>
      <c r="E215" s="21"/>
      <c r="F215" s="21"/>
      <c r="G215" s="29"/>
      <c r="H215" s="21"/>
      <c r="I215" s="30" t="str">
        <f aca="false">IF(OR($G215="",$H215="",NOT(ISNUMBER($G215))),"",IF($H215="Maund",ROUND($G215/37.32,2),$G215))</f>
        <v/>
      </c>
      <c r="J215" s="29"/>
      <c r="K215" s="21"/>
      <c r="L215" s="30" t="str">
        <f aca="false">IF(OR($J215="",$K215="",NOT(ISNUMBER($J215))),"",IF($K215="Maund",ROUND($J215*37.32,2),$J215))</f>
        <v/>
      </c>
      <c r="M215" s="22"/>
    </row>
    <row r="216" customFormat="false" ht="19.5" hidden="false" customHeight="true" outlineLevel="0" collapsed="false">
      <c r="B216" s="21"/>
      <c r="C216" s="21"/>
      <c r="D216" s="21"/>
      <c r="E216" s="21"/>
      <c r="F216" s="21"/>
      <c r="G216" s="29"/>
      <c r="H216" s="21"/>
      <c r="I216" s="30" t="str">
        <f aca="false">IF(OR($G216="",$H216="",NOT(ISNUMBER($G216))),"",IF($H216="Maund",ROUND($G216/37.32,2),$G216))</f>
        <v/>
      </c>
      <c r="J216" s="29"/>
      <c r="K216" s="21"/>
      <c r="L216" s="30" t="str">
        <f aca="false">IF(OR($J216="",$K216="",NOT(ISNUMBER($J216))),"",IF($K216="Maund",ROUND($J216*37.32,2),$J216))</f>
        <v/>
      </c>
      <c r="M216" s="22"/>
    </row>
    <row r="217" customFormat="false" ht="19.5" hidden="false" customHeight="true" outlineLevel="0" collapsed="false">
      <c r="B217" s="21"/>
      <c r="C217" s="21"/>
      <c r="D217" s="21"/>
      <c r="E217" s="21"/>
      <c r="F217" s="21"/>
      <c r="G217" s="29"/>
      <c r="H217" s="21"/>
      <c r="I217" s="30" t="str">
        <f aca="false">IF(OR($G217="",$H217="",NOT(ISNUMBER($G217))),"",IF($H217="Maund",ROUND($G217/37.32,2),$G217))</f>
        <v/>
      </c>
      <c r="J217" s="29"/>
      <c r="K217" s="21"/>
      <c r="L217" s="30" t="str">
        <f aca="false">IF(OR($J217="",$K217="",NOT(ISNUMBER($J217))),"",IF($K217="Maund",ROUND($J217*37.32,2),$J217))</f>
        <v/>
      </c>
      <c r="M217" s="22"/>
    </row>
    <row r="218" customFormat="false" ht="19.5" hidden="false" customHeight="true" outlineLevel="0" collapsed="false">
      <c r="B218" s="21"/>
      <c r="C218" s="21"/>
      <c r="D218" s="21"/>
      <c r="E218" s="21"/>
      <c r="F218" s="21"/>
      <c r="G218" s="29"/>
      <c r="H218" s="21"/>
      <c r="I218" s="30" t="str">
        <f aca="false">IF(OR($G218="",$H218="",NOT(ISNUMBER($G218))),"",IF($H218="Maund",ROUND($G218/37.32,2),$G218))</f>
        <v/>
      </c>
      <c r="J218" s="29"/>
      <c r="K218" s="21"/>
      <c r="L218" s="30" t="str">
        <f aca="false">IF(OR($J218="",$K218="",NOT(ISNUMBER($J218))),"",IF($K218="Maund",ROUND($J218*37.32,2),$J218))</f>
        <v/>
      </c>
      <c r="M218" s="22"/>
    </row>
    <row r="219" customFormat="false" ht="19.5" hidden="false" customHeight="true" outlineLevel="0" collapsed="false">
      <c r="B219" s="21"/>
      <c r="C219" s="21"/>
      <c r="D219" s="21"/>
      <c r="E219" s="21"/>
      <c r="F219" s="21"/>
      <c r="G219" s="29"/>
      <c r="H219" s="21"/>
      <c r="I219" s="30" t="str">
        <f aca="false">IF(OR($G219="",$H219="",NOT(ISNUMBER($G219))),"",IF($H219="Maund",ROUND($G219/37.32,2),$G219))</f>
        <v/>
      </c>
      <c r="J219" s="29"/>
      <c r="K219" s="21"/>
      <c r="L219" s="30" t="str">
        <f aca="false">IF(OR($J219="",$K219="",NOT(ISNUMBER($J219))),"",IF($K219="Maund",ROUND($J219*37.32,2),$J219))</f>
        <v/>
      </c>
      <c r="M219" s="22"/>
    </row>
    <row r="220" customFormat="false" ht="19.5" hidden="false" customHeight="true" outlineLevel="0" collapsed="false">
      <c r="B220" s="21"/>
      <c r="C220" s="21"/>
      <c r="D220" s="21"/>
      <c r="E220" s="21"/>
      <c r="F220" s="21"/>
      <c r="G220" s="29"/>
      <c r="H220" s="21"/>
      <c r="I220" s="30" t="str">
        <f aca="false">IF(OR($G220="",$H220="",NOT(ISNUMBER($G220))),"",IF($H220="Maund",ROUND($G220/37.32,2),$G220))</f>
        <v/>
      </c>
      <c r="J220" s="29"/>
      <c r="K220" s="21"/>
      <c r="L220" s="30" t="str">
        <f aca="false">IF(OR($J220="",$K220="",NOT(ISNUMBER($J220))),"",IF($K220="Maund",ROUND($J220*37.32,2),$J220))</f>
        <v/>
      </c>
      <c r="M220" s="22"/>
    </row>
    <row r="221" customFormat="false" ht="19.5" hidden="false" customHeight="true" outlineLevel="0" collapsed="false">
      <c r="B221" s="21"/>
      <c r="C221" s="21"/>
      <c r="D221" s="21"/>
      <c r="E221" s="21"/>
      <c r="F221" s="21"/>
      <c r="G221" s="29"/>
      <c r="H221" s="21"/>
      <c r="I221" s="30" t="str">
        <f aca="false">IF(OR($G221="",$H221="",NOT(ISNUMBER($G221))),"",IF($H221="Maund",ROUND($G221/37.32,2),$G221))</f>
        <v/>
      </c>
      <c r="J221" s="29"/>
      <c r="K221" s="21"/>
      <c r="L221" s="30" t="str">
        <f aca="false">IF(OR($J221="",$K221="",NOT(ISNUMBER($J221))),"",IF($K221="Maund",ROUND($J221*37.32,2),$J221))</f>
        <v/>
      </c>
      <c r="M221" s="22"/>
    </row>
    <row r="222" customFormat="false" ht="19.5" hidden="false" customHeight="true" outlineLevel="0" collapsed="false">
      <c r="B222" s="21"/>
      <c r="C222" s="21"/>
      <c r="D222" s="21"/>
      <c r="E222" s="21"/>
      <c r="F222" s="21"/>
      <c r="G222" s="29"/>
      <c r="H222" s="21"/>
      <c r="I222" s="30" t="str">
        <f aca="false">IF(OR($G222="",$H222="",NOT(ISNUMBER($G222))),"",IF($H222="Maund",ROUND($G222/37.32,2),$G222))</f>
        <v/>
      </c>
      <c r="J222" s="29"/>
      <c r="K222" s="21"/>
      <c r="L222" s="30" t="str">
        <f aca="false">IF(OR($J222="",$K222="",NOT(ISNUMBER($J222))),"",IF($K222="Maund",ROUND($J222*37.32,2),$J222))</f>
        <v/>
      </c>
      <c r="M222" s="22"/>
    </row>
    <row r="223" customFormat="false" ht="19.5" hidden="false" customHeight="true" outlineLevel="0" collapsed="false">
      <c r="B223" s="21"/>
      <c r="C223" s="21"/>
      <c r="D223" s="21"/>
      <c r="E223" s="21"/>
      <c r="F223" s="21"/>
      <c r="G223" s="29"/>
      <c r="H223" s="21"/>
      <c r="I223" s="30" t="str">
        <f aca="false">IF(OR($G223="",$H223="",NOT(ISNUMBER($G223))),"",IF($H223="Maund",ROUND($G223/37.32,2),$G223))</f>
        <v/>
      </c>
      <c r="J223" s="29"/>
      <c r="K223" s="21"/>
      <c r="L223" s="30" t="str">
        <f aca="false">IF(OR($J223="",$K223="",NOT(ISNUMBER($J223))),"",IF($K223="Maund",ROUND($J223*37.32,2),$J223))</f>
        <v/>
      </c>
      <c r="M223" s="22"/>
    </row>
    <row r="224" customFormat="false" ht="19.5" hidden="false" customHeight="true" outlineLevel="0" collapsed="false">
      <c r="B224" s="21"/>
      <c r="C224" s="21"/>
      <c r="D224" s="21"/>
      <c r="E224" s="21"/>
      <c r="F224" s="21"/>
      <c r="G224" s="29"/>
      <c r="H224" s="21"/>
      <c r="I224" s="30" t="str">
        <f aca="false">IF(OR($G224="",$H224="",NOT(ISNUMBER($G224))),"",IF($H224="Maund",ROUND($G224/37.32,2),$G224))</f>
        <v/>
      </c>
      <c r="J224" s="29"/>
      <c r="K224" s="21"/>
      <c r="L224" s="30" t="str">
        <f aca="false">IF(OR($J224="",$K224="",NOT(ISNUMBER($J224))),"",IF($K224="Maund",ROUND($J224*37.32,2),$J224))</f>
        <v/>
      </c>
      <c r="M224" s="22"/>
    </row>
    <row r="225" customFormat="false" ht="19.5" hidden="false" customHeight="true" outlineLevel="0" collapsed="false">
      <c r="B225" s="21"/>
      <c r="C225" s="21"/>
      <c r="D225" s="21"/>
      <c r="E225" s="21"/>
      <c r="F225" s="21"/>
      <c r="G225" s="29"/>
      <c r="H225" s="21"/>
      <c r="I225" s="30" t="str">
        <f aca="false">IF(OR($G225="",$H225="",NOT(ISNUMBER($G225))),"",IF($H225="Maund",ROUND($G225/37.32,2),$G225))</f>
        <v/>
      </c>
      <c r="J225" s="29"/>
      <c r="K225" s="21"/>
      <c r="L225" s="30" t="str">
        <f aca="false">IF(OR($J225="",$K225="",NOT(ISNUMBER($J225))),"",IF($K225="Maund",ROUND($J225*37.32,2),$J225))</f>
        <v/>
      </c>
      <c r="M225" s="22"/>
    </row>
    <row r="226" customFormat="false" ht="19.5" hidden="false" customHeight="true" outlineLevel="0" collapsed="false">
      <c r="B226" s="21"/>
      <c r="C226" s="21"/>
      <c r="D226" s="21"/>
      <c r="E226" s="21"/>
      <c r="F226" s="21"/>
      <c r="G226" s="29"/>
      <c r="H226" s="21"/>
      <c r="I226" s="30" t="str">
        <f aca="false">IF(OR($G226="",$H226="",NOT(ISNUMBER($G226))),"",IF($H226="Maund",ROUND($G226/37.32,2),$G226))</f>
        <v/>
      </c>
      <c r="J226" s="29"/>
      <c r="K226" s="21"/>
      <c r="L226" s="30" t="str">
        <f aca="false">IF(OR($J226="",$K226="",NOT(ISNUMBER($J226))),"",IF($K226="Maund",ROUND($J226*37.32,2),$J226))</f>
        <v/>
      </c>
      <c r="M226" s="22"/>
    </row>
    <row r="227" customFormat="false" ht="19.5" hidden="false" customHeight="true" outlineLevel="0" collapsed="false">
      <c r="B227" s="21"/>
      <c r="C227" s="21"/>
      <c r="D227" s="21"/>
      <c r="E227" s="21"/>
      <c r="F227" s="21"/>
      <c r="G227" s="29"/>
      <c r="H227" s="21"/>
      <c r="I227" s="30" t="str">
        <f aca="false">IF(OR($G227="",$H227="",NOT(ISNUMBER($G227))),"",IF($H227="Maund",ROUND($G227/37.32,2),$G227))</f>
        <v/>
      </c>
      <c r="J227" s="29"/>
      <c r="K227" s="21"/>
      <c r="L227" s="30" t="str">
        <f aca="false">IF(OR($J227="",$K227="",NOT(ISNUMBER($J227))),"",IF($K227="Maund",ROUND($J227*37.32,2),$J227))</f>
        <v/>
      </c>
      <c r="M227" s="22"/>
    </row>
    <row r="228" customFormat="false" ht="19.5" hidden="false" customHeight="true" outlineLevel="0" collapsed="false">
      <c r="B228" s="21"/>
      <c r="C228" s="21"/>
      <c r="D228" s="21"/>
      <c r="E228" s="21"/>
      <c r="F228" s="21"/>
      <c r="G228" s="29"/>
      <c r="H228" s="21"/>
      <c r="I228" s="30" t="str">
        <f aca="false">IF(OR($G228="",$H228="",NOT(ISNUMBER($G228))),"",IF($H228="Maund",ROUND($G228/37.32,2),$G228))</f>
        <v/>
      </c>
      <c r="J228" s="29"/>
      <c r="K228" s="21"/>
      <c r="L228" s="30" t="str">
        <f aca="false">IF(OR($J228="",$K228="",NOT(ISNUMBER($J228))),"",IF($K228="Maund",ROUND($J228*37.32,2),$J228))</f>
        <v/>
      </c>
      <c r="M228" s="22"/>
    </row>
    <row r="229" customFormat="false" ht="19.5" hidden="false" customHeight="true" outlineLevel="0" collapsed="false">
      <c r="B229" s="21"/>
      <c r="C229" s="21"/>
      <c r="D229" s="21"/>
      <c r="E229" s="21"/>
      <c r="F229" s="21"/>
      <c r="G229" s="29"/>
      <c r="H229" s="21"/>
      <c r="I229" s="30" t="str">
        <f aca="false">IF(OR($G229="",$H229="",NOT(ISNUMBER($G229))),"",IF($H229="Maund",ROUND($G229/37.32,2),$G229))</f>
        <v/>
      </c>
      <c r="J229" s="29"/>
      <c r="K229" s="21"/>
      <c r="L229" s="30" t="str">
        <f aca="false">IF(OR($J229="",$K229="",NOT(ISNUMBER($J229))),"",IF($K229="Maund",ROUND($J229*37.32,2),$J229))</f>
        <v/>
      </c>
      <c r="M229" s="22"/>
    </row>
    <row r="230" customFormat="false" ht="19.5" hidden="false" customHeight="true" outlineLevel="0" collapsed="false">
      <c r="B230" s="21"/>
      <c r="C230" s="21"/>
      <c r="D230" s="21"/>
      <c r="E230" s="21"/>
      <c r="F230" s="21"/>
      <c r="G230" s="29"/>
      <c r="H230" s="21"/>
      <c r="I230" s="30" t="str">
        <f aca="false">IF(OR($G230="",$H230="",NOT(ISNUMBER($G230))),"",IF($H230="Maund",ROUND($G230/37.32,2),$G230))</f>
        <v/>
      </c>
      <c r="J230" s="29"/>
      <c r="K230" s="21"/>
      <c r="L230" s="30" t="str">
        <f aca="false">IF(OR($J230="",$K230="",NOT(ISNUMBER($J230))),"",IF($K230="Maund",ROUND($J230*37.32,2),$J230))</f>
        <v/>
      </c>
      <c r="M230" s="22"/>
    </row>
    <row r="231" customFormat="false" ht="19.5" hidden="false" customHeight="true" outlineLevel="0" collapsed="false">
      <c r="B231" s="21"/>
      <c r="C231" s="21"/>
      <c r="D231" s="21"/>
      <c r="E231" s="21"/>
      <c r="F231" s="21"/>
      <c r="G231" s="29"/>
      <c r="H231" s="21"/>
      <c r="I231" s="30" t="str">
        <f aca="false">IF(OR($G231="",$H231="",NOT(ISNUMBER($G231))),"",IF($H231="Maund",ROUND($G231/37.32,2),$G231))</f>
        <v/>
      </c>
      <c r="J231" s="29"/>
      <c r="K231" s="21"/>
      <c r="L231" s="30" t="str">
        <f aca="false">IF(OR($J231="",$K231="",NOT(ISNUMBER($J231))),"",IF($K231="Maund",ROUND($J231*37.32,2),$J231))</f>
        <v/>
      </c>
      <c r="M231" s="22"/>
    </row>
    <row r="232" customFormat="false" ht="19.5" hidden="false" customHeight="true" outlineLevel="0" collapsed="false">
      <c r="B232" s="21"/>
      <c r="C232" s="21"/>
      <c r="D232" s="21"/>
      <c r="E232" s="21"/>
      <c r="F232" s="21"/>
      <c r="G232" s="29"/>
      <c r="H232" s="21"/>
      <c r="I232" s="30" t="str">
        <f aca="false">IF(OR($G232="",$H232="",NOT(ISNUMBER($G232))),"",IF($H232="Maund",ROUND($G232/37.32,2),$G232))</f>
        <v/>
      </c>
      <c r="J232" s="29"/>
      <c r="K232" s="21"/>
      <c r="L232" s="30" t="str">
        <f aca="false">IF(OR($J232="",$K232="",NOT(ISNUMBER($J232))),"",IF($K232="Maund",ROUND($J232*37.32,2),$J232))</f>
        <v/>
      </c>
      <c r="M232" s="22"/>
    </row>
    <row r="233" customFormat="false" ht="19.5" hidden="false" customHeight="true" outlineLevel="0" collapsed="false">
      <c r="B233" s="21"/>
      <c r="C233" s="21"/>
      <c r="D233" s="21"/>
      <c r="E233" s="21"/>
      <c r="F233" s="21"/>
      <c r="G233" s="29"/>
      <c r="H233" s="21"/>
      <c r="I233" s="30" t="str">
        <f aca="false">IF(OR($G233="",$H233="",NOT(ISNUMBER($G233))),"",IF($H233="Maund",ROUND($G233/37.32,2),$G233))</f>
        <v/>
      </c>
      <c r="J233" s="29"/>
      <c r="K233" s="21"/>
      <c r="L233" s="30" t="str">
        <f aca="false">IF(OR($J233="",$K233="",NOT(ISNUMBER($J233))),"",IF($K233="Maund",ROUND($J233*37.32,2),$J233))</f>
        <v/>
      </c>
      <c r="M233" s="22"/>
    </row>
    <row r="234" customFormat="false" ht="19.5" hidden="false" customHeight="true" outlineLevel="0" collapsed="false">
      <c r="B234" s="21"/>
      <c r="C234" s="21"/>
      <c r="D234" s="21"/>
      <c r="E234" s="21"/>
      <c r="F234" s="21"/>
      <c r="G234" s="29"/>
      <c r="H234" s="21"/>
      <c r="I234" s="30" t="str">
        <f aca="false">IF(OR($G234="",$H234="",NOT(ISNUMBER($G234))),"",IF($H234="Maund",ROUND($G234/37.32,2),$G234))</f>
        <v/>
      </c>
      <c r="J234" s="29"/>
      <c r="K234" s="21"/>
      <c r="L234" s="30" t="str">
        <f aca="false">IF(OR($J234="",$K234="",NOT(ISNUMBER($J234))),"",IF($K234="Maund",ROUND($J234*37.32,2),$J234))</f>
        <v/>
      </c>
      <c r="M234" s="22"/>
    </row>
    <row r="235" customFormat="false" ht="19.5" hidden="false" customHeight="true" outlineLevel="0" collapsed="false">
      <c r="B235" s="21"/>
      <c r="C235" s="21"/>
      <c r="D235" s="21"/>
      <c r="E235" s="21"/>
      <c r="F235" s="21"/>
      <c r="G235" s="29"/>
      <c r="H235" s="21"/>
      <c r="I235" s="30" t="str">
        <f aca="false">IF(OR($G235="",$H235="",NOT(ISNUMBER($G235))),"",IF($H235="Maund",ROUND($G235/37.32,2),$G235))</f>
        <v/>
      </c>
      <c r="J235" s="29"/>
      <c r="K235" s="21"/>
      <c r="L235" s="30" t="str">
        <f aca="false">IF(OR($J235="",$K235="",NOT(ISNUMBER($J235))),"",IF($K235="Maund",ROUND($J235*37.32,2),$J235))</f>
        <v/>
      </c>
      <c r="M235" s="22"/>
    </row>
    <row r="236" customFormat="false" ht="19.5" hidden="false" customHeight="true" outlineLevel="0" collapsed="false">
      <c r="B236" s="21"/>
      <c r="C236" s="21"/>
      <c r="D236" s="21"/>
      <c r="E236" s="21"/>
      <c r="F236" s="21"/>
      <c r="G236" s="29"/>
      <c r="H236" s="21"/>
      <c r="I236" s="30" t="str">
        <f aca="false">IF(OR($G236="",$H236="",NOT(ISNUMBER($G236))),"",IF($H236="Maund",ROUND($G236/37.32,2),$G236))</f>
        <v/>
      </c>
      <c r="J236" s="29"/>
      <c r="K236" s="21"/>
      <c r="L236" s="30" t="str">
        <f aca="false">IF(OR($J236="",$K236="",NOT(ISNUMBER($J236))),"",IF($K236="Maund",ROUND($J236*37.32,2),$J236))</f>
        <v/>
      </c>
      <c r="M236" s="22"/>
    </row>
    <row r="237" customFormat="false" ht="19.5" hidden="false" customHeight="true" outlineLevel="0" collapsed="false">
      <c r="B237" s="21"/>
      <c r="C237" s="21"/>
      <c r="D237" s="21"/>
      <c r="E237" s="21"/>
      <c r="F237" s="21"/>
      <c r="G237" s="29"/>
      <c r="H237" s="21"/>
      <c r="I237" s="30" t="str">
        <f aca="false">IF(OR($G237="",$H237="",NOT(ISNUMBER($G237))),"",IF($H237="Maund",ROUND($G237/37.32,2),$G237))</f>
        <v/>
      </c>
      <c r="J237" s="29"/>
      <c r="K237" s="21"/>
      <c r="L237" s="30" t="str">
        <f aca="false">IF(OR($J237="",$K237="",NOT(ISNUMBER($J237))),"",IF($K237="Maund",ROUND($J237*37.32,2),$J237))</f>
        <v/>
      </c>
      <c r="M237" s="22"/>
    </row>
    <row r="238" customFormat="false" ht="19.5" hidden="false" customHeight="true" outlineLevel="0" collapsed="false">
      <c r="B238" s="21"/>
      <c r="C238" s="21"/>
      <c r="D238" s="21"/>
      <c r="E238" s="21"/>
      <c r="F238" s="21"/>
      <c r="G238" s="29"/>
      <c r="H238" s="21"/>
      <c r="I238" s="30" t="str">
        <f aca="false">IF(OR($G238="",$H238="",NOT(ISNUMBER($G238))),"",IF($H238="Maund",ROUND($G238/37.32,2),$G238))</f>
        <v/>
      </c>
      <c r="J238" s="29"/>
      <c r="K238" s="21"/>
      <c r="L238" s="30" t="str">
        <f aca="false">IF(OR($J238="",$K238="",NOT(ISNUMBER($J238))),"",IF($K238="Maund",ROUND($J238*37.32,2),$J238))</f>
        <v/>
      </c>
      <c r="M238" s="22"/>
    </row>
    <row r="239" customFormat="false" ht="19.5" hidden="false" customHeight="true" outlineLevel="0" collapsed="false">
      <c r="B239" s="21"/>
      <c r="C239" s="21"/>
      <c r="D239" s="21"/>
      <c r="E239" s="21"/>
      <c r="F239" s="21"/>
      <c r="G239" s="29"/>
      <c r="H239" s="21"/>
      <c r="I239" s="30" t="str">
        <f aca="false">IF(OR($G239="",$H239="",NOT(ISNUMBER($G239))),"",IF($H239="Maund",ROUND($G239/37.32,2),$G239))</f>
        <v/>
      </c>
      <c r="J239" s="29"/>
      <c r="K239" s="21"/>
      <c r="L239" s="30" t="str">
        <f aca="false">IF(OR($J239="",$K239="",NOT(ISNUMBER($J239))),"",IF($K239="Maund",ROUND($J239*37.32,2),$J239))</f>
        <v/>
      </c>
      <c r="M239" s="22"/>
    </row>
    <row r="240" customFormat="false" ht="19.5" hidden="false" customHeight="true" outlineLevel="0" collapsed="false">
      <c r="B240" s="21"/>
      <c r="C240" s="21"/>
      <c r="D240" s="21"/>
      <c r="E240" s="21"/>
      <c r="F240" s="21"/>
      <c r="G240" s="29"/>
      <c r="H240" s="21"/>
      <c r="I240" s="30" t="str">
        <f aca="false">IF(OR($G240="",$H240="",NOT(ISNUMBER($G240))),"",IF($H240="Maund",ROUND($G240/37.32,2),$G240))</f>
        <v/>
      </c>
      <c r="J240" s="29"/>
      <c r="K240" s="21"/>
      <c r="L240" s="30" t="str">
        <f aca="false">IF(OR($J240="",$K240="",NOT(ISNUMBER($J240))),"",IF($K240="Maund",ROUND($J240*37.32,2),$J240))</f>
        <v/>
      </c>
      <c r="M240" s="22"/>
    </row>
    <row r="241" customFormat="false" ht="19.5" hidden="false" customHeight="true" outlineLevel="0" collapsed="false">
      <c r="B241" s="21"/>
      <c r="C241" s="21"/>
      <c r="D241" s="21"/>
      <c r="E241" s="21"/>
      <c r="F241" s="21"/>
      <c r="G241" s="29"/>
      <c r="H241" s="21"/>
      <c r="I241" s="30" t="str">
        <f aca="false">IF(OR($G241="",$H241="",NOT(ISNUMBER($G241))),"",IF($H241="Maund",ROUND($G241/37.32,2),$G241))</f>
        <v/>
      </c>
      <c r="J241" s="29"/>
      <c r="K241" s="21"/>
      <c r="L241" s="30" t="str">
        <f aca="false">IF(OR($J241="",$K241="",NOT(ISNUMBER($J241))),"",IF($K241="Maund",ROUND($J241*37.32,2),$J241))</f>
        <v/>
      </c>
      <c r="M241" s="22"/>
    </row>
    <row r="242" customFormat="false" ht="19.5" hidden="false" customHeight="true" outlineLevel="0" collapsed="false">
      <c r="B242" s="21"/>
      <c r="C242" s="21"/>
      <c r="D242" s="21"/>
      <c r="E242" s="21"/>
      <c r="F242" s="21"/>
      <c r="G242" s="29"/>
      <c r="H242" s="21"/>
      <c r="I242" s="30" t="str">
        <f aca="false">IF(OR($G242="",$H242="",NOT(ISNUMBER($G242))),"",IF($H242="Maund",ROUND($G242/37.32,2),$G242))</f>
        <v/>
      </c>
      <c r="J242" s="29"/>
      <c r="K242" s="21"/>
      <c r="L242" s="30" t="str">
        <f aca="false">IF(OR($J242="",$K242="",NOT(ISNUMBER($J242))),"",IF($K242="Maund",ROUND($J242*37.32,2),$J242))</f>
        <v/>
      </c>
      <c r="M242" s="22"/>
    </row>
    <row r="243" customFormat="false" ht="19.5" hidden="false" customHeight="true" outlineLevel="0" collapsed="false">
      <c r="B243" s="21"/>
      <c r="C243" s="21"/>
      <c r="D243" s="21"/>
      <c r="E243" s="21"/>
      <c r="F243" s="21"/>
      <c r="G243" s="29"/>
      <c r="H243" s="21"/>
      <c r="I243" s="30" t="str">
        <f aca="false">IF(OR($G243="",$H243="",NOT(ISNUMBER($G243))),"",IF($H243="Maund",ROUND($G243/37.32,2),$G243))</f>
        <v/>
      </c>
      <c r="J243" s="29"/>
      <c r="K243" s="21"/>
      <c r="L243" s="30" t="str">
        <f aca="false">IF(OR($J243="",$K243="",NOT(ISNUMBER($J243))),"",IF($K243="Maund",ROUND($J243*37.32,2),$J243))</f>
        <v/>
      </c>
      <c r="M243" s="22"/>
    </row>
    <row r="244" customFormat="false" ht="19.5" hidden="false" customHeight="true" outlineLevel="0" collapsed="false">
      <c r="B244" s="21"/>
      <c r="C244" s="21"/>
      <c r="D244" s="21"/>
      <c r="E244" s="21"/>
      <c r="F244" s="21"/>
      <c r="G244" s="29"/>
      <c r="H244" s="21"/>
      <c r="I244" s="30" t="str">
        <f aca="false">IF(OR($G244="",$H244="",NOT(ISNUMBER($G244))),"",IF($H244="Maund",ROUND($G244/37.32,2),$G244))</f>
        <v/>
      </c>
      <c r="J244" s="29"/>
      <c r="K244" s="21"/>
      <c r="L244" s="30" t="str">
        <f aca="false">IF(OR($J244="",$K244="",NOT(ISNUMBER($J244))),"",IF($K244="Maund",ROUND($J244*37.32,2),$J244))</f>
        <v/>
      </c>
      <c r="M244" s="22"/>
    </row>
    <row r="245" customFormat="false" ht="19.5" hidden="false" customHeight="true" outlineLevel="0" collapsed="false">
      <c r="B245" s="21"/>
      <c r="C245" s="21"/>
      <c r="D245" s="21"/>
      <c r="E245" s="21"/>
      <c r="F245" s="21"/>
      <c r="G245" s="29"/>
      <c r="H245" s="21"/>
      <c r="I245" s="30" t="str">
        <f aca="false">IF(OR($G245="",$H245="",NOT(ISNUMBER($G245))),"",IF($H245="Maund",ROUND($G245/37.32,2),$G245))</f>
        <v/>
      </c>
      <c r="J245" s="29"/>
      <c r="K245" s="21"/>
      <c r="L245" s="30" t="str">
        <f aca="false">IF(OR($J245="",$K245="",NOT(ISNUMBER($J245))),"",IF($K245="Maund",ROUND($J245*37.32,2),$J245))</f>
        <v/>
      </c>
      <c r="M245" s="22"/>
    </row>
    <row r="246" customFormat="false" ht="19.5" hidden="false" customHeight="true" outlineLevel="0" collapsed="false">
      <c r="B246" s="21"/>
      <c r="C246" s="21"/>
      <c r="D246" s="21"/>
      <c r="E246" s="21"/>
      <c r="F246" s="21"/>
      <c r="G246" s="29"/>
      <c r="H246" s="21"/>
      <c r="I246" s="30" t="str">
        <f aca="false">IF(OR($G246="",$H246="",NOT(ISNUMBER($G246))),"",IF($H246="Maund",ROUND($G246/37.32,2),$G246))</f>
        <v/>
      </c>
      <c r="J246" s="29"/>
      <c r="K246" s="21"/>
      <c r="L246" s="30" t="str">
        <f aca="false">IF(OR($J246="",$K246="",NOT(ISNUMBER($J246))),"",IF($K246="Maund",ROUND($J246*37.32,2),$J246))</f>
        <v/>
      </c>
      <c r="M246" s="22"/>
    </row>
    <row r="247" customFormat="false" ht="19.5" hidden="false" customHeight="true" outlineLevel="0" collapsed="false">
      <c r="B247" s="21"/>
      <c r="C247" s="21"/>
      <c r="D247" s="21"/>
      <c r="E247" s="21"/>
      <c r="F247" s="21"/>
      <c r="G247" s="29"/>
      <c r="H247" s="21"/>
      <c r="I247" s="30" t="str">
        <f aca="false">IF(OR($G247="",$H247="",NOT(ISNUMBER($G247))),"",IF($H247="Maund",ROUND($G247/37.32,2),$G247))</f>
        <v/>
      </c>
      <c r="J247" s="29"/>
      <c r="K247" s="21"/>
      <c r="L247" s="30" t="str">
        <f aca="false">IF(OR($J247="",$K247="",NOT(ISNUMBER($J247))),"",IF($K247="Maund",ROUND($J247*37.32,2),$J247))</f>
        <v/>
      </c>
      <c r="M247" s="22"/>
    </row>
    <row r="248" customFormat="false" ht="19.5" hidden="false" customHeight="true" outlineLevel="0" collapsed="false">
      <c r="B248" s="21"/>
      <c r="C248" s="21"/>
      <c r="D248" s="21"/>
      <c r="E248" s="21"/>
      <c r="F248" s="21"/>
      <c r="G248" s="29"/>
      <c r="H248" s="21"/>
      <c r="I248" s="30" t="str">
        <f aca="false">IF(OR($G248="",$H248="",NOT(ISNUMBER($G248))),"",IF($H248="Maund",ROUND($G248/37.32,2),$G248))</f>
        <v/>
      </c>
      <c r="J248" s="29"/>
      <c r="K248" s="21"/>
      <c r="L248" s="30" t="str">
        <f aca="false">IF(OR($J248="",$K248="",NOT(ISNUMBER($J248))),"",IF($K248="Maund",ROUND($J248*37.32,2),$J248))</f>
        <v/>
      </c>
      <c r="M248" s="22"/>
    </row>
    <row r="249" customFormat="false" ht="19.5" hidden="false" customHeight="true" outlineLevel="0" collapsed="false">
      <c r="B249" s="21"/>
      <c r="C249" s="21"/>
      <c r="D249" s="21"/>
      <c r="E249" s="21"/>
      <c r="F249" s="21"/>
      <c r="G249" s="29"/>
      <c r="H249" s="21"/>
      <c r="I249" s="30" t="str">
        <f aca="false">IF(OR($G249="",$H249="",NOT(ISNUMBER($G249))),"",IF($H249="Maund",ROUND($G249/37.32,2),$G249))</f>
        <v/>
      </c>
      <c r="J249" s="29"/>
      <c r="K249" s="21"/>
      <c r="L249" s="30" t="str">
        <f aca="false">IF(OR($J249="",$K249="",NOT(ISNUMBER($J249))),"",IF($K249="Maund",ROUND($J249*37.32,2),$J249))</f>
        <v/>
      </c>
      <c r="M249" s="22"/>
    </row>
    <row r="250" customFormat="false" ht="19.5" hidden="false" customHeight="true" outlineLevel="0" collapsed="false">
      <c r="B250" s="21"/>
      <c r="C250" s="21"/>
      <c r="D250" s="21"/>
      <c r="E250" s="21"/>
      <c r="F250" s="21"/>
      <c r="G250" s="29"/>
      <c r="H250" s="21"/>
      <c r="I250" s="30" t="str">
        <f aca="false">IF(OR($G250="",$H250="",NOT(ISNUMBER($G250))),"",IF($H250="Maund",ROUND($G250/37.32,2),$G250))</f>
        <v/>
      </c>
      <c r="J250" s="29"/>
      <c r="K250" s="21"/>
      <c r="L250" s="30" t="str">
        <f aca="false">IF(OR($J250="",$K250="",NOT(ISNUMBER($J250))),"",IF($K250="Maund",ROUND($J250*37.32,2),$J250))</f>
        <v/>
      </c>
      <c r="M250" s="22"/>
    </row>
    <row r="251" customFormat="false" ht="19.5" hidden="false" customHeight="true" outlineLevel="0" collapsed="false">
      <c r="B251" s="21"/>
      <c r="C251" s="21"/>
      <c r="D251" s="21"/>
      <c r="E251" s="21"/>
      <c r="F251" s="21"/>
      <c r="G251" s="29"/>
      <c r="H251" s="21"/>
      <c r="I251" s="30" t="str">
        <f aca="false">IF(OR($G251="",$H251="",NOT(ISNUMBER($G251))),"",IF($H251="Maund",ROUND($G251/37.32,2),$G251))</f>
        <v/>
      </c>
      <c r="J251" s="29"/>
      <c r="K251" s="21"/>
      <c r="L251" s="30" t="str">
        <f aca="false">IF(OR($J251="",$K251="",NOT(ISNUMBER($J251))),"",IF($K251="Maund",ROUND($J251*37.32,2),$J251))</f>
        <v/>
      </c>
      <c r="M251" s="22"/>
    </row>
    <row r="252" customFormat="false" ht="19.5" hidden="false" customHeight="true" outlineLevel="0" collapsed="false">
      <c r="B252" s="21"/>
      <c r="C252" s="21"/>
      <c r="D252" s="21"/>
      <c r="E252" s="21"/>
      <c r="F252" s="21"/>
      <c r="G252" s="29"/>
      <c r="H252" s="21"/>
      <c r="I252" s="30" t="str">
        <f aca="false">IF(OR($G252="",$H252="",NOT(ISNUMBER($G252))),"",IF($H252="Maund",ROUND($G252/37.32,2),$G252))</f>
        <v/>
      </c>
      <c r="J252" s="29"/>
      <c r="K252" s="21"/>
      <c r="L252" s="30" t="str">
        <f aca="false">IF(OR($J252="",$K252="",NOT(ISNUMBER($J252))),"",IF($K252="Maund",ROUND($J252*37.32,2),$J252))</f>
        <v/>
      </c>
      <c r="M252" s="22"/>
    </row>
    <row r="253" customFormat="false" ht="19.5" hidden="false" customHeight="true" outlineLevel="0" collapsed="false">
      <c r="B253" s="21"/>
      <c r="C253" s="21"/>
      <c r="D253" s="21"/>
      <c r="E253" s="21"/>
      <c r="F253" s="21"/>
      <c r="G253" s="29"/>
      <c r="H253" s="21"/>
      <c r="I253" s="30" t="str">
        <f aca="false">IF(OR($G253="",$H253="",NOT(ISNUMBER($G253))),"",IF($H253="Maund",ROUND($G253/37.32,2),$G253))</f>
        <v/>
      </c>
      <c r="J253" s="29"/>
      <c r="K253" s="21"/>
      <c r="L253" s="30" t="str">
        <f aca="false">IF(OR($J253="",$K253="",NOT(ISNUMBER($J253))),"",IF($K253="Maund",ROUND($J253*37.32,2),$J253))</f>
        <v/>
      </c>
      <c r="M253" s="22"/>
    </row>
    <row r="254" customFormat="false" ht="19.5" hidden="false" customHeight="true" outlineLevel="0" collapsed="false">
      <c r="B254" s="21"/>
      <c r="C254" s="21"/>
      <c r="D254" s="21"/>
      <c r="E254" s="21"/>
      <c r="F254" s="21"/>
      <c r="G254" s="29"/>
      <c r="H254" s="21"/>
      <c r="I254" s="30" t="str">
        <f aca="false">IF(OR($G254="",$H254="",NOT(ISNUMBER($G254))),"",IF($H254="Maund",ROUND($G254/37.32,2),$G254))</f>
        <v/>
      </c>
      <c r="J254" s="29"/>
      <c r="K254" s="21"/>
      <c r="L254" s="30" t="str">
        <f aca="false">IF(OR($J254="",$K254="",NOT(ISNUMBER($J254))),"",IF($K254="Maund",ROUND($J254*37.32,2),$J254))</f>
        <v/>
      </c>
      <c r="M254" s="22"/>
    </row>
    <row r="255" customFormat="false" ht="19.5" hidden="false" customHeight="true" outlineLevel="0" collapsed="false">
      <c r="B255" s="21"/>
      <c r="C255" s="21"/>
      <c r="D255" s="21"/>
      <c r="E255" s="21"/>
      <c r="F255" s="21"/>
      <c r="G255" s="29"/>
      <c r="H255" s="21"/>
      <c r="I255" s="30" t="str">
        <f aca="false">IF(OR($G255="",$H255="",NOT(ISNUMBER($G255))),"",IF($H255="Maund",ROUND($G255/37.32,2),$G255))</f>
        <v/>
      </c>
      <c r="J255" s="29"/>
      <c r="K255" s="21"/>
      <c r="L255" s="30" t="str">
        <f aca="false">IF(OR($J255="",$K255="",NOT(ISNUMBER($J255))),"",IF($K255="Maund",ROUND($J255*37.32,2),$J255))</f>
        <v/>
      </c>
      <c r="M255" s="22"/>
    </row>
    <row r="256" customFormat="false" ht="19.5" hidden="false" customHeight="true" outlineLevel="0" collapsed="false">
      <c r="B256" s="21"/>
      <c r="C256" s="21"/>
      <c r="D256" s="21"/>
      <c r="E256" s="21"/>
      <c r="F256" s="21"/>
      <c r="G256" s="29"/>
      <c r="H256" s="21"/>
      <c r="I256" s="30" t="str">
        <f aca="false">IF(OR($G256="",$H256="",NOT(ISNUMBER($G256))),"",IF($H256="Maund",ROUND($G256/37.32,2),$G256))</f>
        <v/>
      </c>
      <c r="J256" s="29"/>
      <c r="K256" s="21"/>
      <c r="L256" s="30" t="str">
        <f aca="false">IF(OR($J256="",$K256="",NOT(ISNUMBER($J256))),"",IF($K256="Maund",ROUND($J256*37.32,2),$J256))</f>
        <v/>
      </c>
      <c r="M256" s="22"/>
    </row>
    <row r="257" customFormat="false" ht="19.5" hidden="false" customHeight="true" outlineLevel="0" collapsed="false">
      <c r="B257" s="21"/>
      <c r="C257" s="21"/>
      <c r="D257" s="21"/>
      <c r="E257" s="21"/>
      <c r="F257" s="21"/>
      <c r="G257" s="29"/>
      <c r="H257" s="21"/>
      <c r="I257" s="30" t="str">
        <f aca="false">IF(OR($G257="",$H257="",NOT(ISNUMBER($G257))),"",IF($H257="Maund",ROUND($G257/37.32,2),$G257))</f>
        <v/>
      </c>
      <c r="J257" s="29"/>
      <c r="K257" s="21"/>
      <c r="L257" s="30" t="str">
        <f aca="false">IF(OR($J257="",$K257="",NOT(ISNUMBER($J257))),"",IF($K257="Maund",ROUND($J257*37.32,2),$J257))</f>
        <v/>
      </c>
      <c r="M257" s="22"/>
    </row>
    <row r="258" customFormat="false" ht="19.5" hidden="false" customHeight="true" outlineLevel="0" collapsed="false">
      <c r="B258" s="21"/>
      <c r="C258" s="21"/>
      <c r="D258" s="21"/>
      <c r="E258" s="21"/>
      <c r="F258" s="21"/>
      <c r="G258" s="29"/>
      <c r="H258" s="21"/>
      <c r="I258" s="30" t="str">
        <f aca="false">IF(OR($G258="",$H258="",NOT(ISNUMBER($G258))),"",IF($H258="Maund",ROUND($G258/37.32,2),$G258))</f>
        <v/>
      </c>
      <c r="J258" s="29"/>
      <c r="K258" s="21"/>
      <c r="L258" s="30" t="str">
        <f aca="false">IF(OR($J258="",$K258="",NOT(ISNUMBER($J258))),"",IF($K258="Maund",ROUND($J258*37.32,2),$J258))</f>
        <v/>
      </c>
      <c r="M258" s="22"/>
    </row>
    <row r="259" customFormat="false" ht="19.5" hidden="false" customHeight="true" outlineLevel="0" collapsed="false">
      <c r="B259" s="21"/>
      <c r="C259" s="21"/>
      <c r="D259" s="21"/>
      <c r="E259" s="21"/>
      <c r="F259" s="21"/>
      <c r="G259" s="29"/>
      <c r="H259" s="21"/>
      <c r="I259" s="30" t="str">
        <f aca="false">IF(OR($G259="",$H259="",NOT(ISNUMBER($G259))),"",IF($H259="Maund",ROUND($G259/37.32,2),$G259))</f>
        <v/>
      </c>
      <c r="J259" s="29"/>
      <c r="K259" s="21"/>
      <c r="L259" s="30" t="str">
        <f aca="false">IF(OR($J259="",$K259="",NOT(ISNUMBER($J259))),"",IF($K259="Maund",ROUND($J259*37.32,2),$J259))</f>
        <v/>
      </c>
      <c r="M259" s="22"/>
    </row>
    <row r="260" customFormat="false" ht="19.5" hidden="false" customHeight="true" outlineLevel="0" collapsed="false">
      <c r="B260" s="21"/>
      <c r="C260" s="21"/>
      <c r="D260" s="21"/>
      <c r="E260" s="21"/>
      <c r="F260" s="21"/>
      <c r="G260" s="29"/>
      <c r="H260" s="21"/>
      <c r="I260" s="30" t="str">
        <f aca="false">IF(OR($G260="",$H260="",NOT(ISNUMBER($G260))),"",IF($H260="Maund",ROUND($G260/37.32,2),$G260))</f>
        <v/>
      </c>
      <c r="J260" s="29"/>
      <c r="K260" s="21"/>
      <c r="L260" s="30" t="str">
        <f aca="false">IF(OR($J260="",$K260="",NOT(ISNUMBER($J260))),"",IF($K260="Maund",ROUND($J260*37.32,2),$J260))</f>
        <v/>
      </c>
      <c r="M260" s="22"/>
    </row>
    <row r="261" customFormat="false" ht="19.5" hidden="false" customHeight="true" outlineLevel="0" collapsed="false">
      <c r="B261" s="21"/>
      <c r="C261" s="21"/>
      <c r="D261" s="21"/>
      <c r="E261" s="21"/>
      <c r="F261" s="21"/>
      <c r="G261" s="29"/>
      <c r="H261" s="21"/>
      <c r="I261" s="30" t="str">
        <f aca="false">IF(OR($G261="",$H261="",NOT(ISNUMBER($G261))),"",IF($H261="Maund",ROUND($G261/37.32,2),$G261))</f>
        <v/>
      </c>
      <c r="J261" s="29"/>
      <c r="K261" s="21"/>
      <c r="L261" s="30" t="str">
        <f aca="false">IF(OR($J261="",$K261="",NOT(ISNUMBER($J261))),"",IF($K261="Maund",ROUND($J261*37.32,2),$J261))</f>
        <v/>
      </c>
      <c r="M261" s="22"/>
    </row>
    <row r="262" customFormat="false" ht="19.5" hidden="false" customHeight="true" outlineLevel="0" collapsed="false">
      <c r="B262" s="21"/>
      <c r="C262" s="21"/>
      <c r="D262" s="21"/>
      <c r="E262" s="21"/>
      <c r="F262" s="21"/>
      <c r="G262" s="29"/>
      <c r="H262" s="21"/>
      <c r="I262" s="30" t="str">
        <f aca="false">IF(OR($G262="",$H262="",NOT(ISNUMBER($G262))),"",IF($H262="Maund",ROUND($G262/37.32,2),$G262))</f>
        <v/>
      </c>
      <c r="J262" s="29"/>
      <c r="K262" s="21"/>
      <c r="L262" s="30" t="str">
        <f aca="false">IF(OR($J262="",$K262="",NOT(ISNUMBER($J262))),"",IF($K262="Maund",ROUND($J262*37.32,2),$J262))</f>
        <v/>
      </c>
      <c r="M262" s="22"/>
    </row>
    <row r="263" customFormat="false" ht="19.5" hidden="false" customHeight="true" outlineLevel="0" collapsed="false">
      <c r="B263" s="21"/>
      <c r="C263" s="21"/>
      <c r="D263" s="21"/>
      <c r="E263" s="21"/>
      <c r="F263" s="21"/>
      <c r="G263" s="29"/>
      <c r="H263" s="21"/>
      <c r="I263" s="30" t="str">
        <f aca="false">IF(OR($G263="",$H263="",NOT(ISNUMBER($G263))),"",IF($H263="Maund",ROUND($G263/37.32,2),$G263))</f>
        <v/>
      </c>
      <c r="J263" s="29"/>
      <c r="K263" s="21"/>
      <c r="L263" s="30" t="str">
        <f aca="false">IF(OR($J263="",$K263="",NOT(ISNUMBER($J263))),"",IF($K263="Maund",ROUND($J263*37.32,2),$J263))</f>
        <v/>
      </c>
      <c r="M263" s="22"/>
    </row>
    <row r="264" customFormat="false" ht="19.5" hidden="false" customHeight="true" outlineLevel="0" collapsed="false">
      <c r="B264" s="21"/>
      <c r="C264" s="21"/>
      <c r="D264" s="21"/>
      <c r="E264" s="21"/>
      <c r="F264" s="21"/>
      <c r="G264" s="29"/>
      <c r="H264" s="21"/>
      <c r="I264" s="30" t="str">
        <f aca="false">IF(OR($G264="",$H264="",NOT(ISNUMBER($G264))),"",IF($H264="Maund",ROUND($G264/37.32,2),$G264))</f>
        <v/>
      </c>
      <c r="J264" s="29"/>
      <c r="K264" s="21"/>
      <c r="L264" s="30" t="str">
        <f aca="false">IF(OR($J264="",$K264="",NOT(ISNUMBER($J264))),"",IF($K264="Maund",ROUND($J264*37.32,2),$J264))</f>
        <v/>
      </c>
      <c r="M264" s="22"/>
    </row>
    <row r="265" customFormat="false" ht="19.5" hidden="false" customHeight="true" outlineLevel="0" collapsed="false">
      <c r="B265" s="21"/>
      <c r="C265" s="21"/>
      <c r="D265" s="21"/>
      <c r="E265" s="21"/>
      <c r="F265" s="21"/>
      <c r="G265" s="29"/>
      <c r="H265" s="21"/>
      <c r="I265" s="30" t="str">
        <f aca="false">IF(OR($G265="",$H265="",NOT(ISNUMBER($G265))),"",IF($H265="Maund",ROUND($G265/37.32,2),$G265))</f>
        <v/>
      </c>
      <c r="J265" s="29"/>
      <c r="K265" s="21"/>
      <c r="L265" s="30" t="str">
        <f aca="false">IF(OR($J265="",$K265="",NOT(ISNUMBER($J265))),"",IF($K265="Maund",ROUND($J265*37.32,2),$J265))</f>
        <v/>
      </c>
      <c r="M265" s="22"/>
    </row>
    <row r="266" customFormat="false" ht="19.5" hidden="false" customHeight="true" outlineLevel="0" collapsed="false">
      <c r="B266" s="21"/>
      <c r="C266" s="21"/>
      <c r="D266" s="21"/>
      <c r="E266" s="21"/>
      <c r="F266" s="21"/>
      <c r="G266" s="29"/>
      <c r="H266" s="21"/>
      <c r="I266" s="30" t="str">
        <f aca="false">IF(OR($G266="",$H266="",NOT(ISNUMBER($G266))),"",IF($H266="Maund",ROUND($G266/37.32,2),$G266))</f>
        <v/>
      </c>
      <c r="J266" s="29"/>
      <c r="K266" s="21"/>
      <c r="L266" s="30" t="str">
        <f aca="false">IF(OR($J266="",$K266="",NOT(ISNUMBER($J266))),"",IF($K266="Maund",ROUND($J266*37.32,2),$J266))</f>
        <v/>
      </c>
      <c r="M266" s="22"/>
    </row>
    <row r="267" customFormat="false" ht="19.5" hidden="false" customHeight="true" outlineLevel="0" collapsed="false">
      <c r="B267" s="21"/>
      <c r="C267" s="21"/>
      <c r="D267" s="21"/>
      <c r="E267" s="21"/>
      <c r="F267" s="21"/>
      <c r="G267" s="29"/>
      <c r="H267" s="21"/>
      <c r="I267" s="30" t="str">
        <f aca="false">IF(OR($G267="",$H267="",NOT(ISNUMBER($G267))),"",IF($H267="Maund",ROUND($G267/37.32,2),$G267))</f>
        <v/>
      </c>
      <c r="J267" s="29"/>
      <c r="K267" s="21"/>
      <c r="L267" s="30" t="str">
        <f aca="false">IF(OR($J267="",$K267="",NOT(ISNUMBER($J267))),"",IF($K267="Maund",ROUND($J267*37.32,2),$J267))</f>
        <v/>
      </c>
      <c r="M267" s="22"/>
    </row>
    <row r="268" customFormat="false" ht="19.5" hidden="false" customHeight="true" outlineLevel="0" collapsed="false">
      <c r="B268" s="21"/>
      <c r="C268" s="21"/>
      <c r="D268" s="21"/>
      <c r="E268" s="21"/>
      <c r="F268" s="21"/>
      <c r="G268" s="29"/>
      <c r="H268" s="21"/>
      <c r="I268" s="30" t="str">
        <f aca="false">IF(OR($G268="",$H268="",NOT(ISNUMBER($G268))),"",IF($H268="Maund",ROUND($G268/37.32,2),$G268))</f>
        <v/>
      </c>
      <c r="J268" s="29"/>
      <c r="K268" s="21"/>
      <c r="L268" s="30" t="str">
        <f aca="false">IF(OR($J268="",$K268="",NOT(ISNUMBER($J268))),"",IF($K268="Maund",ROUND($J268*37.32,2),$J268))</f>
        <v/>
      </c>
      <c r="M268" s="22"/>
    </row>
    <row r="269" customFormat="false" ht="19.5" hidden="false" customHeight="true" outlineLevel="0" collapsed="false">
      <c r="B269" s="21"/>
      <c r="C269" s="21"/>
      <c r="D269" s="21"/>
      <c r="E269" s="21"/>
      <c r="F269" s="21"/>
      <c r="G269" s="29"/>
      <c r="H269" s="21"/>
      <c r="I269" s="30" t="str">
        <f aca="false">IF(OR($G269="",$H269="",NOT(ISNUMBER($G269))),"",IF($H269="Maund",ROUND($G269/37.32,2),$G269))</f>
        <v/>
      </c>
      <c r="J269" s="29"/>
      <c r="K269" s="21"/>
      <c r="L269" s="30" t="str">
        <f aca="false">IF(OR($J269="",$K269="",NOT(ISNUMBER($J269))),"",IF($K269="Maund",ROUND($J269*37.32,2),$J269))</f>
        <v/>
      </c>
      <c r="M269" s="22"/>
    </row>
    <row r="270" customFormat="false" ht="19.5" hidden="false" customHeight="true" outlineLevel="0" collapsed="false">
      <c r="B270" s="21"/>
      <c r="C270" s="21"/>
      <c r="D270" s="21"/>
      <c r="E270" s="21"/>
      <c r="F270" s="21"/>
      <c r="G270" s="29"/>
      <c r="H270" s="21"/>
      <c r="I270" s="30" t="str">
        <f aca="false">IF(OR($G270="",$H270="",NOT(ISNUMBER($G270))),"",IF($H270="Maund",ROUND($G270/37.32,2),$G270))</f>
        <v/>
      </c>
      <c r="J270" s="29"/>
      <c r="K270" s="21"/>
      <c r="L270" s="30" t="str">
        <f aca="false">IF(OR($J270="",$K270="",NOT(ISNUMBER($J270))),"",IF($K270="Maund",ROUND($J270*37.32,2),$J270))</f>
        <v/>
      </c>
      <c r="M270" s="22"/>
    </row>
    <row r="271" customFormat="false" ht="19.5" hidden="false" customHeight="true" outlineLevel="0" collapsed="false">
      <c r="B271" s="21"/>
      <c r="C271" s="21"/>
      <c r="D271" s="21"/>
      <c r="E271" s="21"/>
      <c r="F271" s="21"/>
      <c r="G271" s="29"/>
      <c r="H271" s="21"/>
      <c r="I271" s="30" t="str">
        <f aca="false">IF(OR($G271="",$H271="",NOT(ISNUMBER($G271))),"",IF($H271="Maund",ROUND($G271/37.32,2),$G271))</f>
        <v/>
      </c>
      <c r="J271" s="29"/>
      <c r="K271" s="21"/>
      <c r="L271" s="30" t="str">
        <f aca="false">IF(OR($J271="",$K271="",NOT(ISNUMBER($J271))),"",IF($K271="Maund",ROUND($J271*37.32,2),$J271))</f>
        <v/>
      </c>
      <c r="M271" s="22"/>
    </row>
    <row r="272" customFormat="false" ht="19.5" hidden="false" customHeight="true" outlineLevel="0" collapsed="false">
      <c r="B272" s="21"/>
      <c r="C272" s="21"/>
      <c r="D272" s="21"/>
      <c r="E272" s="21"/>
      <c r="F272" s="21"/>
      <c r="G272" s="29"/>
      <c r="H272" s="21"/>
      <c r="I272" s="30" t="str">
        <f aca="false">IF(OR($G272="",$H272="",NOT(ISNUMBER($G272))),"",IF($H272="Maund",ROUND($G272/37.32,2),$G272))</f>
        <v/>
      </c>
      <c r="J272" s="29"/>
      <c r="K272" s="21"/>
      <c r="L272" s="30" t="str">
        <f aca="false">IF(OR($J272="",$K272="",NOT(ISNUMBER($J272))),"",IF($K272="Maund",ROUND($J272*37.32,2),$J272))</f>
        <v/>
      </c>
      <c r="M272" s="22"/>
    </row>
    <row r="273" customFormat="false" ht="19.5" hidden="false" customHeight="true" outlineLevel="0" collapsed="false">
      <c r="B273" s="21"/>
      <c r="C273" s="21"/>
      <c r="D273" s="21"/>
      <c r="E273" s="21"/>
      <c r="F273" s="21"/>
      <c r="G273" s="29"/>
      <c r="H273" s="21"/>
      <c r="I273" s="30" t="str">
        <f aca="false">IF(OR($G273="",$H273="",NOT(ISNUMBER($G273))),"",IF($H273="Maund",ROUND($G273/37.32,2),$G273))</f>
        <v/>
      </c>
      <c r="J273" s="29"/>
      <c r="K273" s="21"/>
      <c r="L273" s="30" t="str">
        <f aca="false">IF(OR($J273="",$K273="",NOT(ISNUMBER($J273))),"",IF($K273="Maund",ROUND($J273*37.32,2),$J273))</f>
        <v/>
      </c>
      <c r="M273" s="22"/>
    </row>
    <row r="274" customFormat="false" ht="19.5" hidden="false" customHeight="true" outlineLevel="0" collapsed="false">
      <c r="B274" s="21"/>
      <c r="C274" s="21"/>
      <c r="D274" s="21"/>
      <c r="E274" s="21"/>
      <c r="F274" s="21"/>
      <c r="G274" s="29"/>
      <c r="H274" s="21"/>
      <c r="I274" s="30" t="str">
        <f aca="false">IF(OR($G274="",$H274="",NOT(ISNUMBER($G274))),"",IF($H274="Maund",ROUND($G274/37.32,2),$G274))</f>
        <v/>
      </c>
      <c r="J274" s="29"/>
      <c r="K274" s="21"/>
      <c r="L274" s="30" t="str">
        <f aca="false">IF(OR($J274="",$K274="",NOT(ISNUMBER($J274))),"",IF($K274="Maund",ROUND($J274*37.32,2),$J274))</f>
        <v/>
      </c>
      <c r="M274" s="22"/>
    </row>
    <row r="275" customFormat="false" ht="19.5" hidden="false" customHeight="true" outlineLevel="0" collapsed="false">
      <c r="B275" s="21"/>
      <c r="C275" s="21"/>
      <c r="D275" s="21"/>
      <c r="E275" s="21"/>
      <c r="F275" s="21"/>
      <c r="G275" s="29"/>
      <c r="H275" s="21"/>
      <c r="I275" s="30" t="str">
        <f aca="false">IF(OR($G275="",$H275="",NOT(ISNUMBER($G275))),"",IF($H275="Maund",ROUND($G275/37.32,2),$G275))</f>
        <v/>
      </c>
      <c r="J275" s="29"/>
      <c r="K275" s="21"/>
      <c r="L275" s="30" t="str">
        <f aca="false">IF(OR($J275="",$K275="",NOT(ISNUMBER($J275))),"",IF($K275="Maund",ROUND($J275*37.32,2),$J275))</f>
        <v/>
      </c>
      <c r="M275" s="22"/>
    </row>
    <row r="276" customFormat="false" ht="19.5" hidden="false" customHeight="true" outlineLevel="0" collapsed="false">
      <c r="B276" s="21"/>
      <c r="C276" s="21"/>
      <c r="D276" s="21"/>
      <c r="E276" s="21"/>
      <c r="F276" s="21"/>
      <c r="G276" s="29"/>
      <c r="H276" s="21"/>
      <c r="I276" s="30" t="str">
        <f aca="false">IF(OR($G276="",$H276="",NOT(ISNUMBER($G276))),"",IF($H276="Maund",ROUND($G276/37.32,2),$G276))</f>
        <v/>
      </c>
      <c r="J276" s="29"/>
      <c r="K276" s="21"/>
      <c r="L276" s="30" t="str">
        <f aca="false">IF(OR($J276="",$K276="",NOT(ISNUMBER($J276))),"",IF($K276="Maund",ROUND($J276*37.32,2),$J276))</f>
        <v/>
      </c>
      <c r="M276" s="22"/>
    </row>
    <row r="277" customFormat="false" ht="19.5" hidden="false" customHeight="true" outlineLevel="0" collapsed="false">
      <c r="B277" s="21"/>
      <c r="C277" s="21"/>
      <c r="D277" s="21"/>
      <c r="E277" s="21"/>
      <c r="F277" s="21"/>
      <c r="G277" s="29"/>
      <c r="H277" s="21"/>
      <c r="I277" s="30" t="str">
        <f aca="false">IF(OR($G277="",$H277="",NOT(ISNUMBER($G277))),"",IF($H277="Maund",ROUND($G277/37.32,2),$G277))</f>
        <v/>
      </c>
      <c r="J277" s="29"/>
      <c r="K277" s="21"/>
      <c r="L277" s="30" t="str">
        <f aca="false">IF(OR($J277="",$K277="",NOT(ISNUMBER($J277))),"",IF($K277="Maund",ROUND($J277*37.32,2),$J277))</f>
        <v/>
      </c>
      <c r="M277" s="22"/>
    </row>
    <row r="278" customFormat="false" ht="19.5" hidden="false" customHeight="true" outlineLevel="0" collapsed="false">
      <c r="B278" s="21"/>
      <c r="C278" s="21"/>
      <c r="D278" s="21"/>
      <c r="E278" s="21"/>
      <c r="F278" s="21"/>
      <c r="G278" s="29"/>
      <c r="H278" s="21"/>
      <c r="I278" s="30" t="str">
        <f aca="false">IF(OR($G278="",$H278="",NOT(ISNUMBER($G278))),"",IF($H278="Maund",ROUND($G278/37.32,2),$G278))</f>
        <v/>
      </c>
      <c r="J278" s="29"/>
      <c r="K278" s="21"/>
      <c r="L278" s="30" t="str">
        <f aca="false">IF(OR($J278="",$K278="",NOT(ISNUMBER($J278))),"",IF($K278="Maund",ROUND($J278*37.32,2),$J278))</f>
        <v/>
      </c>
      <c r="M278" s="22"/>
    </row>
    <row r="279" customFormat="false" ht="19.5" hidden="false" customHeight="true" outlineLevel="0" collapsed="false">
      <c r="B279" s="21"/>
      <c r="C279" s="21"/>
      <c r="D279" s="21"/>
      <c r="E279" s="21"/>
      <c r="F279" s="21"/>
      <c r="G279" s="29"/>
      <c r="H279" s="21"/>
      <c r="I279" s="30" t="str">
        <f aca="false">IF(OR($G279="",$H279="",NOT(ISNUMBER($G279))),"",IF($H279="Maund",ROUND($G279/37.32,2),$G279))</f>
        <v/>
      </c>
      <c r="J279" s="29"/>
      <c r="K279" s="21"/>
      <c r="L279" s="30" t="str">
        <f aca="false">IF(OR($J279="",$K279="",NOT(ISNUMBER($J279))),"",IF($K279="Maund",ROUND($J279*37.32,2),$J279))</f>
        <v/>
      </c>
      <c r="M279" s="22"/>
    </row>
    <row r="280" customFormat="false" ht="19.5" hidden="false" customHeight="true" outlineLevel="0" collapsed="false">
      <c r="B280" s="21"/>
      <c r="C280" s="21"/>
      <c r="D280" s="21"/>
      <c r="E280" s="21"/>
      <c r="F280" s="21"/>
      <c r="G280" s="29"/>
      <c r="H280" s="21"/>
      <c r="I280" s="30" t="str">
        <f aca="false">IF(OR($G280="",$H280="",NOT(ISNUMBER($G280))),"",IF($H280="Maund",ROUND($G280/37.32,2),$G280))</f>
        <v/>
      </c>
      <c r="J280" s="29"/>
      <c r="K280" s="21"/>
      <c r="L280" s="30" t="str">
        <f aca="false">IF(OR($J280="",$K280="",NOT(ISNUMBER($J280))),"",IF($K280="Maund",ROUND($J280*37.32,2),$J280))</f>
        <v/>
      </c>
      <c r="M280" s="22"/>
    </row>
    <row r="281" customFormat="false" ht="19.5" hidden="false" customHeight="true" outlineLevel="0" collapsed="false">
      <c r="B281" s="21"/>
      <c r="C281" s="21"/>
      <c r="D281" s="21"/>
      <c r="E281" s="21"/>
      <c r="F281" s="21"/>
      <c r="G281" s="29"/>
      <c r="H281" s="21"/>
      <c r="I281" s="30" t="str">
        <f aca="false">IF(OR($G281="",$H281="",NOT(ISNUMBER($G281))),"",IF($H281="Maund",ROUND($G281/37.32,2),$G281))</f>
        <v/>
      </c>
      <c r="J281" s="29"/>
      <c r="K281" s="21"/>
      <c r="L281" s="30" t="str">
        <f aca="false">IF(OR($J281="",$K281="",NOT(ISNUMBER($J281))),"",IF($K281="Maund",ROUND($J281*37.32,2),$J281))</f>
        <v/>
      </c>
      <c r="M281" s="22"/>
    </row>
    <row r="282" customFormat="false" ht="19.5" hidden="false" customHeight="true" outlineLevel="0" collapsed="false">
      <c r="B282" s="21"/>
      <c r="C282" s="21"/>
      <c r="D282" s="21"/>
      <c r="E282" s="21"/>
      <c r="F282" s="21"/>
      <c r="G282" s="29"/>
      <c r="H282" s="21"/>
      <c r="I282" s="30" t="str">
        <f aca="false">IF(OR($G282="",$H282="",NOT(ISNUMBER($G282))),"",IF($H282="Maund",ROUND($G282/37.32,2),$G282))</f>
        <v/>
      </c>
      <c r="J282" s="29"/>
      <c r="K282" s="21"/>
      <c r="L282" s="30" t="str">
        <f aca="false">IF(OR($J282="",$K282="",NOT(ISNUMBER($J282))),"",IF($K282="Maund",ROUND($J282*37.32,2),$J282))</f>
        <v/>
      </c>
      <c r="M282" s="22"/>
    </row>
    <row r="283" customFormat="false" ht="19.5" hidden="false" customHeight="true" outlineLevel="0" collapsed="false">
      <c r="B283" s="21"/>
      <c r="C283" s="21"/>
      <c r="D283" s="21"/>
      <c r="E283" s="21"/>
      <c r="F283" s="21"/>
      <c r="G283" s="29"/>
      <c r="H283" s="21"/>
      <c r="I283" s="30" t="str">
        <f aca="false">IF(OR($G283="",$H283="",NOT(ISNUMBER($G283))),"",IF($H283="Maund",ROUND($G283/37.32,2),$G283))</f>
        <v/>
      </c>
      <c r="J283" s="29"/>
      <c r="K283" s="21"/>
      <c r="L283" s="30" t="str">
        <f aca="false">IF(OR($J283="",$K283="",NOT(ISNUMBER($J283))),"",IF($K283="Maund",ROUND($J283*37.32,2),$J283))</f>
        <v/>
      </c>
      <c r="M283" s="22"/>
    </row>
    <row r="284" customFormat="false" ht="19.5" hidden="false" customHeight="true" outlineLevel="0" collapsed="false">
      <c r="B284" s="21"/>
      <c r="C284" s="21"/>
      <c r="D284" s="21"/>
      <c r="E284" s="21"/>
      <c r="F284" s="21"/>
      <c r="G284" s="29"/>
      <c r="H284" s="21"/>
      <c r="I284" s="30" t="str">
        <f aca="false">IF(OR($G284="",$H284="",NOT(ISNUMBER($G284))),"",IF($H284="Maund",ROUND($G284/37.32,2),$G284))</f>
        <v/>
      </c>
      <c r="J284" s="29"/>
      <c r="K284" s="21"/>
      <c r="L284" s="30" t="str">
        <f aca="false">IF(OR($J284="",$K284="",NOT(ISNUMBER($J284))),"",IF($K284="Maund",ROUND($J284*37.32,2),$J284))</f>
        <v/>
      </c>
      <c r="M284" s="22"/>
    </row>
    <row r="285" customFormat="false" ht="19.5" hidden="false" customHeight="true" outlineLevel="0" collapsed="false">
      <c r="B285" s="21"/>
      <c r="C285" s="21"/>
      <c r="D285" s="21"/>
      <c r="E285" s="21"/>
      <c r="F285" s="21"/>
      <c r="G285" s="29"/>
      <c r="H285" s="21"/>
      <c r="I285" s="30" t="str">
        <f aca="false">IF(OR($G285="",$H285="",NOT(ISNUMBER($G285))),"",IF($H285="Maund",ROUND($G285/37.32,2),$G285))</f>
        <v/>
      </c>
      <c r="J285" s="29"/>
      <c r="K285" s="21"/>
      <c r="L285" s="30" t="str">
        <f aca="false">IF(OR($J285="",$K285="",NOT(ISNUMBER($J285))),"",IF($K285="Maund",ROUND($J285*37.32,2),$J285))</f>
        <v/>
      </c>
      <c r="M285" s="22"/>
    </row>
    <row r="286" customFormat="false" ht="19.5" hidden="false" customHeight="true" outlineLevel="0" collapsed="false">
      <c r="B286" s="21"/>
      <c r="C286" s="21"/>
      <c r="D286" s="21"/>
      <c r="E286" s="21"/>
      <c r="F286" s="21"/>
      <c r="G286" s="29"/>
      <c r="H286" s="21"/>
      <c r="I286" s="30" t="str">
        <f aca="false">IF(OR($G286="",$H286="",NOT(ISNUMBER($G286))),"",IF($H286="Maund",ROUND($G286/37.32,2),$G286))</f>
        <v/>
      </c>
      <c r="J286" s="29"/>
      <c r="K286" s="21"/>
      <c r="L286" s="30" t="str">
        <f aca="false">IF(OR($J286="",$K286="",NOT(ISNUMBER($J286))),"",IF($K286="Maund",ROUND($J286*37.32,2),$J286))</f>
        <v/>
      </c>
      <c r="M286" s="22"/>
    </row>
    <row r="287" customFormat="false" ht="19.5" hidden="false" customHeight="true" outlineLevel="0" collapsed="false">
      <c r="B287" s="21"/>
      <c r="C287" s="21"/>
      <c r="D287" s="21"/>
      <c r="E287" s="21"/>
      <c r="F287" s="21"/>
      <c r="G287" s="29"/>
      <c r="H287" s="21"/>
      <c r="I287" s="30" t="str">
        <f aca="false">IF(OR($G287="",$H287="",NOT(ISNUMBER($G287))),"",IF($H287="Maund",ROUND($G287/37.32,2),$G287))</f>
        <v/>
      </c>
      <c r="J287" s="29"/>
      <c r="K287" s="21"/>
      <c r="L287" s="30" t="str">
        <f aca="false">IF(OR($J287="",$K287="",NOT(ISNUMBER($J287))),"",IF($K287="Maund",ROUND($J287*37.32,2),$J287))</f>
        <v/>
      </c>
      <c r="M287" s="22"/>
    </row>
    <row r="288" customFormat="false" ht="19.5" hidden="false" customHeight="true" outlineLevel="0" collapsed="false">
      <c r="B288" s="21"/>
      <c r="C288" s="21"/>
      <c r="D288" s="21"/>
      <c r="E288" s="21"/>
      <c r="F288" s="21"/>
      <c r="G288" s="29"/>
      <c r="H288" s="21"/>
      <c r="I288" s="30" t="str">
        <f aca="false">IF(OR($G288="",$H288="",NOT(ISNUMBER($G288))),"",IF($H288="Maund",ROUND($G288/37.32,2),$G288))</f>
        <v/>
      </c>
      <c r="J288" s="29"/>
      <c r="K288" s="21"/>
      <c r="L288" s="30" t="str">
        <f aca="false">IF(OR($J288="",$K288="",NOT(ISNUMBER($J288))),"",IF($K288="Maund",ROUND($J288*37.32,2),$J288))</f>
        <v/>
      </c>
      <c r="M288" s="22"/>
    </row>
    <row r="289" customFormat="false" ht="19.5" hidden="false" customHeight="true" outlineLevel="0" collapsed="false">
      <c r="B289" s="21"/>
      <c r="C289" s="21"/>
      <c r="D289" s="21"/>
      <c r="E289" s="21"/>
      <c r="F289" s="21"/>
      <c r="G289" s="29"/>
      <c r="H289" s="21"/>
      <c r="I289" s="30" t="str">
        <f aca="false">IF(OR($G289="",$H289="",NOT(ISNUMBER($G289))),"",IF($H289="Maund",ROUND($G289/37.32,2),$G289))</f>
        <v/>
      </c>
      <c r="J289" s="29"/>
      <c r="K289" s="21"/>
      <c r="L289" s="30" t="str">
        <f aca="false">IF(OR($J289="",$K289="",NOT(ISNUMBER($J289))),"",IF($K289="Maund",ROUND($J289*37.32,2),$J289))</f>
        <v/>
      </c>
      <c r="M289" s="22"/>
    </row>
    <row r="290" customFormat="false" ht="19.5" hidden="false" customHeight="true" outlineLevel="0" collapsed="false">
      <c r="B290" s="21"/>
      <c r="C290" s="21"/>
      <c r="D290" s="21"/>
      <c r="E290" s="21"/>
      <c r="F290" s="21"/>
      <c r="G290" s="29"/>
      <c r="H290" s="21"/>
      <c r="I290" s="30" t="str">
        <f aca="false">IF(OR($G290="",$H290="",NOT(ISNUMBER($G290))),"",IF($H290="Maund",ROUND($G290/37.32,2),$G290))</f>
        <v/>
      </c>
      <c r="J290" s="29"/>
      <c r="K290" s="21"/>
      <c r="L290" s="30" t="str">
        <f aca="false">IF(OR($J290="",$K290="",NOT(ISNUMBER($J290))),"",IF($K290="Maund",ROUND($J290*37.32,2),$J290))</f>
        <v/>
      </c>
      <c r="M290" s="22"/>
    </row>
    <row r="291" customFormat="false" ht="19.5" hidden="false" customHeight="true" outlineLevel="0" collapsed="false">
      <c r="B291" s="21"/>
      <c r="C291" s="21"/>
      <c r="D291" s="21"/>
      <c r="E291" s="21"/>
      <c r="F291" s="21"/>
      <c r="G291" s="29"/>
      <c r="H291" s="21"/>
      <c r="I291" s="30" t="str">
        <f aca="false">IF(OR($G291="",$H291="",NOT(ISNUMBER($G291))),"",IF($H291="Maund",ROUND($G291/37.32,2),$G291))</f>
        <v/>
      </c>
      <c r="J291" s="29"/>
      <c r="K291" s="21"/>
      <c r="L291" s="30" t="str">
        <f aca="false">IF(OR($J291="",$K291="",NOT(ISNUMBER($J291))),"",IF($K291="Maund",ROUND($J291*37.32,2),$J291))</f>
        <v/>
      </c>
      <c r="M291" s="22"/>
    </row>
    <row r="292" customFormat="false" ht="19.5" hidden="false" customHeight="true" outlineLevel="0" collapsed="false">
      <c r="B292" s="21"/>
      <c r="C292" s="21"/>
      <c r="D292" s="21"/>
      <c r="E292" s="21"/>
      <c r="F292" s="21"/>
      <c r="G292" s="29"/>
      <c r="H292" s="21"/>
      <c r="I292" s="30" t="str">
        <f aca="false">IF(OR($G292="",$H292="",NOT(ISNUMBER($G292))),"",IF($H292="Maund",ROUND($G292/37.32,2),$G292))</f>
        <v/>
      </c>
      <c r="J292" s="29"/>
      <c r="K292" s="21"/>
      <c r="L292" s="30" t="str">
        <f aca="false">IF(OR($J292="",$K292="",NOT(ISNUMBER($J292))),"",IF($K292="Maund",ROUND($J292*37.32,2),$J292))</f>
        <v/>
      </c>
      <c r="M292" s="22"/>
    </row>
    <row r="293" customFormat="false" ht="19.5" hidden="false" customHeight="true" outlineLevel="0" collapsed="false">
      <c r="B293" s="21"/>
      <c r="C293" s="21"/>
      <c r="D293" s="21"/>
      <c r="E293" s="21"/>
      <c r="F293" s="21"/>
      <c r="G293" s="29"/>
      <c r="H293" s="21"/>
      <c r="I293" s="30" t="str">
        <f aca="false">IF(OR($G293="",$H293="",NOT(ISNUMBER($G293))),"",IF($H293="Maund",ROUND($G293/37.32,2),$G293))</f>
        <v/>
      </c>
      <c r="J293" s="29"/>
      <c r="K293" s="21"/>
      <c r="L293" s="30" t="str">
        <f aca="false">IF(OR($J293="",$K293="",NOT(ISNUMBER($J293))),"",IF($K293="Maund",ROUND($J293*37.32,2),$J293))</f>
        <v/>
      </c>
      <c r="M293" s="22"/>
    </row>
    <row r="294" customFormat="false" ht="19.5" hidden="false" customHeight="true" outlineLevel="0" collapsed="false">
      <c r="B294" s="21"/>
      <c r="C294" s="21"/>
      <c r="D294" s="21"/>
      <c r="E294" s="21"/>
      <c r="F294" s="21"/>
      <c r="G294" s="29"/>
      <c r="H294" s="21"/>
      <c r="I294" s="30" t="str">
        <f aca="false">IF(OR($G294="",$H294="",NOT(ISNUMBER($G294))),"",IF($H294="Maund",ROUND($G294/37.32,2),$G294))</f>
        <v/>
      </c>
      <c r="J294" s="29"/>
      <c r="K294" s="21"/>
      <c r="L294" s="30" t="str">
        <f aca="false">IF(OR($J294="",$K294="",NOT(ISNUMBER($J294))),"",IF($K294="Maund",ROUND($J294*37.32,2),$J294))</f>
        <v/>
      </c>
      <c r="M294" s="22"/>
    </row>
    <row r="295" customFormat="false" ht="19.5" hidden="false" customHeight="true" outlineLevel="0" collapsed="false">
      <c r="B295" s="21"/>
      <c r="C295" s="21"/>
      <c r="D295" s="21"/>
      <c r="E295" s="21"/>
      <c r="F295" s="21"/>
      <c r="G295" s="29"/>
      <c r="H295" s="21"/>
      <c r="I295" s="30" t="str">
        <f aca="false">IF(OR($G295="",$H295="",NOT(ISNUMBER($G295))),"",IF($H295="Maund",ROUND($G295/37.32,2),$G295))</f>
        <v/>
      </c>
      <c r="J295" s="29"/>
      <c r="K295" s="21"/>
      <c r="L295" s="30" t="str">
        <f aca="false">IF(OR($J295="",$K295="",NOT(ISNUMBER($J295))),"",IF($K295="Maund",ROUND($J295*37.32,2),$J295))</f>
        <v/>
      </c>
      <c r="M295" s="22"/>
    </row>
    <row r="296" customFormat="false" ht="19.5" hidden="false" customHeight="true" outlineLevel="0" collapsed="false">
      <c r="B296" s="21"/>
      <c r="C296" s="21"/>
      <c r="D296" s="21"/>
      <c r="E296" s="21"/>
      <c r="F296" s="21"/>
      <c r="G296" s="29"/>
      <c r="H296" s="21"/>
      <c r="I296" s="30" t="str">
        <f aca="false">IF(OR($G296="",$H296="",NOT(ISNUMBER($G296))),"",IF($H296="Maund",ROUND($G296/37.32,2),$G296))</f>
        <v/>
      </c>
      <c r="J296" s="29"/>
      <c r="K296" s="21"/>
      <c r="L296" s="30" t="str">
        <f aca="false">IF(OR($J296="",$K296="",NOT(ISNUMBER($J296))),"",IF($K296="Maund",ROUND($J296*37.32,2),$J296))</f>
        <v/>
      </c>
      <c r="M296" s="22"/>
    </row>
    <row r="297" customFormat="false" ht="19.5" hidden="false" customHeight="true" outlineLevel="0" collapsed="false">
      <c r="B297" s="21"/>
      <c r="C297" s="21"/>
      <c r="D297" s="21"/>
      <c r="E297" s="21"/>
      <c r="F297" s="21"/>
      <c r="G297" s="29"/>
      <c r="H297" s="21"/>
      <c r="I297" s="30" t="str">
        <f aca="false">IF(OR($G297="",$H297="",NOT(ISNUMBER($G297))),"",IF($H297="Maund",ROUND($G297/37.32,2),$G297))</f>
        <v/>
      </c>
      <c r="J297" s="29"/>
      <c r="K297" s="21"/>
      <c r="L297" s="30" t="str">
        <f aca="false">IF(OR($J297="",$K297="",NOT(ISNUMBER($J297))),"",IF($K297="Maund",ROUND($J297*37.32,2),$J297))</f>
        <v/>
      </c>
      <c r="M297" s="22"/>
    </row>
    <row r="298" customFormat="false" ht="19.5" hidden="false" customHeight="true" outlineLevel="0" collapsed="false">
      <c r="B298" s="21"/>
      <c r="C298" s="21"/>
      <c r="D298" s="21"/>
      <c r="E298" s="21"/>
      <c r="F298" s="21"/>
      <c r="G298" s="29"/>
      <c r="H298" s="21"/>
      <c r="I298" s="30" t="str">
        <f aca="false">IF(OR($G298="",$H298="",NOT(ISNUMBER($G298))),"",IF($H298="Maund",ROUND($G298/37.32,2),$G298))</f>
        <v/>
      </c>
      <c r="J298" s="29"/>
      <c r="K298" s="21"/>
      <c r="L298" s="30" t="str">
        <f aca="false">IF(OR($J298="",$K298="",NOT(ISNUMBER($J298))),"",IF($K298="Maund",ROUND($J298*37.32,2),$J298))</f>
        <v/>
      </c>
      <c r="M298" s="22"/>
    </row>
    <row r="299" customFormat="false" ht="19.5" hidden="false" customHeight="true" outlineLevel="0" collapsed="false">
      <c r="B299" s="21"/>
      <c r="C299" s="21"/>
      <c r="D299" s="21"/>
      <c r="E299" s="21"/>
      <c r="F299" s="21"/>
      <c r="G299" s="29"/>
      <c r="H299" s="21"/>
      <c r="I299" s="30" t="str">
        <f aca="false">IF(OR($G299="",$H299="",NOT(ISNUMBER($G299))),"",IF($H299="Maund",ROUND($G299/37.32,2),$G299))</f>
        <v/>
      </c>
      <c r="J299" s="29"/>
      <c r="K299" s="21"/>
      <c r="L299" s="30" t="str">
        <f aca="false">IF(OR($J299="",$K299="",NOT(ISNUMBER($J299))),"",IF($K299="Maund",ROUND($J299*37.32,2),$J299))</f>
        <v/>
      </c>
      <c r="M299" s="22"/>
    </row>
    <row r="300" customFormat="false" ht="19.5" hidden="false" customHeight="true" outlineLevel="0" collapsed="false">
      <c r="B300" s="21"/>
      <c r="C300" s="21"/>
      <c r="D300" s="21"/>
      <c r="E300" s="21"/>
      <c r="F300" s="21"/>
      <c r="G300" s="29"/>
      <c r="H300" s="21"/>
      <c r="I300" s="30" t="str">
        <f aca="false">IF(OR($G300="",$H300="",NOT(ISNUMBER($G300))),"",IF($H300="Maund",ROUND($G300/37.32,2),$G300))</f>
        <v/>
      </c>
      <c r="J300" s="29"/>
      <c r="K300" s="21"/>
      <c r="L300" s="30" t="str">
        <f aca="false">IF(OR($J300="",$K300="",NOT(ISNUMBER($J300))),"",IF($K300="Maund",ROUND($J300*37.32,2),$J300))</f>
        <v/>
      </c>
      <c r="M300" s="22"/>
    </row>
    <row r="301" customFormat="false" ht="19.5" hidden="false" customHeight="true" outlineLevel="0" collapsed="false">
      <c r="B301" s="21"/>
      <c r="C301" s="21"/>
      <c r="D301" s="21"/>
      <c r="E301" s="21"/>
      <c r="F301" s="21"/>
      <c r="G301" s="29"/>
      <c r="H301" s="21"/>
      <c r="I301" s="30" t="str">
        <f aca="false">IF(OR($G301="",$H301="",NOT(ISNUMBER($G301))),"",IF($H301="Maund",ROUND($G301/37.32,2),$G301))</f>
        <v/>
      </c>
      <c r="J301" s="29"/>
      <c r="K301" s="21"/>
      <c r="L301" s="30" t="str">
        <f aca="false">IF(OR($J301="",$K301="",NOT(ISNUMBER($J301))),"",IF($K301="Maund",ROUND($J301*37.32,2),$J301))</f>
        <v/>
      </c>
      <c r="M301" s="22"/>
    </row>
    <row r="302" customFormat="false" ht="19.5" hidden="false" customHeight="true" outlineLevel="0" collapsed="false">
      <c r="B302" s="21"/>
      <c r="C302" s="21"/>
      <c r="D302" s="21"/>
      <c r="E302" s="21"/>
      <c r="F302" s="21"/>
      <c r="G302" s="29"/>
      <c r="H302" s="21"/>
      <c r="I302" s="30" t="str">
        <f aca="false">IF(OR($G302="",$H302="",NOT(ISNUMBER($G302))),"",IF($H302="Maund",ROUND($G302/37.32,2),$G302))</f>
        <v/>
      </c>
      <c r="J302" s="29"/>
      <c r="K302" s="21"/>
      <c r="L302" s="30" t="str">
        <f aca="false">IF(OR($J302="",$K302="",NOT(ISNUMBER($J302))),"",IF($K302="Maund",ROUND($J302*37.32,2),$J302))</f>
        <v/>
      </c>
      <c r="M302" s="22"/>
    </row>
    <row r="303" customFormat="false" ht="19.5" hidden="false" customHeight="true" outlineLevel="0" collapsed="false">
      <c r="B303" s="21"/>
      <c r="C303" s="21"/>
      <c r="D303" s="21"/>
      <c r="E303" s="21"/>
      <c r="F303" s="21"/>
      <c r="G303" s="29"/>
      <c r="H303" s="21"/>
      <c r="I303" s="30" t="str">
        <f aca="false">IF(OR($G303="",$H303="",NOT(ISNUMBER($G303))),"",IF($H303="Maund",ROUND($G303/37.32,2),$G303))</f>
        <v/>
      </c>
      <c r="J303" s="29"/>
      <c r="K303" s="21"/>
      <c r="L303" s="30" t="str">
        <f aca="false">IF(OR($J303="",$K303="",NOT(ISNUMBER($J303))),"",IF($K303="Maund",ROUND($J303*37.32,2),$J303))</f>
        <v/>
      </c>
      <c r="M303" s="22"/>
    </row>
    <row r="304" customFormat="false" ht="19.5" hidden="false" customHeight="true" outlineLevel="0" collapsed="false">
      <c r="B304" s="21"/>
      <c r="C304" s="21"/>
      <c r="D304" s="21"/>
      <c r="E304" s="21"/>
      <c r="F304" s="21"/>
      <c r="G304" s="29"/>
      <c r="H304" s="21"/>
      <c r="I304" s="30" t="str">
        <f aca="false">IF(OR($G304="",$H304="",NOT(ISNUMBER($G304))),"",IF($H304="Maund",ROUND($G304/37.32,2),$G304))</f>
        <v/>
      </c>
      <c r="J304" s="29"/>
      <c r="K304" s="21"/>
      <c r="L304" s="30" t="str">
        <f aca="false">IF(OR($J304="",$K304="",NOT(ISNUMBER($J304))),"",IF($K304="Maund",ROUND($J304*37.32,2),$J304))</f>
        <v/>
      </c>
      <c r="M304" s="22"/>
    </row>
    <row r="305" customFormat="false" ht="19.5" hidden="false" customHeight="true" outlineLevel="0" collapsed="false">
      <c r="B305" s="21"/>
      <c r="C305" s="21"/>
      <c r="D305" s="21"/>
      <c r="E305" s="21"/>
      <c r="F305" s="21"/>
      <c r="G305" s="29"/>
      <c r="H305" s="21"/>
      <c r="I305" s="30" t="str">
        <f aca="false">IF(OR($G305="",$H305="",NOT(ISNUMBER($G305))),"",IF($H305="Maund",ROUND($G305/37.32,2),$G305))</f>
        <v/>
      </c>
      <c r="J305" s="29"/>
      <c r="K305" s="21"/>
      <c r="L305" s="30" t="str">
        <f aca="false">IF(OR($J305="",$K305="",NOT(ISNUMBER($J305))),"",IF($K305="Maund",ROUND($J305*37.32,2),$J305))</f>
        <v/>
      </c>
      <c r="M305" s="22"/>
    </row>
    <row r="306" customFormat="false" ht="19.5" hidden="false" customHeight="true" outlineLevel="0" collapsed="false">
      <c r="B306" s="21"/>
      <c r="C306" s="21"/>
      <c r="D306" s="21"/>
      <c r="E306" s="21"/>
      <c r="F306" s="21"/>
      <c r="G306" s="29"/>
      <c r="H306" s="21"/>
      <c r="I306" s="30" t="str">
        <f aca="false">IF(OR($G306="",$H306="",NOT(ISNUMBER($G306))),"",IF($H306="Maund",ROUND($G306/37.32,2),$G306))</f>
        <v/>
      </c>
      <c r="J306" s="29"/>
      <c r="K306" s="21"/>
      <c r="L306" s="30" t="str">
        <f aca="false">IF(OR($J306="",$K306="",NOT(ISNUMBER($J306))),"",IF($K306="Maund",ROUND($J306*37.32,2),$J306))</f>
        <v/>
      </c>
      <c r="M306" s="22"/>
    </row>
    <row r="307" customFormat="false" ht="19.5" hidden="false" customHeight="true" outlineLevel="0" collapsed="false">
      <c r="B307" s="21"/>
      <c r="C307" s="21"/>
      <c r="D307" s="21"/>
      <c r="E307" s="21"/>
      <c r="F307" s="21"/>
      <c r="G307" s="29"/>
      <c r="H307" s="21"/>
      <c r="I307" s="30" t="str">
        <f aca="false">IF(OR($G307="",$H307="",NOT(ISNUMBER($G307))),"",IF($H307="Maund",ROUND($G307/37.32,2),$G307))</f>
        <v/>
      </c>
      <c r="J307" s="29"/>
      <c r="K307" s="21"/>
      <c r="L307" s="30" t="str">
        <f aca="false">IF(OR($J307="",$K307="",NOT(ISNUMBER($J307))),"",IF($K307="Maund",ROUND($J307*37.32,2),$J307))</f>
        <v/>
      </c>
      <c r="M307" s="22"/>
    </row>
    <row r="308" customFormat="false" ht="19.5" hidden="false" customHeight="true" outlineLevel="0" collapsed="false">
      <c r="B308" s="21"/>
      <c r="C308" s="21"/>
      <c r="D308" s="21"/>
      <c r="E308" s="21"/>
      <c r="F308" s="21"/>
      <c r="G308" s="29"/>
      <c r="H308" s="21"/>
      <c r="I308" s="30" t="str">
        <f aca="false">IF(OR($G308="",$H308="",NOT(ISNUMBER($G308))),"",IF($H308="Maund",ROUND($G308/37.32,2),$G308))</f>
        <v/>
      </c>
      <c r="J308" s="29"/>
      <c r="K308" s="21"/>
      <c r="L308" s="30" t="str">
        <f aca="false">IF(OR($J308="",$K308="",NOT(ISNUMBER($J308))),"",IF($K308="Maund",ROUND($J308*37.32,2),$J308))</f>
        <v/>
      </c>
      <c r="M308" s="22"/>
    </row>
    <row r="309" customFormat="false" ht="19.5" hidden="false" customHeight="true" outlineLevel="0" collapsed="false">
      <c r="B309" s="21"/>
      <c r="C309" s="21"/>
      <c r="D309" s="21"/>
      <c r="E309" s="21"/>
      <c r="F309" s="21"/>
      <c r="G309" s="29"/>
      <c r="H309" s="21"/>
      <c r="I309" s="30" t="str">
        <f aca="false">IF(OR($G309="",$H309="",NOT(ISNUMBER($G309))),"",IF($H309="Maund",ROUND($G309/37.32,2),$G309))</f>
        <v/>
      </c>
      <c r="J309" s="29"/>
      <c r="K309" s="21"/>
      <c r="L309" s="30" t="str">
        <f aca="false">IF(OR($J309="",$K309="",NOT(ISNUMBER($J309))),"",IF($K309="Maund",ROUND($J309*37.32,2),$J309))</f>
        <v/>
      </c>
      <c r="M309" s="22"/>
    </row>
    <row r="310" customFormat="false" ht="19.5" hidden="false" customHeight="true" outlineLevel="0" collapsed="false">
      <c r="B310" s="21"/>
      <c r="C310" s="21"/>
      <c r="D310" s="21"/>
      <c r="E310" s="21"/>
      <c r="F310" s="21"/>
      <c r="G310" s="29"/>
      <c r="H310" s="21"/>
      <c r="I310" s="30" t="str">
        <f aca="false">IF(OR($G310="",$H310="",NOT(ISNUMBER($G310))),"",IF($H310="Maund",ROUND($G310/37.32,2),$G310))</f>
        <v/>
      </c>
      <c r="J310" s="29"/>
      <c r="K310" s="21"/>
      <c r="L310" s="30" t="str">
        <f aca="false">IF(OR($J310="",$K310="",NOT(ISNUMBER($J310))),"",IF($K310="Maund",ROUND($J310*37.32,2),$J310))</f>
        <v/>
      </c>
      <c r="M310" s="22"/>
    </row>
    <row r="311" customFormat="false" ht="19.5" hidden="false" customHeight="true" outlineLevel="0" collapsed="false">
      <c r="B311" s="21"/>
      <c r="C311" s="21"/>
      <c r="D311" s="21"/>
      <c r="E311" s="21"/>
      <c r="F311" s="21"/>
      <c r="G311" s="29"/>
      <c r="H311" s="21"/>
      <c r="I311" s="30" t="str">
        <f aca="false">IF(OR($G311="",$H311="",NOT(ISNUMBER($G311))),"",IF($H311="Maund",ROUND($G311/37.32,2),$G311))</f>
        <v/>
      </c>
      <c r="J311" s="29"/>
      <c r="K311" s="21"/>
      <c r="L311" s="30" t="str">
        <f aca="false">IF(OR($J311="",$K311="",NOT(ISNUMBER($J311))),"",IF($K311="Maund",ROUND($J311*37.32,2),$J311))</f>
        <v/>
      </c>
      <c r="M311" s="22"/>
    </row>
    <row r="312" customFormat="false" ht="19.5" hidden="false" customHeight="true" outlineLevel="0" collapsed="false">
      <c r="B312" s="21"/>
      <c r="C312" s="21"/>
      <c r="D312" s="21"/>
      <c r="E312" s="21"/>
      <c r="F312" s="21"/>
      <c r="G312" s="29"/>
      <c r="H312" s="21"/>
      <c r="I312" s="30" t="str">
        <f aca="false">IF(OR($G312="",$H312="",NOT(ISNUMBER($G312))),"",IF($H312="Maund",ROUND($G312/37.32,2),$G312))</f>
        <v/>
      </c>
      <c r="J312" s="29"/>
      <c r="K312" s="21"/>
      <c r="L312" s="30" t="str">
        <f aca="false">IF(OR($J312="",$K312="",NOT(ISNUMBER($J312))),"",IF($K312="Maund",ROUND($J312*37.32,2),$J312))</f>
        <v/>
      </c>
      <c r="M312" s="22"/>
    </row>
    <row r="313" customFormat="false" ht="19.5" hidden="false" customHeight="true" outlineLevel="0" collapsed="false">
      <c r="B313" s="21"/>
      <c r="C313" s="21"/>
      <c r="D313" s="21"/>
      <c r="E313" s="21"/>
      <c r="F313" s="21"/>
      <c r="G313" s="29"/>
      <c r="H313" s="21"/>
      <c r="I313" s="30" t="str">
        <f aca="false">IF(OR($G313="",$H313="",NOT(ISNUMBER($G313))),"",IF($H313="Maund",ROUND($G313/37.32,2),$G313))</f>
        <v/>
      </c>
      <c r="J313" s="29"/>
      <c r="K313" s="21"/>
      <c r="L313" s="30" t="str">
        <f aca="false">IF(OR($J313="",$K313="",NOT(ISNUMBER($J313))),"",IF($K313="Maund",ROUND($J313*37.32,2),$J313))</f>
        <v/>
      </c>
      <c r="M313" s="22"/>
    </row>
    <row r="314" customFormat="false" ht="19.5" hidden="false" customHeight="true" outlineLevel="0" collapsed="false">
      <c r="B314" s="21"/>
      <c r="C314" s="21"/>
      <c r="D314" s="21"/>
      <c r="E314" s="21"/>
      <c r="F314" s="21"/>
      <c r="G314" s="29"/>
      <c r="H314" s="21"/>
      <c r="I314" s="30" t="str">
        <f aca="false">IF(OR($G314="",$H314="",NOT(ISNUMBER($G314))),"",IF($H314="Maund",ROUND($G314/37.32,2),$G314))</f>
        <v/>
      </c>
      <c r="J314" s="29"/>
      <c r="K314" s="21"/>
      <c r="L314" s="30" t="str">
        <f aca="false">IF(OR($J314="",$K314="",NOT(ISNUMBER($J314))),"",IF($K314="Maund",ROUND($J314*37.32,2),$J314))</f>
        <v/>
      </c>
      <c r="M314" s="22"/>
    </row>
    <row r="315" customFormat="false" ht="19.5" hidden="false" customHeight="true" outlineLevel="0" collapsed="false">
      <c r="B315" s="21"/>
      <c r="C315" s="21"/>
      <c r="D315" s="21"/>
      <c r="E315" s="21"/>
      <c r="F315" s="21"/>
      <c r="G315" s="29"/>
      <c r="H315" s="21"/>
      <c r="I315" s="30" t="str">
        <f aca="false">IF(OR($G315="",$H315="",NOT(ISNUMBER($G315))),"",IF($H315="Maund",ROUND($G315/37.32,2),$G315))</f>
        <v/>
      </c>
      <c r="J315" s="29"/>
      <c r="K315" s="21"/>
      <c r="L315" s="30" t="str">
        <f aca="false">IF(OR($J315="",$K315="",NOT(ISNUMBER($J315))),"",IF($K315="Maund",ROUND($J315*37.32,2),$J315))</f>
        <v/>
      </c>
      <c r="M315" s="22"/>
    </row>
    <row r="316" customFormat="false" ht="19.5" hidden="false" customHeight="true" outlineLevel="0" collapsed="false">
      <c r="B316" s="21"/>
      <c r="C316" s="21"/>
      <c r="D316" s="21"/>
      <c r="E316" s="21"/>
      <c r="F316" s="21"/>
      <c r="G316" s="29"/>
      <c r="H316" s="21"/>
      <c r="I316" s="30" t="str">
        <f aca="false">IF(OR($G316="",$H316="",NOT(ISNUMBER($G316))),"",IF($H316="Maund",ROUND($G316/37.32,2),$G316))</f>
        <v/>
      </c>
      <c r="J316" s="29"/>
      <c r="K316" s="21"/>
      <c r="L316" s="30" t="str">
        <f aca="false">IF(OR($J316="",$K316="",NOT(ISNUMBER($J316))),"",IF($K316="Maund",ROUND($J316*37.32,2),$J316))</f>
        <v/>
      </c>
      <c r="M316" s="22"/>
    </row>
    <row r="317" customFormat="false" ht="19.5" hidden="false" customHeight="true" outlineLevel="0" collapsed="false">
      <c r="B317" s="21"/>
      <c r="C317" s="21"/>
      <c r="D317" s="21"/>
      <c r="E317" s="21"/>
      <c r="F317" s="21"/>
      <c r="G317" s="29"/>
      <c r="H317" s="21"/>
      <c r="I317" s="30" t="str">
        <f aca="false">IF(OR($G317="",$H317="",NOT(ISNUMBER($G317))),"",IF($H317="Maund",ROUND($G317/37.32,2),$G317))</f>
        <v/>
      </c>
      <c r="J317" s="29"/>
      <c r="K317" s="21"/>
      <c r="L317" s="30" t="str">
        <f aca="false">IF(OR($J317="",$K317="",NOT(ISNUMBER($J317))),"",IF($K317="Maund",ROUND($J317*37.32,2),$J317))</f>
        <v/>
      </c>
      <c r="M317" s="22"/>
    </row>
    <row r="318" customFormat="false" ht="19.5" hidden="false" customHeight="true" outlineLevel="0" collapsed="false">
      <c r="B318" s="21"/>
      <c r="C318" s="21"/>
      <c r="D318" s="21"/>
      <c r="E318" s="21"/>
      <c r="F318" s="21"/>
      <c r="G318" s="29"/>
      <c r="H318" s="21"/>
      <c r="I318" s="30" t="str">
        <f aca="false">IF(OR($G318="",$H318="",NOT(ISNUMBER($G318))),"",IF($H318="Maund",ROUND($G318/37.32,2),$G318))</f>
        <v/>
      </c>
      <c r="J318" s="29"/>
      <c r="K318" s="21"/>
      <c r="L318" s="30" t="str">
        <f aca="false">IF(OR($J318="",$K318="",NOT(ISNUMBER($J318))),"",IF($K318="Maund",ROUND($J318*37.32,2),$J318))</f>
        <v/>
      </c>
      <c r="M318" s="22"/>
    </row>
    <row r="319" customFormat="false" ht="19.5" hidden="false" customHeight="true" outlineLevel="0" collapsed="false">
      <c r="B319" s="21"/>
      <c r="C319" s="21"/>
      <c r="D319" s="21"/>
      <c r="E319" s="21"/>
      <c r="F319" s="21"/>
      <c r="G319" s="29"/>
      <c r="H319" s="21"/>
      <c r="I319" s="30" t="str">
        <f aca="false">IF(OR($G319="",$H319="",NOT(ISNUMBER($G319))),"",IF($H319="Maund",ROUND($G319/37.32,2),$G319))</f>
        <v/>
      </c>
      <c r="J319" s="29"/>
      <c r="K319" s="21"/>
      <c r="L319" s="30" t="str">
        <f aca="false">IF(OR($J319="",$K319="",NOT(ISNUMBER($J319))),"",IF($K319="Maund",ROUND($J319*37.32,2),$J319))</f>
        <v/>
      </c>
      <c r="M319" s="22"/>
    </row>
    <row r="320" customFormat="false" ht="19.5" hidden="false" customHeight="true" outlineLevel="0" collapsed="false">
      <c r="B320" s="21"/>
      <c r="C320" s="21"/>
      <c r="D320" s="21"/>
      <c r="E320" s="21"/>
      <c r="F320" s="21"/>
      <c r="G320" s="29"/>
      <c r="H320" s="21"/>
      <c r="I320" s="30" t="str">
        <f aca="false">IF(OR($G320="",$H320="",NOT(ISNUMBER($G320))),"",IF($H320="Maund",ROUND($G320/37.32,2),$G320))</f>
        <v/>
      </c>
      <c r="J320" s="29"/>
      <c r="K320" s="21"/>
      <c r="L320" s="30" t="str">
        <f aca="false">IF(OR($J320="",$K320="",NOT(ISNUMBER($J320))),"",IF($K320="Maund",ROUND($J320*37.32,2),$J320))</f>
        <v/>
      </c>
      <c r="M320" s="22"/>
    </row>
    <row r="321" customFormat="false" ht="19.5" hidden="false" customHeight="true" outlineLevel="0" collapsed="false">
      <c r="B321" s="21"/>
      <c r="C321" s="21"/>
      <c r="D321" s="21"/>
      <c r="E321" s="21"/>
      <c r="F321" s="21"/>
      <c r="G321" s="29"/>
      <c r="H321" s="21"/>
      <c r="I321" s="30" t="str">
        <f aca="false">IF(OR($G321="",$H321="",NOT(ISNUMBER($G321))),"",IF($H321="Maund",ROUND($G321/37.32,2),$G321))</f>
        <v/>
      </c>
      <c r="J321" s="29"/>
      <c r="K321" s="21"/>
      <c r="L321" s="30" t="str">
        <f aca="false">IF(OR($J321="",$K321="",NOT(ISNUMBER($J321))),"",IF($K321="Maund",ROUND($J321*37.32,2),$J321))</f>
        <v/>
      </c>
      <c r="M321" s="22"/>
    </row>
    <row r="322" customFormat="false" ht="19.5" hidden="false" customHeight="true" outlineLevel="0" collapsed="false">
      <c r="B322" s="21"/>
      <c r="C322" s="21"/>
      <c r="D322" s="21"/>
      <c r="E322" s="21"/>
      <c r="F322" s="21"/>
      <c r="G322" s="29"/>
      <c r="H322" s="21"/>
      <c r="I322" s="30" t="str">
        <f aca="false">IF(OR($G322="",$H322="",NOT(ISNUMBER($G322))),"",IF($H322="Maund",ROUND($G322/37.32,2),$G322))</f>
        <v/>
      </c>
      <c r="J322" s="29"/>
      <c r="K322" s="21"/>
      <c r="L322" s="30" t="str">
        <f aca="false">IF(OR($J322="",$K322="",NOT(ISNUMBER($J322))),"",IF($K322="Maund",ROUND($J322*37.32,2),$J322))</f>
        <v/>
      </c>
      <c r="M322" s="22"/>
    </row>
    <row r="323" customFormat="false" ht="19.5" hidden="false" customHeight="true" outlineLevel="0" collapsed="false">
      <c r="B323" s="21"/>
      <c r="C323" s="21"/>
      <c r="D323" s="21"/>
      <c r="E323" s="21"/>
      <c r="F323" s="21"/>
      <c r="G323" s="29"/>
      <c r="H323" s="21"/>
      <c r="I323" s="30" t="str">
        <f aca="false">IF(OR($G323="",$H323="",NOT(ISNUMBER($G323))),"",IF($H323="Maund",ROUND($G323/37.32,2),$G323))</f>
        <v/>
      </c>
      <c r="J323" s="29"/>
      <c r="K323" s="21"/>
      <c r="L323" s="30" t="str">
        <f aca="false">IF(OR($J323="",$K323="",NOT(ISNUMBER($J323))),"",IF($K323="Maund",ROUND($J323*37.32,2),$J323))</f>
        <v/>
      </c>
      <c r="M323" s="22"/>
    </row>
    <row r="324" customFormat="false" ht="19.5" hidden="false" customHeight="true" outlineLevel="0" collapsed="false">
      <c r="B324" s="21"/>
      <c r="C324" s="21"/>
      <c r="D324" s="21"/>
      <c r="E324" s="21"/>
      <c r="F324" s="21"/>
      <c r="G324" s="29"/>
      <c r="H324" s="21"/>
      <c r="I324" s="30" t="str">
        <f aca="false">IF(OR($G324="",$H324="",NOT(ISNUMBER($G324))),"",IF($H324="Maund",ROUND($G324/37.32,2),$G324))</f>
        <v/>
      </c>
      <c r="J324" s="29"/>
      <c r="K324" s="21"/>
      <c r="L324" s="30" t="str">
        <f aca="false">IF(OR($J324="",$K324="",NOT(ISNUMBER($J324))),"",IF($K324="Maund",ROUND($J324*37.32,2),$J324))</f>
        <v/>
      </c>
      <c r="M324" s="22"/>
    </row>
    <row r="325" customFormat="false" ht="19.5" hidden="false" customHeight="true" outlineLevel="0" collapsed="false">
      <c r="B325" s="21"/>
      <c r="C325" s="21"/>
      <c r="D325" s="21"/>
      <c r="E325" s="21"/>
      <c r="F325" s="21"/>
      <c r="G325" s="29"/>
      <c r="H325" s="21"/>
      <c r="I325" s="30" t="str">
        <f aca="false">IF(OR($G325="",$H325="",NOT(ISNUMBER($G325))),"",IF($H325="Maund",ROUND($G325/37.32,2),$G325))</f>
        <v/>
      </c>
      <c r="J325" s="29"/>
      <c r="K325" s="21"/>
      <c r="L325" s="30" t="str">
        <f aca="false">IF(OR($J325="",$K325="",NOT(ISNUMBER($J325))),"",IF($K325="Maund",ROUND($J325*37.32,2),$J325))</f>
        <v/>
      </c>
      <c r="M325" s="22"/>
    </row>
    <row r="326" customFormat="false" ht="19.5" hidden="false" customHeight="true" outlineLevel="0" collapsed="false">
      <c r="B326" s="21"/>
      <c r="C326" s="21"/>
      <c r="D326" s="21"/>
      <c r="E326" s="21"/>
      <c r="F326" s="21"/>
      <c r="G326" s="29"/>
      <c r="H326" s="21"/>
      <c r="I326" s="30" t="str">
        <f aca="false">IF(OR($G326="",$H326="",NOT(ISNUMBER($G326))),"",IF($H326="Maund",ROUND($G326/37.32,2),$G326))</f>
        <v/>
      </c>
      <c r="J326" s="29"/>
      <c r="K326" s="21"/>
      <c r="L326" s="30" t="str">
        <f aca="false">IF(OR($J326="",$K326="",NOT(ISNUMBER($J326))),"",IF($K326="Maund",ROUND($J326*37.32,2),$J326))</f>
        <v/>
      </c>
      <c r="M326" s="22"/>
    </row>
    <row r="327" customFormat="false" ht="19.5" hidden="false" customHeight="true" outlineLevel="0" collapsed="false">
      <c r="B327" s="21"/>
      <c r="C327" s="21"/>
      <c r="D327" s="21"/>
      <c r="E327" s="21"/>
      <c r="F327" s="21"/>
      <c r="G327" s="29"/>
      <c r="H327" s="21"/>
      <c r="I327" s="30" t="str">
        <f aca="false">IF(OR($G327="",$H327="",NOT(ISNUMBER($G327))),"",IF($H327="Maund",ROUND($G327/37.32,2),$G327))</f>
        <v/>
      </c>
      <c r="J327" s="29"/>
      <c r="K327" s="21"/>
      <c r="L327" s="30" t="str">
        <f aca="false">IF(OR($J327="",$K327="",NOT(ISNUMBER($J327))),"",IF($K327="Maund",ROUND($J327*37.32,2),$J327))</f>
        <v/>
      </c>
      <c r="M327" s="22"/>
    </row>
    <row r="328" customFormat="false" ht="19.5" hidden="false" customHeight="true" outlineLevel="0" collapsed="false">
      <c r="B328" s="21"/>
      <c r="C328" s="21"/>
      <c r="D328" s="21"/>
      <c r="E328" s="21"/>
      <c r="F328" s="21"/>
      <c r="G328" s="29"/>
      <c r="H328" s="21"/>
      <c r="I328" s="30" t="str">
        <f aca="false">IF(OR($G328="",$H328="",NOT(ISNUMBER($G328))),"",IF($H328="Maund",ROUND($G328/37.32,2),$G328))</f>
        <v/>
      </c>
      <c r="J328" s="29"/>
      <c r="K328" s="21"/>
      <c r="L328" s="30" t="str">
        <f aca="false">IF(OR($J328="",$K328="",NOT(ISNUMBER($J328))),"",IF($K328="Maund",ROUND($J328*37.32,2),$J328))</f>
        <v/>
      </c>
      <c r="M328" s="22"/>
    </row>
    <row r="329" customFormat="false" ht="19.5" hidden="false" customHeight="true" outlineLevel="0" collapsed="false">
      <c r="B329" s="21"/>
      <c r="C329" s="21"/>
      <c r="D329" s="21"/>
      <c r="E329" s="21"/>
      <c r="F329" s="21"/>
      <c r="G329" s="29"/>
      <c r="H329" s="21"/>
      <c r="I329" s="30" t="str">
        <f aca="false">IF(OR($G329="",$H329="",NOT(ISNUMBER($G329))),"",IF($H329="Maund",ROUND($G329/37.32,2),$G329))</f>
        <v/>
      </c>
      <c r="J329" s="29"/>
      <c r="K329" s="21"/>
      <c r="L329" s="30" t="str">
        <f aca="false">IF(OR($J329="",$K329="",NOT(ISNUMBER($J329))),"",IF($K329="Maund",ROUND($J329*37.32,2),$J329))</f>
        <v/>
      </c>
      <c r="M329" s="22"/>
    </row>
    <row r="330" customFormat="false" ht="19.5" hidden="false" customHeight="true" outlineLevel="0" collapsed="false">
      <c r="B330" s="21"/>
      <c r="C330" s="21"/>
      <c r="D330" s="21"/>
      <c r="E330" s="21"/>
      <c r="F330" s="21"/>
      <c r="G330" s="29"/>
      <c r="H330" s="21"/>
      <c r="I330" s="30" t="str">
        <f aca="false">IF(OR($G330="",$H330="",NOT(ISNUMBER($G330))),"",IF($H330="Maund",ROUND($G330/37.32,2),$G330))</f>
        <v/>
      </c>
      <c r="J330" s="29"/>
      <c r="K330" s="21"/>
      <c r="L330" s="30" t="str">
        <f aca="false">IF(OR($J330="",$K330="",NOT(ISNUMBER($J330))),"",IF($K330="Maund",ROUND($J330*37.32,2),$J330))</f>
        <v/>
      </c>
      <c r="M330" s="22"/>
    </row>
    <row r="331" customFormat="false" ht="19.5" hidden="false" customHeight="true" outlineLevel="0" collapsed="false">
      <c r="B331" s="21"/>
      <c r="C331" s="21"/>
      <c r="D331" s="21"/>
      <c r="E331" s="21"/>
      <c r="F331" s="21"/>
      <c r="G331" s="29"/>
      <c r="H331" s="21"/>
      <c r="I331" s="30" t="str">
        <f aca="false">IF(OR($G331="",$H331="",NOT(ISNUMBER($G331))),"",IF($H331="Maund",ROUND($G331/37.32,2),$G331))</f>
        <v/>
      </c>
      <c r="J331" s="29"/>
      <c r="K331" s="21"/>
      <c r="L331" s="30" t="str">
        <f aca="false">IF(OR($J331="",$K331="",NOT(ISNUMBER($J331))),"",IF($K331="Maund",ROUND($J331*37.32,2),$J331))</f>
        <v/>
      </c>
      <c r="M331" s="22"/>
    </row>
    <row r="332" customFormat="false" ht="19.5" hidden="false" customHeight="true" outlineLevel="0" collapsed="false">
      <c r="B332" s="21"/>
      <c r="C332" s="21"/>
      <c r="D332" s="21"/>
      <c r="E332" s="21"/>
      <c r="F332" s="21"/>
      <c r="G332" s="29"/>
      <c r="H332" s="21"/>
      <c r="I332" s="30" t="str">
        <f aca="false">IF(OR($G332="",$H332="",NOT(ISNUMBER($G332))),"",IF($H332="Maund",ROUND($G332/37.32,2),$G332))</f>
        <v/>
      </c>
      <c r="J332" s="29"/>
      <c r="K332" s="21"/>
      <c r="L332" s="30" t="str">
        <f aca="false">IF(OR($J332="",$K332="",NOT(ISNUMBER($J332))),"",IF($K332="Maund",ROUND($J332*37.32,2),$J332))</f>
        <v/>
      </c>
      <c r="M332" s="22"/>
    </row>
    <row r="333" customFormat="false" ht="19.5" hidden="false" customHeight="true" outlineLevel="0" collapsed="false">
      <c r="B333" s="21"/>
      <c r="C333" s="21"/>
      <c r="D333" s="21"/>
      <c r="E333" s="21"/>
      <c r="F333" s="21"/>
      <c r="G333" s="29"/>
      <c r="H333" s="21"/>
      <c r="I333" s="30" t="str">
        <f aca="false">IF(OR($G333="",$H333="",NOT(ISNUMBER($G333))),"",IF($H333="Maund",ROUND($G333/37.32,2),$G333))</f>
        <v/>
      </c>
      <c r="J333" s="29"/>
      <c r="K333" s="21"/>
      <c r="L333" s="30" t="str">
        <f aca="false">IF(OR($J333="",$K333="",NOT(ISNUMBER($J333))),"",IF($K333="Maund",ROUND($J333*37.32,2),$J333))</f>
        <v/>
      </c>
      <c r="M333" s="22"/>
    </row>
    <row r="334" customFormat="false" ht="19.5" hidden="false" customHeight="true" outlineLevel="0" collapsed="false">
      <c r="B334" s="21"/>
      <c r="C334" s="21"/>
      <c r="D334" s="21"/>
      <c r="E334" s="21"/>
      <c r="F334" s="21"/>
      <c r="G334" s="29"/>
      <c r="H334" s="21"/>
      <c r="I334" s="30" t="str">
        <f aca="false">IF(OR($G334="",$H334="",NOT(ISNUMBER($G334))),"",IF($H334="Maund",ROUND($G334/37.32,2),$G334))</f>
        <v/>
      </c>
      <c r="J334" s="29"/>
      <c r="K334" s="21"/>
      <c r="L334" s="30" t="str">
        <f aca="false">IF(OR($J334="",$K334="",NOT(ISNUMBER($J334))),"",IF($K334="Maund",ROUND($J334*37.32,2),$J334))</f>
        <v/>
      </c>
      <c r="M334" s="22"/>
    </row>
    <row r="335" customFormat="false" ht="19.5" hidden="false" customHeight="true" outlineLevel="0" collapsed="false">
      <c r="B335" s="21"/>
      <c r="C335" s="21"/>
      <c r="D335" s="21"/>
      <c r="E335" s="21"/>
      <c r="F335" s="21"/>
      <c r="G335" s="29"/>
      <c r="H335" s="21"/>
      <c r="I335" s="30" t="str">
        <f aca="false">IF(OR($G335="",$H335="",NOT(ISNUMBER($G335))),"",IF($H335="Maund",ROUND($G335/37.32,2),$G335))</f>
        <v/>
      </c>
      <c r="J335" s="29"/>
      <c r="K335" s="21"/>
      <c r="L335" s="30" t="str">
        <f aca="false">IF(OR($J335="",$K335="",NOT(ISNUMBER($J335))),"",IF($K335="Maund",ROUND($J335*37.32,2),$J335))</f>
        <v/>
      </c>
      <c r="M335" s="22"/>
    </row>
    <row r="336" customFormat="false" ht="19.5" hidden="false" customHeight="true" outlineLevel="0" collapsed="false">
      <c r="B336" s="21"/>
      <c r="C336" s="21"/>
      <c r="D336" s="21"/>
      <c r="E336" s="21"/>
      <c r="F336" s="21"/>
      <c r="G336" s="29"/>
      <c r="H336" s="21"/>
      <c r="I336" s="30" t="str">
        <f aca="false">IF(OR($G336="",$H336="",NOT(ISNUMBER($G336))),"",IF($H336="Maund",ROUND($G336/37.32,2),$G336))</f>
        <v/>
      </c>
      <c r="J336" s="29"/>
      <c r="K336" s="21"/>
      <c r="L336" s="30" t="str">
        <f aca="false">IF(OR($J336="",$K336="",NOT(ISNUMBER($J336))),"",IF($K336="Maund",ROUND($J336*37.32,2),$J336))</f>
        <v/>
      </c>
      <c r="M336" s="22"/>
    </row>
    <row r="337" customFormat="false" ht="19.5" hidden="false" customHeight="true" outlineLevel="0" collapsed="false">
      <c r="B337" s="21"/>
      <c r="C337" s="21"/>
      <c r="D337" s="21"/>
      <c r="E337" s="21"/>
      <c r="F337" s="21"/>
      <c r="G337" s="29"/>
      <c r="H337" s="21"/>
      <c r="I337" s="30" t="str">
        <f aca="false">IF(OR($G337="",$H337="",NOT(ISNUMBER($G337))),"",IF($H337="Maund",ROUND($G337/37.32,2),$G337))</f>
        <v/>
      </c>
      <c r="J337" s="29"/>
      <c r="K337" s="21"/>
      <c r="L337" s="30" t="str">
        <f aca="false">IF(OR($J337="",$K337="",NOT(ISNUMBER($J337))),"",IF($K337="Maund",ROUND($J337*37.32,2),$J337))</f>
        <v/>
      </c>
      <c r="M337" s="22"/>
    </row>
    <row r="338" customFormat="false" ht="19.5" hidden="false" customHeight="true" outlineLevel="0" collapsed="false">
      <c r="B338" s="21"/>
      <c r="C338" s="21"/>
      <c r="D338" s="21"/>
      <c r="E338" s="21"/>
      <c r="F338" s="21"/>
      <c r="G338" s="29"/>
      <c r="H338" s="21"/>
      <c r="I338" s="30" t="str">
        <f aca="false">IF(OR($G338="",$H338="",NOT(ISNUMBER($G338))),"",IF($H338="Maund",ROUND($G338/37.32,2),$G338))</f>
        <v/>
      </c>
      <c r="J338" s="29"/>
      <c r="K338" s="21"/>
      <c r="L338" s="30" t="str">
        <f aca="false">IF(OR($J338="",$K338="",NOT(ISNUMBER($J338))),"",IF($K338="Maund",ROUND($J338*37.32,2),$J338))</f>
        <v/>
      </c>
      <c r="M338" s="22"/>
    </row>
    <row r="339" customFormat="false" ht="19.5" hidden="false" customHeight="true" outlineLevel="0" collapsed="false">
      <c r="B339" s="21"/>
      <c r="C339" s="21"/>
      <c r="D339" s="21"/>
      <c r="E339" s="21"/>
      <c r="F339" s="21"/>
      <c r="G339" s="29"/>
      <c r="H339" s="21"/>
      <c r="I339" s="30" t="str">
        <f aca="false">IF(OR($G339="",$H339="",NOT(ISNUMBER($G339))),"",IF($H339="Maund",ROUND($G339/37.32,2),$G339))</f>
        <v/>
      </c>
      <c r="J339" s="29"/>
      <c r="K339" s="21"/>
      <c r="L339" s="30" t="str">
        <f aca="false">IF(OR($J339="",$K339="",NOT(ISNUMBER($J339))),"",IF($K339="Maund",ROUND($J339*37.32,2),$J339))</f>
        <v/>
      </c>
      <c r="M339" s="22"/>
    </row>
    <row r="340" customFormat="false" ht="19.5" hidden="false" customHeight="true" outlineLevel="0" collapsed="false">
      <c r="B340" s="21"/>
      <c r="C340" s="21"/>
      <c r="D340" s="21"/>
      <c r="E340" s="21"/>
      <c r="F340" s="21"/>
      <c r="G340" s="29"/>
      <c r="H340" s="21"/>
      <c r="I340" s="30" t="str">
        <f aca="false">IF(OR($G340="",$H340="",NOT(ISNUMBER($G340))),"",IF($H340="Maund",ROUND($G340/37.32,2),$G340))</f>
        <v/>
      </c>
      <c r="J340" s="29"/>
      <c r="K340" s="21"/>
      <c r="L340" s="30" t="str">
        <f aca="false">IF(OR($J340="",$K340="",NOT(ISNUMBER($J340))),"",IF($K340="Maund",ROUND($J340*37.32,2),$J340))</f>
        <v/>
      </c>
      <c r="M340" s="22"/>
    </row>
    <row r="341" customFormat="false" ht="19.5" hidden="false" customHeight="true" outlineLevel="0" collapsed="false">
      <c r="B341" s="21"/>
      <c r="C341" s="21"/>
      <c r="D341" s="21"/>
      <c r="E341" s="21"/>
      <c r="F341" s="21"/>
      <c r="G341" s="29"/>
      <c r="H341" s="21"/>
      <c r="I341" s="30" t="str">
        <f aca="false">IF(OR($G341="",$H341="",NOT(ISNUMBER($G341))),"",IF($H341="Maund",ROUND($G341/37.32,2),$G341))</f>
        <v/>
      </c>
      <c r="J341" s="29"/>
      <c r="K341" s="21"/>
      <c r="L341" s="30" t="str">
        <f aca="false">IF(OR($J341="",$K341="",NOT(ISNUMBER($J341))),"",IF($K341="Maund",ROUND($J341*37.32,2),$J341))</f>
        <v/>
      </c>
      <c r="M341" s="22"/>
    </row>
    <row r="342" customFormat="false" ht="19.5" hidden="false" customHeight="true" outlineLevel="0" collapsed="false">
      <c r="B342" s="21"/>
      <c r="C342" s="21"/>
      <c r="D342" s="21"/>
      <c r="E342" s="21"/>
      <c r="F342" s="21"/>
      <c r="G342" s="29"/>
      <c r="H342" s="21"/>
      <c r="I342" s="30" t="str">
        <f aca="false">IF(OR($G342="",$H342="",NOT(ISNUMBER($G342))),"",IF($H342="Maund",ROUND($G342/37.32,2),$G342))</f>
        <v/>
      </c>
      <c r="J342" s="29"/>
      <c r="K342" s="21"/>
      <c r="L342" s="30" t="str">
        <f aca="false">IF(OR($J342="",$K342="",NOT(ISNUMBER($J342))),"",IF($K342="Maund",ROUND($J342*37.32,2),$J342))</f>
        <v/>
      </c>
      <c r="M342" s="22"/>
    </row>
    <row r="343" customFormat="false" ht="19.5" hidden="false" customHeight="true" outlineLevel="0" collapsed="false">
      <c r="B343" s="21"/>
      <c r="C343" s="21"/>
      <c r="D343" s="21"/>
      <c r="E343" s="21"/>
      <c r="F343" s="21"/>
      <c r="G343" s="29"/>
      <c r="H343" s="21"/>
      <c r="I343" s="30" t="str">
        <f aca="false">IF(OR($G343="",$H343="",NOT(ISNUMBER($G343))),"",IF($H343="Maund",ROUND($G343/37.32,2),$G343))</f>
        <v/>
      </c>
      <c r="J343" s="29"/>
      <c r="K343" s="21"/>
      <c r="L343" s="30" t="str">
        <f aca="false">IF(OR($J343="",$K343="",NOT(ISNUMBER($J343))),"",IF($K343="Maund",ROUND($J343*37.32,2),$J343))</f>
        <v/>
      </c>
      <c r="M343" s="22"/>
    </row>
    <row r="344" customFormat="false" ht="19.5" hidden="false" customHeight="true" outlineLevel="0" collapsed="false">
      <c r="B344" s="21"/>
      <c r="C344" s="21"/>
      <c r="D344" s="21"/>
      <c r="E344" s="21"/>
      <c r="F344" s="21"/>
      <c r="G344" s="29"/>
      <c r="H344" s="21"/>
      <c r="I344" s="30" t="str">
        <f aca="false">IF(OR($G344="",$H344="",NOT(ISNUMBER($G344))),"",IF($H344="Maund",ROUND($G344/37.32,2),$G344))</f>
        <v/>
      </c>
      <c r="J344" s="29"/>
      <c r="K344" s="21"/>
      <c r="L344" s="30" t="str">
        <f aca="false">IF(OR($J344="",$K344="",NOT(ISNUMBER($J344))),"",IF($K344="Maund",ROUND($J344*37.32,2),$J344))</f>
        <v/>
      </c>
      <c r="M344" s="22"/>
    </row>
    <row r="345" customFormat="false" ht="19.5" hidden="false" customHeight="true" outlineLevel="0" collapsed="false">
      <c r="B345" s="21"/>
      <c r="C345" s="21"/>
      <c r="D345" s="21"/>
      <c r="E345" s="21"/>
      <c r="F345" s="21"/>
      <c r="G345" s="29"/>
      <c r="H345" s="21"/>
      <c r="I345" s="30" t="str">
        <f aca="false">IF(OR($G345="",$H345="",NOT(ISNUMBER($G345))),"",IF($H345="Maund",ROUND($G345/37.32,2),$G345))</f>
        <v/>
      </c>
      <c r="J345" s="29"/>
      <c r="K345" s="21"/>
      <c r="L345" s="30" t="str">
        <f aca="false">IF(OR($J345="",$K345="",NOT(ISNUMBER($J345))),"",IF($K345="Maund",ROUND($J345*37.32,2),$J345))</f>
        <v/>
      </c>
      <c r="M345" s="22"/>
    </row>
    <row r="346" customFormat="false" ht="19.5" hidden="false" customHeight="true" outlineLevel="0" collapsed="false">
      <c r="B346" s="21"/>
      <c r="C346" s="21"/>
      <c r="D346" s="21"/>
      <c r="E346" s="21"/>
      <c r="F346" s="21"/>
      <c r="G346" s="29"/>
      <c r="H346" s="21"/>
      <c r="I346" s="30" t="str">
        <f aca="false">IF(OR($G346="",$H346="",NOT(ISNUMBER($G346))),"",IF($H346="Maund",ROUND($G346/37.32,2),$G346))</f>
        <v/>
      </c>
      <c r="J346" s="29"/>
      <c r="K346" s="21"/>
      <c r="L346" s="30" t="str">
        <f aca="false">IF(OR($J346="",$K346="",NOT(ISNUMBER($J346))),"",IF($K346="Maund",ROUND($J346*37.32,2),$J346))</f>
        <v/>
      </c>
      <c r="M346" s="22"/>
    </row>
    <row r="347" customFormat="false" ht="19.5" hidden="false" customHeight="true" outlineLevel="0" collapsed="false">
      <c r="B347" s="21"/>
      <c r="C347" s="21"/>
      <c r="D347" s="21"/>
      <c r="E347" s="21"/>
      <c r="F347" s="21"/>
      <c r="G347" s="29"/>
      <c r="H347" s="21"/>
      <c r="I347" s="30" t="str">
        <f aca="false">IF(OR($G347="",$H347="",NOT(ISNUMBER($G347))),"",IF($H347="Maund",ROUND($G347/37.32,2),$G347))</f>
        <v/>
      </c>
      <c r="J347" s="29"/>
      <c r="K347" s="21"/>
      <c r="L347" s="30" t="str">
        <f aca="false">IF(OR($J347="",$K347="",NOT(ISNUMBER($J347))),"",IF($K347="Maund",ROUND($J347*37.32,2),$J347))</f>
        <v/>
      </c>
      <c r="M347" s="22"/>
    </row>
    <row r="348" customFormat="false" ht="19.5" hidden="false" customHeight="true" outlineLevel="0" collapsed="false">
      <c r="B348" s="21"/>
      <c r="C348" s="21"/>
      <c r="D348" s="21"/>
      <c r="E348" s="21"/>
      <c r="F348" s="21"/>
      <c r="G348" s="29"/>
      <c r="H348" s="21"/>
      <c r="I348" s="30" t="str">
        <f aca="false">IF(OR($G348="",$H348="",NOT(ISNUMBER($G348))),"",IF($H348="Maund",ROUND($G348/37.32,2),$G348))</f>
        <v/>
      </c>
      <c r="J348" s="29"/>
      <c r="K348" s="21"/>
      <c r="L348" s="30" t="str">
        <f aca="false">IF(OR($J348="",$K348="",NOT(ISNUMBER($J348))),"",IF($K348="Maund",ROUND($J348*37.32,2),$J348))</f>
        <v/>
      </c>
      <c r="M348" s="22"/>
    </row>
    <row r="349" customFormat="false" ht="19.5" hidden="false" customHeight="true" outlineLevel="0" collapsed="false">
      <c r="B349" s="21"/>
      <c r="C349" s="21"/>
      <c r="D349" s="21"/>
      <c r="E349" s="21"/>
      <c r="F349" s="21"/>
      <c r="G349" s="29"/>
      <c r="H349" s="21"/>
      <c r="I349" s="30" t="str">
        <f aca="false">IF(OR($G349="",$H349="",NOT(ISNUMBER($G349))),"",IF($H349="Maund",ROUND($G349/37.32,2),$G349))</f>
        <v/>
      </c>
      <c r="J349" s="29"/>
      <c r="K349" s="21"/>
      <c r="L349" s="30" t="str">
        <f aca="false">IF(OR($J349="",$K349="",NOT(ISNUMBER($J349))),"",IF($K349="Maund",ROUND($J349*37.32,2),$J349))</f>
        <v/>
      </c>
      <c r="M349" s="22"/>
    </row>
    <row r="350" customFormat="false" ht="19.5" hidden="false" customHeight="true" outlineLevel="0" collapsed="false">
      <c r="B350" s="21"/>
      <c r="C350" s="21"/>
      <c r="D350" s="21"/>
      <c r="E350" s="21"/>
      <c r="F350" s="21"/>
      <c r="G350" s="29"/>
      <c r="H350" s="21"/>
      <c r="I350" s="30" t="str">
        <f aca="false">IF(OR($G350="",$H350="",NOT(ISNUMBER($G350))),"",IF($H350="Maund",ROUND($G350/37.32,2),$G350))</f>
        <v/>
      </c>
      <c r="J350" s="29"/>
      <c r="K350" s="21"/>
      <c r="L350" s="30" t="str">
        <f aca="false">IF(OR($J350="",$K350="",NOT(ISNUMBER($J350))),"",IF($K350="Maund",ROUND($J350*37.32,2),$J350))</f>
        <v/>
      </c>
      <c r="M350" s="22"/>
    </row>
    <row r="351" customFormat="false" ht="19.5" hidden="false" customHeight="true" outlineLevel="0" collapsed="false">
      <c r="B351" s="21"/>
      <c r="C351" s="21"/>
      <c r="D351" s="21"/>
      <c r="E351" s="21"/>
      <c r="F351" s="21"/>
      <c r="G351" s="29"/>
      <c r="H351" s="21"/>
      <c r="I351" s="30" t="str">
        <f aca="false">IF(OR($G351="",$H351="",NOT(ISNUMBER($G351))),"",IF($H351="Maund",ROUND($G351/37.32,2),$G351))</f>
        <v/>
      </c>
      <c r="J351" s="29"/>
      <c r="K351" s="21"/>
      <c r="L351" s="30" t="str">
        <f aca="false">IF(OR($J351="",$K351="",NOT(ISNUMBER($J351))),"",IF($K351="Maund",ROUND($J351*37.32,2),$J351))</f>
        <v/>
      </c>
      <c r="M351" s="22"/>
    </row>
    <row r="352" customFormat="false" ht="19.5" hidden="false" customHeight="true" outlineLevel="0" collapsed="false">
      <c r="B352" s="21"/>
      <c r="C352" s="21"/>
      <c r="D352" s="21"/>
      <c r="E352" s="21"/>
      <c r="F352" s="21"/>
      <c r="G352" s="29"/>
      <c r="H352" s="21"/>
      <c r="I352" s="30" t="str">
        <f aca="false">IF(OR($G352="",$H352="",NOT(ISNUMBER($G352))),"",IF($H352="Maund",ROUND($G352/37.32,2),$G352))</f>
        <v/>
      </c>
      <c r="J352" s="29"/>
      <c r="K352" s="21"/>
      <c r="L352" s="30" t="str">
        <f aca="false">IF(OR($J352="",$K352="",NOT(ISNUMBER($J352))),"",IF($K352="Maund",ROUND($J352*37.32,2),$J352))</f>
        <v/>
      </c>
      <c r="M352" s="22"/>
    </row>
    <row r="353" customFormat="false" ht="19.5" hidden="false" customHeight="true" outlineLevel="0" collapsed="false">
      <c r="B353" s="21"/>
      <c r="C353" s="21"/>
      <c r="D353" s="21"/>
      <c r="E353" s="21"/>
      <c r="F353" s="21"/>
      <c r="G353" s="29"/>
      <c r="H353" s="21"/>
      <c r="I353" s="30" t="str">
        <f aca="false">IF(OR($G353="",$H353="",NOT(ISNUMBER($G353))),"",IF($H353="Maund",ROUND($G353/37.32,2),$G353))</f>
        <v/>
      </c>
      <c r="J353" s="29"/>
      <c r="K353" s="21"/>
      <c r="L353" s="30" t="str">
        <f aca="false">IF(OR($J353="",$K353="",NOT(ISNUMBER($J353))),"",IF($K353="Maund",ROUND($J353*37.32,2),$J353))</f>
        <v/>
      </c>
      <c r="M353" s="22"/>
    </row>
    <row r="354" customFormat="false" ht="19.5" hidden="false" customHeight="true" outlineLevel="0" collapsed="false">
      <c r="B354" s="21"/>
      <c r="C354" s="21"/>
      <c r="D354" s="21"/>
      <c r="E354" s="21"/>
      <c r="F354" s="21"/>
      <c r="G354" s="29"/>
      <c r="H354" s="21"/>
      <c r="I354" s="30" t="str">
        <f aca="false">IF(OR($G354="",$H354="",NOT(ISNUMBER($G354))),"",IF($H354="Maund",ROUND($G354/37.32,2),$G354))</f>
        <v/>
      </c>
      <c r="J354" s="29"/>
      <c r="K354" s="21"/>
      <c r="L354" s="30" t="str">
        <f aca="false">IF(OR($J354="",$K354="",NOT(ISNUMBER($J354))),"",IF($K354="Maund",ROUND($J354*37.32,2),$J354))</f>
        <v/>
      </c>
      <c r="M354" s="22"/>
    </row>
  </sheetData>
  <autoFilter ref="B4:M354"/>
  <mergeCells count="1">
    <mergeCell ref="B2:M2"/>
  </mergeCells>
  <dataValidations count="7">
    <dataValidation allowBlank="true" error="Enter a number between 0 and 1000000." errorStyle="stop" errorTitle="Out of range" operator="between" showDropDown="false" showErrorMessage="true" showInputMessage="false" sqref="J5:J354" type="decimal">
      <formula1>0</formula1>
      <formula2>1000000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35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D5:D354" type="list">
      <formula1>"S01,S02,S03,S04,S05,S06,S07,S08,S09,S10"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E5:E354" type="list">
      <formula1>"Yes,No"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H5:H354 K5:K354" type="list">
      <formula1>"Maund,Kg"</formula1>
      <formula2>0</formula2>
    </dataValidation>
    <dataValidation allowBlank="true" error="Enter a price in BDT, or the flag K (not handled today) / D (declined) / - (not applicable)." errorStyle="stop" errorTitle="Invalid price entry" operator="between" prompt="Number = BDT amount; K = not handled today; D = declined to disclose; - = not applicable." promptTitle="Price or flag" showDropDown="false" showErrorMessage="true" showInputMessage="false" sqref="G5:G354" type="custom">
      <formula1>OR(ISNUMBER($G5),$G5="K",$G5="D",$G5="-",$G5="")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F5:F354" type="list">
      <formula1>"Retailer,Hawker"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B2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8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8"/>
    <col collapsed="false" customWidth="true" hidden="false" outlineLevel="0" max="12" min="12" style="1" width="22"/>
  </cols>
  <sheetData>
    <row r="2" customFormat="false" ht="31.5" hidden="false" customHeight="true" outlineLevel="0" collapsed="false">
      <c r="B2" s="2" t="s">
        <v>899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7.75" hidden="false" customHeight="true" outlineLevel="0" collapsed="false">
      <c r="B4" s="11" t="s">
        <v>37</v>
      </c>
      <c r="C4" s="11" t="s">
        <v>58</v>
      </c>
      <c r="D4" s="11" t="s">
        <v>900</v>
      </c>
      <c r="E4" s="11" t="s">
        <v>897</v>
      </c>
      <c r="F4" s="11" t="s">
        <v>387</v>
      </c>
      <c r="G4" s="11" t="s">
        <v>898</v>
      </c>
      <c r="H4" s="11" t="s">
        <v>390</v>
      </c>
      <c r="I4" s="11" t="s">
        <v>391</v>
      </c>
      <c r="J4" s="11" t="s">
        <v>392</v>
      </c>
      <c r="K4" s="11" t="s">
        <v>901</v>
      </c>
      <c r="L4" s="11" t="s">
        <v>94</v>
      </c>
    </row>
    <row r="5" customFormat="false" ht="19.5" hidden="false" customHeight="true" outlineLevel="0" collapsed="false">
      <c r="B5" s="21"/>
      <c r="C5" s="21"/>
      <c r="D5" s="22"/>
      <c r="E5" s="29"/>
      <c r="F5" s="21"/>
      <c r="G5" s="30" t="str">
        <f aca="false">IF(OR($E5="",$F5="",NOT(ISNUMBER($E5))),"",IF($F5="Maund",ROUND($E5/37.32,2),$E5))</f>
        <v/>
      </c>
      <c r="H5" s="29"/>
      <c r="I5" s="21"/>
      <c r="J5" s="30" t="str">
        <f aca="false">IF(OR($H5="",$I5="",NOT(ISNUMBER($H5))),"",IF($I5="Maund",ROUND($H5*37.32,2),$H5))</f>
        <v/>
      </c>
      <c r="K5" s="22"/>
      <c r="L5" s="22"/>
    </row>
    <row r="6" customFormat="false" ht="19.5" hidden="false" customHeight="true" outlineLevel="0" collapsed="false">
      <c r="B6" s="21"/>
      <c r="C6" s="21"/>
      <c r="D6" s="22"/>
      <c r="E6" s="29"/>
      <c r="F6" s="21"/>
      <c r="G6" s="30" t="str">
        <f aca="false">IF(OR($E6="",$F6="",NOT(ISNUMBER($E6))),"",IF($F6="Maund",ROUND($E6/37.32,2),$E6))</f>
        <v/>
      </c>
      <c r="H6" s="29"/>
      <c r="I6" s="21"/>
      <c r="J6" s="30" t="str">
        <f aca="false">IF(OR($H6="",$I6="",NOT(ISNUMBER($H6))),"",IF($I6="Maund",ROUND($H6*37.32,2),$H6))</f>
        <v/>
      </c>
      <c r="K6" s="22"/>
      <c r="L6" s="22"/>
    </row>
    <row r="7" customFormat="false" ht="19.5" hidden="false" customHeight="true" outlineLevel="0" collapsed="false">
      <c r="B7" s="21"/>
      <c r="C7" s="21"/>
      <c r="D7" s="22"/>
      <c r="E7" s="29"/>
      <c r="F7" s="21"/>
      <c r="G7" s="30" t="str">
        <f aca="false">IF(OR($E7="",$F7="",NOT(ISNUMBER($E7))),"",IF($F7="Maund",ROUND($E7/37.32,2),$E7))</f>
        <v/>
      </c>
      <c r="H7" s="29"/>
      <c r="I7" s="21"/>
      <c r="J7" s="30" t="str">
        <f aca="false">IF(OR($H7="",$I7="",NOT(ISNUMBER($H7))),"",IF($I7="Maund",ROUND($H7*37.32,2),$H7))</f>
        <v/>
      </c>
      <c r="K7" s="22"/>
      <c r="L7" s="22"/>
    </row>
    <row r="8" customFormat="false" ht="19.5" hidden="false" customHeight="true" outlineLevel="0" collapsed="false">
      <c r="B8" s="21"/>
      <c r="C8" s="21"/>
      <c r="D8" s="22"/>
      <c r="E8" s="29"/>
      <c r="F8" s="21"/>
      <c r="G8" s="30" t="str">
        <f aca="false">IF(OR($E8="",$F8="",NOT(ISNUMBER($E8))),"",IF($F8="Maund",ROUND($E8/37.32,2),$E8))</f>
        <v/>
      </c>
      <c r="H8" s="29"/>
      <c r="I8" s="21"/>
      <c r="J8" s="30" t="str">
        <f aca="false">IF(OR($H8="",$I8="",NOT(ISNUMBER($H8))),"",IF($I8="Maund",ROUND($H8*37.32,2),$H8))</f>
        <v/>
      </c>
      <c r="K8" s="22"/>
      <c r="L8" s="22"/>
    </row>
    <row r="9" customFormat="false" ht="19.5" hidden="false" customHeight="true" outlineLevel="0" collapsed="false">
      <c r="B9" s="21"/>
      <c r="C9" s="21"/>
      <c r="D9" s="22"/>
      <c r="E9" s="29"/>
      <c r="F9" s="21"/>
      <c r="G9" s="30" t="str">
        <f aca="false">IF(OR($E9="",$F9="",NOT(ISNUMBER($E9))),"",IF($F9="Maund",ROUND($E9/37.32,2),$E9))</f>
        <v/>
      </c>
      <c r="H9" s="29"/>
      <c r="I9" s="21"/>
      <c r="J9" s="30" t="str">
        <f aca="false">IF(OR($H9="",$I9="",NOT(ISNUMBER($H9))),"",IF($I9="Maund",ROUND($H9*37.32,2),$H9))</f>
        <v/>
      </c>
      <c r="K9" s="22"/>
      <c r="L9" s="22"/>
    </row>
    <row r="10" customFormat="false" ht="19.5" hidden="false" customHeight="true" outlineLevel="0" collapsed="false">
      <c r="B10" s="21"/>
      <c r="C10" s="21"/>
      <c r="D10" s="22"/>
      <c r="E10" s="29"/>
      <c r="F10" s="21"/>
      <c r="G10" s="30" t="str">
        <f aca="false">IF(OR($E10="",$F10="",NOT(ISNUMBER($E10))),"",IF($F10="Maund",ROUND($E10/37.32,2),$E10))</f>
        <v/>
      </c>
      <c r="H10" s="29"/>
      <c r="I10" s="21"/>
      <c r="J10" s="30" t="str">
        <f aca="false">IF(OR($H10="",$I10="",NOT(ISNUMBER($H10))),"",IF($I10="Maund",ROUND($H10*37.32,2),$H10))</f>
        <v/>
      </c>
      <c r="K10" s="22"/>
      <c r="L10" s="22"/>
    </row>
    <row r="11" customFormat="false" ht="19.5" hidden="false" customHeight="true" outlineLevel="0" collapsed="false">
      <c r="B11" s="21"/>
      <c r="C11" s="21"/>
      <c r="D11" s="22"/>
      <c r="E11" s="29"/>
      <c r="F11" s="21"/>
      <c r="G11" s="30" t="str">
        <f aca="false">IF(OR($E11="",$F11="",NOT(ISNUMBER($E11))),"",IF($F11="Maund",ROUND($E11/37.32,2),$E11))</f>
        <v/>
      </c>
      <c r="H11" s="29"/>
      <c r="I11" s="21"/>
      <c r="J11" s="30" t="str">
        <f aca="false">IF(OR($H11="",$I11="",NOT(ISNUMBER($H11))),"",IF($I11="Maund",ROUND($H11*37.32,2),$H11))</f>
        <v/>
      </c>
      <c r="K11" s="22"/>
      <c r="L11" s="22"/>
    </row>
    <row r="12" customFormat="false" ht="19.5" hidden="false" customHeight="true" outlineLevel="0" collapsed="false">
      <c r="B12" s="21"/>
      <c r="C12" s="21"/>
      <c r="D12" s="22"/>
      <c r="E12" s="29"/>
      <c r="F12" s="21"/>
      <c r="G12" s="30" t="str">
        <f aca="false">IF(OR($E12="",$F12="",NOT(ISNUMBER($E12))),"",IF($F12="Maund",ROUND($E12/37.32,2),$E12))</f>
        <v/>
      </c>
      <c r="H12" s="29"/>
      <c r="I12" s="21"/>
      <c r="J12" s="30" t="str">
        <f aca="false">IF(OR($H12="",$I12="",NOT(ISNUMBER($H12))),"",IF($I12="Maund",ROUND($H12*37.32,2),$H12))</f>
        <v/>
      </c>
      <c r="K12" s="22"/>
      <c r="L12" s="22"/>
    </row>
    <row r="13" customFormat="false" ht="19.5" hidden="false" customHeight="true" outlineLevel="0" collapsed="false">
      <c r="B13" s="21"/>
      <c r="C13" s="21"/>
      <c r="D13" s="22"/>
      <c r="E13" s="29"/>
      <c r="F13" s="21"/>
      <c r="G13" s="30" t="str">
        <f aca="false">IF(OR($E13="",$F13="",NOT(ISNUMBER($E13))),"",IF($F13="Maund",ROUND($E13/37.32,2),$E13))</f>
        <v/>
      </c>
      <c r="H13" s="29"/>
      <c r="I13" s="21"/>
      <c r="J13" s="30" t="str">
        <f aca="false">IF(OR($H13="",$I13="",NOT(ISNUMBER($H13))),"",IF($I13="Maund",ROUND($H13*37.32,2),$H13))</f>
        <v/>
      </c>
      <c r="K13" s="22"/>
      <c r="L13" s="22"/>
    </row>
    <row r="14" customFormat="false" ht="19.5" hidden="false" customHeight="true" outlineLevel="0" collapsed="false">
      <c r="B14" s="21"/>
      <c r="C14" s="21"/>
      <c r="D14" s="22"/>
      <c r="E14" s="29"/>
      <c r="F14" s="21"/>
      <c r="G14" s="30" t="str">
        <f aca="false">IF(OR($E14="",$F14="",NOT(ISNUMBER($E14))),"",IF($F14="Maund",ROUND($E14/37.32,2),$E14))</f>
        <v/>
      </c>
      <c r="H14" s="29"/>
      <c r="I14" s="21"/>
      <c r="J14" s="30" t="str">
        <f aca="false">IF(OR($H14="",$I14="",NOT(ISNUMBER($H14))),"",IF($I14="Maund",ROUND($H14*37.32,2),$H14))</f>
        <v/>
      </c>
      <c r="K14" s="22"/>
      <c r="L14" s="22"/>
    </row>
    <row r="15" customFormat="false" ht="19.5" hidden="false" customHeight="true" outlineLevel="0" collapsed="false">
      <c r="B15" s="21"/>
      <c r="C15" s="21"/>
      <c r="D15" s="22"/>
      <c r="E15" s="29"/>
      <c r="F15" s="21"/>
      <c r="G15" s="30" t="str">
        <f aca="false">IF(OR($E15="",$F15="",NOT(ISNUMBER($E15))),"",IF($F15="Maund",ROUND($E15/37.32,2),$E15))</f>
        <v/>
      </c>
      <c r="H15" s="29"/>
      <c r="I15" s="21"/>
      <c r="J15" s="30" t="str">
        <f aca="false">IF(OR($H15="",$I15="",NOT(ISNUMBER($H15))),"",IF($I15="Maund",ROUND($H15*37.32,2),$H15))</f>
        <v/>
      </c>
      <c r="K15" s="22"/>
      <c r="L15" s="22"/>
    </row>
    <row r="16" customFormat="false" ht="19.5" hidden="false" customHeight="true" outlineLevel="0" collapsed="false">
      <c r="B16" s="21"/>
      <c r="C16" s="21"/>
      <c r="D16" s="22"/>
      <c r="E16" s="29"/>
      <c r="F16" s="21"/>
      <c r="G16" s="30" t="str">
        <f aca="false">IF(OR($E16="",$F16="",NOT(ISNUMBER($E16))),"",IF($F16="Maund",ROUND($E16/37.32,2),$E16))</f>
        <v/>
      </c>
      <c r="H16" s="29"/>
      <c r="I16" s="21"/>
      <c r="J16" s="30" t="str">
        <f aca="false">IF(OR($H16="",$I16="",NOT(ISNUMBER($H16))),"",IF($I16="Maund",ROUND($H16*37.32,2),$H16))</f>
        <v/>
      </c>
      <c r="K16" s="22"/>
      <c r="L16" s="22"/>
    </row>
    <row r="17" customFormat="false" ht="19.5" hidden="false" customHeight="true" outlineLevel="0" collapsed="false">
      <c r="B17" s="21"/>
      <c r="C17" s="21"/>
      <c r="D17" s="22"/>
      <c r="E17" s="29"/>
      <c r="F17" s="21"/>
      <c r="G17" s="30" t="str">
        <f aca="false">IF(OR($E17="",$F17="",NOT(ISNUMBER($E17))),"",IF($F17="Maund",ROUND($E17/37.32,2),$E17))</f>
        <v/>
      </c>
      <c r="H17" s="29"/>
      <c r="I17" s="21"/>
      <c r="J17" s="30" t="str">
        <f aca="false">IF(OR($H17="",$I17="",NOT(ISNUMBER($H17))),"",IF($I17="Maund",ROUND($H17*37.32,2),$H17))</f>
        <v/>
      </c>
      <c r="K17" s="22"/>
      <c r="L17" s="22"/>
    </row>
    <row r="18" customFormat="false" ht="19.5" hidden="false" customHeight="true" outlineLevel="0" collapsed="false">
      <c r="B18" s="21"/>
      <c r="C18" s="21"/>
      <c r="D18" s="22"/>
      <c r="E18" s="29"/>
      <c r="F18" s="21"/>
      <c r="G18" s="30" t="str">
        <f aca="false">IF(OR($E18="",$F18="",NOT(ISNUMBER($E18))),"",IF($F18="Maund",ROUND($E18/37.32,2),$E18))</f>
        <v/>
      </c>
      <c r="H18" s="29"/>
      <c r="I18" s="21"/>
      <c r="J18" s="30" t="str">
        <f aca="false">IF(OR($H18="",$I18="",NOT(ISNUMBER($H18))),"",IF($I18="Maund",ROUND($H18*37.32,2),$H18))</f>
        <v/>
      </c>
      <c r="K18" s="22"/>
      <c r="L18" s="22"/>
    </row>
    <row r="19" customFormat="false" ht="19.5" hidden="false" customHeight="true" outlineLevel="0" collapsed="false">
      <c r="B19" s="21"/>
      <c r="C19" s="21"/>
      <c r="D19" s="22"/>
      <c r="E19" s="29"/>
      <c r="F19" s="21"/>
      <c r="G19" s="30" t="str">
        <f aca="false">IF(OR($E19="",$F19="",NOT(ISNUMBER($E19))),"",IF($F19="Maund",ROUND($E19/37.32,2),$E19))</f>
        <v/>
      </c>
      <c r="H19" s="29"/>
      <c r="I19" s="21"/>
      <c r="J19" s="30" t="str">
        <f aca="false">IF(OR($H19="",$I19="",NOT(ISNUMBER($H19))),"",IF($I19="Maund",ROUND($H19*37.32,2),$H19))</f>
        <v/>
      </c>
      <c r="K19" s="22"/>
      <c r="L19" s="22"/>
    </row>
    <row r="20" customFormat="false" ht="19.5" hidden="false" customHeight="true" outlineLevel="0" collapsed="false">
      <c r="B20" s="21"/>
      <c r="C20" s="21"/>
      <c r="D20" s="22"/>
      <c r="E20" s="29"/>
      <c r="F20" s="21"/>
      <c r="G20" s="30" t="str">
        <f aca="false">IF(OR($E20="",$F20="",NOT(ISNUMBER($E20))),"",IF($F20="Maund",ROUND($E20/37.32,2),$E20))</f>
        <v/>
      </c>
      <c r="H20" s="29"/>
      <c r="I20" s="21"/>
      <c r="J20" s="30" t="str">
        <f aca="false">IF(OR($H20="",$I20="",NOT(ISNUMBER($H20))),"",IF($I20="Maund",ROUND($H20*37.32,2),$H20))</f>
        <v/>
      </c>
      <c r="K20" s="22"/>
      <c r="L20" s="22"/>
    </row>
    <row r="21" customFormat="false" ht="19.5" hidden="false" customHeight="true" outlineLevel="0" collapsed="false">
      <c r="B21" s="21"/>
      <c r="C21" s="21"/>
      <c r="D21" s="22"/>
      <c r="E21" s="29"/>
      <c r="F21" s="21"/>
      <c r="G21" s="30" t="str">
        <f aca="false">IF(OR($E21="",$F21="",NOT(ISNUMBER($E21))),"",IF($F21="Maund",ROUND($E21/37.32,2),$E21))</f>
        <v/>
      </c>
      <c r="H21" s="29"/>
      <c r="I21" s="21"/>
      <c r="J21" s="30" t="str">
        <f aca="false">IF(OR($H21="",$I21="",NOT(ISNUMBER($H21))),"",IF($I21="Maund",ROUND($H21*37.32,2),$H21))</f>
        <v/>
      </c>
      <c r="K21" s="22"/>
      <c r="L21" s="22"/>
    </row>
    <row r="22" customFormat="false" ht="19.5" hidden="false" customHeight="true" outlineLevel="0" collapsed="false">
      <c r="B22" s="21"/>
      <c r="C22" s="21"/>
      <c r="D22" s="22"/>
      <c r="E22" s="29"/>
      <c r="F22" s="21"/>
      <c r="G22" s="30" t="str">
        <f aca="false">IF(OR($E22="",$F22="",NOT(ISNUMBER($E22))),"",IF($F22="Maund",ROUND($E22/37.32,2),$E22))</f>
        <v/>
      </c>
      <c r="H22" s="29"/>
      <c r="I22" s="21"/>
      <c r="J22" s="30" t="str">
        <f aca="false">IF(OR($H22="",$I22="",NOT(ISNUMBER($H22))),"",IF($I22="Maund",ROUND($H22*37.32,2),$H22))</f>
        <v/>
      </c>
      <c r="K22" s="22"/>
      <c r="L22" s="22"/>
    </row>
    <row r="23" customFormat="false" ht="19.5" hidden="false" customHeight="true" outlineLevel="0" collapsed="false">
      <c r="B23" s="21"/>
      <c r="C23" s="21"/>
      <c r="D23" s="22"/>
      <c r="E23" s="29"/>
      <c r="F23" s="21"/>
      <c r="G23" s="30" t="str">
        <f aca="false">IF(OR($E23="",$F23="",NOT(ISNUMBER($E23))),"",IF($F23="Maund",ROUND($E23/37.32,2),$E23))</f>
        <v/>
      </c>
      <c r="H23" s="29"/>
      <c r="I23" s="21"/>
      <c r="J23" s="30" t="str">
        <f aca="false">IF(OR($H23="",$I23="",NOT(ISNUMBER($H23))),"",IF($I23="Maund",ROUND($H23*37.32,2),$H23))</f>
        <v/>
      </c>
      <c r="K23" s="22"/>
      <c r="L23" s="22"/>
    </row>
    <row r="24" customFormat="false" ht="19.5" hidden="false" customHeight="true" outlineLevel="0" collapsed="false">
      <c r="B24" s="21"/>
      <c r="C24" s="21"/>
      <c r="D24" s="22"/>
      <c r="E24" s="29"/>
      <c r="F24" s="21"/>
      <c r="G24" s="30" t="str">
        <f aca="false">IF(OR($E24="",$F24="",NOT(ISNUMBER($E24))),"",IF($F24="Maund",ROUND($E24/37.32,2),$E24))</f>
        <v/>
      </c>
      <c r="H24" s="29"/>
      <c r="I24" s="21"/>
      <c r="J24" s="30" t="str">
        <f aca="false">IF(OR($H24="",$I24="",NOT(ISNUMBER($H24))),"",IF($I24="Maund",ROUND($H24*37.32,2),$H24))</f>
        <v/>
      </c>
      <c r="K24" s="22"/>
      <c r="L24" s="22"/>
    </row>
    <row r="25" customFormat="false" ht="19.5" hidden="false" customHeight="true" outlineLevel="0" collapsed="false">
      <c r="B25" s="21"/>
      <c r="C25" s="21"/>
      <c r="D25" s="22"/>
      <c r="E25" s="29"/>
      <c r="F25" s="21"/>
      <c r="G25" s="30" t="str">
        <f aca="false">IF(OR($E25="",$F25="",NOT(ISNUMBER($E25))),"",IF($F25="Maund",ROUND($E25/37.32,2),$E25))</f>
        <v/>
      </c>
      <c r="H25" s="29"/>
      <c r="I25" s="21"/>
      <c r="J25" s="30" t="str">
        <f aca="false">IF(OR($H25="",$I25="",NOT(ISNUMBER($H25))),"",IF($I25="Maund",ROUND($H25*37.32,2),$H25))</f>
        <v/>
      </c>
      <c r="K25" s="22"/>
      <c r="L25" s="22"/>
    </row>
    <row r="26" customFormat="false" ht="19.5" hidden="false" customHeight="true" outlineLevel="0" collapsed="false">
      <c r="B26" s="21"/>
      <c r="C26" s="21"/>
      <c r="D26" s="22"/>
      <c r="E26" s="29"/>
      <c r="F26" s="21"/>
      <c r="G26" s="30" t="str">
        <f aca="false">IF(OR($E26="",$F26="",NOT(ISNUMBER($E26))),"",IF($F26="Maund",ROUND($E26/37.32,2),$E26))</f>
        <v/>
      </c>
      <c r="H26" s="29"/>
      <c r="I26" s="21"/>
      <c r="J26" s="30" t="str">
        <f aca="false">IF(OR($H26="",$I26="",NOT(ISNUMBER($H26))),"",IF($I26="Maund",ROUND($H26*37.32,2),$H26))</f>
        <v/>
      </c>
      <c r="K26" s="22"/>
      <c r="L26" s="22"/>
    </row>
    <row r="27" customFormat="false" ht="19.5" hidden="false" customHeight="true" outlineLevel="0" collapsed="false">
      <c r="B27" s="21"/>
      <c r="C27" s="21"/>
      <c r="D27" s="22"/>
      <c r="E27" s="29"/>
      <c r="F27" s="21"/>
      <c r="G27" s="30" t="str">
        <f aca="false">IF(OR($E27="",$F27="",NOT(ISNUMBER($E27))),"",IF($F27="Maund",ROUND($E27/37.32,2),$E27))</f>
        <v/>
      </c>
      <c r="H27" s="29"/>
      <c r="I27" s="21"/>
      <c r="J27" s="30" t="str">
        <f aca="false">IF(OR($H27="",$I27="",NOT(ISNUMBER($H27))),"",IF($I27="Maund",ROUND($H27*37.32,2),$H27))</f>
        <v/>
      </c>
      <c r="K27" s="22"/>
      <c r="L27" s="22"/>
    </row>
    <row r="28" customFormat="false" ht="19.5" hidden="false" customHeight="true" outlineLevel="0" collapsed="false">
      <c r="B28" s="21"/>
      <c r="C28" s="21"/>
      <c r="D28" s="22"/>
      <c r="E28" s="29"/>
      <c r="F28" s="21"/>
      <c r="G28" s="30" t="str">
        <f aca="false">IF(OR($E28="",$F28="",NOT(ISNUMBER($E28))),"",IF($F28="Maund",ROUND($E28/37.32,2),$E28))</f>
        <v/>
      </c>
      <c r="H28" s="29"/>
      <c r="I28" s="21"/>
      <c r="J28" s="30" t="str">
        <f aca="false">IF(OR($H28="",$I28="",NOT(ISNUMBER($H28))),"",IF($I28="Maund",ROUND($H28*37.32,2),$H28))</f>
        <v/>
      </c>
      <c r="K28" s="22"/>
      <c r="L28" s="22"/>
    </row>
    <row r="29" customFormat="false" ht="19.5" hidden="false" customHeight="true" outlineLevel="0" collapsed="false">
      <c r="B29" s="21"/>
      <c r="C29" s="21"/>
      <c r="D29" s="22"/>
      <c r="E29" s="29"/>
      <c r="F29" s="21"/>
      <c r="G29" s="30" t="str">
        <f aca="false">IF(OR($E29="",$F29="",NOT(ISNUMBER($E29))),"",IF($F29="Maund",ROUND($E29/37.32,2),$E29))</f>
        <v/>
      </c>
      <c r="H29" s="29"/>
      <c r="I29" s="21"/>
      <c r="J29" s="30" t="str">
        <f aca="false">IF(OR($H29="",$I29="",NOT(ISNUMBER($H29))),"",IF($I29="Maund",ROUND($H29*37.32,2),$H29))</f>
        <v/>
      </c>
      <c r="K29" s="22"/>
      <c r="L29" s="22"/>
    </row>
    <row r="30" customFormat="false" ht="19.5" hidden="false" customHeight="true" outlineLevel="0" collapsed="false">
      <c r="B30" s="21"/>
      <c r="C30" s="21"/>
      <c r="D30" s="22"/>
      <c r="E30" s="29"/>
      <c r="F30" s="21"/>
      <c r="G30" s="30" t="str">
        <f aca="false">IF(OR($E30="",$F30="",NOT(ISNUMBER($E30))),"",IF($F30="Maund",ROUND($E30/37.32,2),$E30))</f>
        <v/>
      </c>
      <c r="H30" s="29"/>
      <c r="I30" s="21"/>
      <c r="J30" s="30" t="str">
        <f aca="false">IF(OR($H30="",$I30="",NOT(ISNUMBER($H30))),"",IF($I30="Maund",ROUND($H30*37.32,2),$H30))</f>
        <v/>
      </c>
      <c r="K30" s="22"/>
      <c r="L30" s="22"/>
    </row>
    <row r="31" customFormat="false" ht="19.5" hidden="false" customHeight="true" outlineLevel="0" collapsed="false">
      <c r="B31" s="21"/>
      <c r="C31" s="21"/>
      <c r="D31" s="22"/>
      <c r="E31" s="29"/>
      <c r="F31" s="21"/>
      <c r="G31" s="30" t="str">
        <f aca="false">IF(OR($E31="",$F31="",NOT(ISNUMBER($E31))),"",IF($F31="Maund",ROUND($E31/37.32,2),$E31))</f>
        <v/>
      </c>
      <c r="H31" s="29"/>
      <c r="I31" s="21"/>
      <c r="J31" s="30" t="str">
        <f aca="false">IF(OR($H31="",$I31="",NOT(ISNUMBER($H31))),"",IF($I31="Maund",ROUND($H31*37.32,2),$H31))</f>
        <v/>
      </c>
      <c r="K31" s="22"/>
      <c r="L31" s="22"/>
    </row>
    <row r="32" customFormat="false" ht="19.5" hidden="false" customHeight="true" outlineLevel="0" collapsed="false">
      <c r="B32" s="21"/>
      <c r="C32" s="21"/>
      <c r="D32" s="22"/>
      <c r="E32" s="29"/>
      <c r="F32" s="21"/>
      <c r="G32" s="30" t="str">
        <f aca="false">IF(OR($E32="",$F32="",NOT(ISNUMBER($E32))),"",IF($F32="Maund",ROUND($E32/37.32,2),$E32))</f>
        <v/>
      </c>
      <c r="H32" s="29"/>
      <c r="I32" s="21"/>
      <c r="J32" s="30" t="str">
        <f aca="false">IF(OR($H32="",$I32="",NOT(ISNUMBER($H32))),"",IF($I32="Maund",ROUND($H32*37.32,2),$H32))</f>
        <v/>
      </c>
      <c r="K32" s="22"/>
      <c r="L32" s="22"/>
    </row>
    <row r="33" customFormat="false" ht="19.5" hidden="false" customHeight="true" outlineLevel="0" collapsed="false">
      <c r="B33" s="21"/>
      <c r="C33" s="21"/>
      <c r="D33" s="22"/>
      <c r="E33" s="29"/>
      <c r="F33" s="21"/>
      <c r="G33" s="30" t="str">
        <f aca="false">IF(OR($E33="",$F33="",NOT(ISNUMBER($E33))),"",IF($F33="Maund",ROUND($E33/37.32,2),$E33))</f>
        <v/>
      </c>
      <c r="H33" s="29"/>
      <c r="I33" s="21"/>
      <c r="J33" s="30" t="str">
        <f aca="false">IF(OR($H33="",$I33="",NOT(ISNUMBER($H33))),"",IF($I33="Maund",ROUND($H33*37.32,2),$H33))</f>
        <v/>
      </c>
      <c r="K33" s="22"/>
      <c r="L33" s="22"/>
    </row>
    <row r="34" customFormat="false" ht="19.5" hidden="false" customHeight="true" outlineLevel="0" collapsed="false">
      <c r="B34" s="21"/>
      <c r="C34" s="21"/>
      <c r="D34" s="22"/>
      <c r="E34" s="29"/>
      <c r="F34" s="21"/>
      <c r="G34" s="30" t="str">
        <f aca="false">IF(OR($E34="",$F34="",NOT(ISNUMBER($E34))),"",IF($F34="Maund",ROUND($E34/37.32,2),$E34))</f>
        <v/>
      </c>
      <c r="H34" s="29"/>
      <c r="I34" s="21"/>
      <c r="J34" s="30" t="str">
        <f aca="false">IF(OR($H34="",$I34="",NOT(ISNUMBER($H34))),"",IF($I34="Maund",ROUND($H34*37.32,2),$H34))</f>
        <v/>
      </c>
      <c r="K34" s="22"/>
      <c r="L34" s="22"/>
    </row>
    <row r="35" customFormat="false" ht="19.5" hidden="false" customHeight="true" outlineLevel="0" collapsed="false">
      <c r="B35" s="21"/>
      <c r="C35" s="21"/>
      <c r="D35" s="22"/>
      <c r="E35" s="29"/>
      <c r="F35" s="21"/>
      <c r="G35" s="30" t="str">
        <f aca="false">IF(OR($E35="",$F35="",NOT(ISNUMBER($E35))),"",IF($F35="Maund",ROUND($E35/37.32,2),$E35))</f>
        <v/>
      </c>
      <c r="H35" s="29"/>
      <c r="I35" s="21"/>
      <c r="J35" s="30" t="str">
        <f aca="false">IF(OR($H35="",$I35="",NOT(ISNUMBER($H35))),"",IF($I35="Maund",ROUND($H35*37.32,2),$H35))</f>
        <v/>
      </c>
      <c r="K35" s="22"/>
      <c r="L35" s="22"/>
    </row>
    <row r="36" customFormat="false" ht="19.5" hidden="false" customHeight="true" outlineLevel="0" collapsed="false">
      <c r="B36" s="21"/>
      <c r="C36" s="21"/>
      <c r="D36" s="22"/>
      <c r="E36" s="29"/>
      <c r="F36" s="21"/>
      <c r="G36" s="30" t="str">
        <f aca="false">IF(OR($E36="",$F36="",NOT(ISNUMBER($E36))),"",IF($F36="Maund",ROUND($E36/37.32,2),$E36))</f>
        <v/>
      </c>
      <c r="H36" s="29"/>
      <c r="I36" s="21"/>
      <c r="J36" s="30" t="str">
        <f aca="false">IF(OR($H36="",$I36="",NOT(ISNUMBER($H36))),"",IF($I36="Maund",ROUND($H36*37.32,2),$H36))</f>
        <v/>
      </c>
      <c r="K36" s="22"/>
      <c r="L36" s="22"/>
    </row>
    <row r="37" customFormat="false" ht="19.5" hidden="false" customHeight="true" outlineLevel="0" collapsed="false">
      <c r="B37" s="21"/>
      <c r="C37" s="21"/>
      <c r="D37" s="22"/>
      <c r="E37" s="29"/>
      <c r="F37" s="21"/>
      <c r="G37" s="30" t="str">
        <f aca="false">IF(OR($E37="",$F37="",NOT(ISNUMBER($E37))),"",IF($F37="Maund",ROUND($E37/37.32,2),$E37))</f>
        <v/>
      </c>
      <c r="H37" s="29"/>
      <c r="I37" s="21"/>
      <c r="J37" s="30" t="str">
        <f aca="false">IF(OR($H37="",$I37="",NOT(ISNUMBER($H37))),"",IF($I37="Maund",ROUND($H37*37.32,2),$H37))</f>
        <v/>
      </c>
      <c r="K37" s="22"/>
      <c r="L37" s="22"/>
    </row>
    <row r="38" customFormat="false" ht="19.5" hidden="false" customHeight="true" outlineLevel="0" collapsed="false">
      <c r="B38" s="21"/>
      <c r="C38" s="21"/>
      <c r="D38" s="22"/>
      <c r="E38" s="29"/>
      <c r="F38" s="21"/>
      <c r="G38" s="30" t="str">
        <f aca="false">IF(OR($E38="",$F38="",NOT(ISNUMBER($E38))),"",IF($F38="Maund",ROUND($E38/37.32,2),$E38))</f>
        <v/>
      </c>
      <c r="H38" s="29"/>
      <c r="I38" s="21"/>
      <c r="J38" s="30" t="str">
        <f aca="false">IF(OR($H38="",$I38="",NOT(ISNUMBER($H38))),"",IF($I38="Maund",ROUND($H38*37.32,2),$H38))</f>
        <v/>
      </c>
      <c r="K38" s="22"/>
      <c r="L38" s="22"/>
    </row>
    <row r="39" customFormat="false" ht="19.5" hidden="false" customHeight="true" outlineLevel="0" collapsed="false">
      <c r="B39" s="21"/>
      <c r="C39" s="21"/>
      <c r="D39" s="22"/>
      <c r="E39" s="29"/>
      <c r="F39" s="21"/>
      <c r="G39" s="30" t="str">
        <f aca="false">IF(OR($E39="",$F39="",NOT(ISNUMBER($E39))),"",IF($F39="Maund",ROUND($E39/37.32,2),$E39))</f>
        <v/>
      </c>
      <c r="H39" s="29"/>
      <c r="I39" s="21"/>
      <c r="J39" s="30" t="str">
        <f aca="false">IF(OR($H39="",$I39="",NOT(ISNUMBER($H39))),"",IF($I39="Maund",ROUND($H39*37.32,2),$H39))</f>
        <v/>
      </c>
      <c r="K39" s="22"/>
      <c r="L39" s="22"/>
    </row>
    <row r="40" customFormat="false" ht="19.5" hidden="false" customHeight="true" outlineLevel="0" collapsed="false">
      <c r="B40" s="21"/>
      <c r="C40" s="21"/>
      <c r="D40" s="22"/>
      <c r="E40" s="29"/>
      <c r="F40" s="21"/>
      <c r="G40" s="30" t="str">
        <f aca="false">IF(OR($E40="",$F40="",NOT(ISNUMBER($E40))),"",IF($F40="Maund",ROUND($E40/37.32,2),$E40))</f>
        <v/>
      </c>
      <c r="H40" s="29"/>
      <c r="I40" s="21"/>
      <c r="J40" s="30" t="str">
        <f aca="false">IF(OR($H40="",$I40="",NOT(ISNUMBER($H40))),"",IF($I40="Maund",ROUND($H40*37.32,2),$H40))</f>
        <v/>
      </c>
      <c r="K40" s="22"/>
      <c r="L40" s="22"/>
    </row>
    <row r="41" customFormat="false" ht="19.5" hidden="false" customHeight="true" outlineLevel="0" collapsed="false">
      <c r="B41" s="21"/>
      <c r="C41" s="21"/>
      <c r="D41" s="22"/>
      <c r="E41" s="29"/>
      <c r="F41" s="21"/>
      <c r="G41" s="30" t="str">
        <f aca="false">IF(OR($E41="",$F41="",NOT(ISNUMBER($E41))),"",IF($F41="Maund",ROUND($E41/37.32,2),$E41))</f>
        <v/>
      </c>
      <c r="H41" s="29"/>
      <c r="I41" s="21"/>
      <c r="J41" s="30" t="str">
        <f aca="false">IF(OR($H41="",$I41="",NOT(ISNUMBER($H41))),"",IF($I41="Maund",ROUND($H41*37.32,2),$H41))</f>
        <v/>
      </c>
      <c r="K41" s="22"/>
      <c r="L41" s="22"/>
    </row>
    <row r="42" customFormat="false" ht="19.5" hidden="false" customHeight="true" outlineLevel="0" collapsed="false">
      <c r="B42" s="21"/>
      <c r="C42" s="21"/>
      <c r="D42" s="22"/>
      <c r="E42" s="29"/>
      <c r="F42" s="21"/>
      <c r="G42" s="30" t="str">
        <f aca="false">IF(OR($E42="",$F42="",NOT(ISNUMBER($E42))),"",IF($F42="Maund",ROUND($E42/37.32,2),$E42))</f>
        <v/>
      </c>
      <c r="H42" s="29"/>
      <c r="I42" s="21"/>
      <c r="J42" s="30" t="str">
        <f aca="false">IF(OR($H42="",$I42="",NOT(ISNUMBER($H42))),"",IF($I42="Maund",ROUND($H42*37.32,2),$H42))</f>
        <v/>
      </c>
      <c r="K42" s="22"/>
      <c r="L42" s="22"/>
    </row>
    <row r="43" customFormat="false" ht="19.5" hidden="false" customHeight="true" outlineLevel="0" collapsed="false">
      <c r="B43" s="21"/>
      <c r="C43" s="21"/>
      <c r="D43" s="22"/>
      <c r="E43" s="29"/>
      <c r="F43" s="21"/>
      <c r="G43" s="30" t="str">
        <f aca="false">IF(OR($E43="",$F43="",NOT(ISNUMBER($E43))),"",IF($F43="Maund",ROUND($E43/37.32,2),$E43))</f>
        <v/>
      </c>
      <c r="H43" s="29"/>
      <c r="I43" s="21"/>
      <c r="J43" s="30" t="str">
        <f aca="false">IF(OR($H43="",$I43="",NOT(ISNUMBER($H43))),"",IF($I43="Maund",ROUND($H43*37.32,2),$H43))</f>
        <v/>
      </c>
      <c r="K43" s="22"/>
      <c r="L43" s="22"/>
    </row>
    <row r="44" customFormat="false" ht="19.5" hidden="false" customHeight="true" outlineLevel="0" collapsed="false">
      <c r="B44" s="21"/>
      <c r="C44" s="21"/>
      <c r="D44" s="22"/>
      <c r="E44" s="29"/>
      <c r="F44" s="21"/>
      <c r="G44" s="30" t="str">
        <f aca="false">IF(OR($E44="",$F44="",NOT(ISNUMBER($E44))),"",IF($F44="Maund",ROUND($E44/37.32,2),$E44))</f>
        <v/>
      </c>
      <c r="H44" s="29"/>
      <c r="I44" s="21"/>
      <c r="J44" s="30" t="str">
        <f aca="false">IF(OR($H44="",$I44="",NOT(ISNUMBER($H44))),"",IF($I44="Maund",ROUND($H44*37.32,2),$H44))</f>
        <v/>
      </c>
      <c r="K44" s="22"/>
      <c r="L44" s="22"/>
    </row>
    <row r="45" customFormat="false" ht="19.5" hidden="false" customHeight="true" outlineLevel="0" collapsed="false">
      <c r="B45" s="21"/>
      <c r="C45" s="21"/>
      <c r="D45" s="22"/>
      <c r="E45" s="29"/>
      <c r="F45" s="21"/>
      <c r="G45" s="30" t="str">
        <f aca="false">IF(OR($E45="",$F45="",NOT(ISNUMBER($E45))),"",IF($F45="Maund",ROUND($E45/37.32,2),$E45))</f>
        <v/>
      </c>
      <c r="H45" s="29"/>
      <c r="I45" s="21"/>
      <c r="J45" s="30" t="str">
        <f aca="false">IF(OR($H45="",$I45="",NOT(ISNUMBER($H45))),"",IF($I45="Maund",ROUND($H45*37.32,2),$H45))</f>
        <v/>
      </c>
      <c r="K45" s="22"/>
      <c r="L45" s="22"/>
    </row>
    <row r="46" customFormat="false" ht="19.5" hidden="false" customHeight="true" outlineLevel="0" collapsed="false">
      <c r="B46" s="21"/>
      <c r="C46" s="21"/>
      <c r="D46" s="22"/>
      <c r="E46" s="29"/>
      <c r="F46" s="21"/>
      <c r="G46" s="30" t="str">
        <f aca="false">IF(OR($E46="",$F46="",NOT(ISNUMBER($E46))),"",IF($F46="Maund",ROUND($E46/37.32,2),$E46))</f>
        <v/>
      </c>
      <c r="H46" s="29"/>
      <c r="I46" s="21"/>
      <c r="J46" s="30" t="str">
        <f aca="false">IF(OR($H46="",$I46="",NOT(ISNUMBER($H46))),"",IF($I46="Maund",ROUND($H46*37.32,2),$H46))</f>
        <v/>
      </c>
      <c r="K46" s="22"/>
      <c r="L46" s="22"/>
    </row>
    <row r="47" customFormat="false" ht="19.5" hidden="false" customHeight="true" outlineLevel="0" collapsed="false">
      <c r="B47" s="21"/>
      <c r="C47" s="21"/>
      <c r="D47" s="22"/>
      <c r="E47" s="29"/>
      <c r="F47" s="21"/>
      <c r="G47" s="30" t="str">
        <f aca="false">IF(OR($E47="",$F47="",NOT(ISNUMBER($E47))),"",IF($F47="Maund",ROUND($E47/37.32,2),$E47))</f>
        <v/>
      </c>
      <c r="H47" s="29"/>
      <c r="I47" s="21"/>
      <c r="J47" s="30" t="str">
        <f aca="false">IF(OR($H47="",$I47="",NOT(ISNUMBER($H47))),"",IF($I47="Maund",ROUND($H47*37.32,2),$H47))</f>
        <v/>
      </c>
      <c r="K47" s="22"/>
      <c r="L47" s="22"/>
    </row>
    <row r="48" customFormat="false" ht="19.5" hidden="false" customHeight="true" outlineLevel="0" collapsed="false">
      <c r="B48" s="21"/>
      <c r="C48" s="21"/>
      <c r="D48" s="22"/>
      <c r="E48" s="29"/>
      <c r="F48" s="21"/>
      <c r="G48" s="30" t="str">
        <f aca="false">IF(OR($E48="",$F48="",NOT(ISNUMBER($E48))),"",IF($F48="Maund",ROUND($E48/37.32,2),$E48))</f>
        <v/>
      </c>
      <c r="H48" s="29"/>
      <c r="I48" s="21"/>
      <c r="J48" s="30" t="str">
        <f aca="false">IF(OR($H48="",$I48="",NOT(ISNUMBER($H48))),"",IF($I48="Maund",ROUND($H48*37.32,2),$H48))</f>
        <v/>
      </c>
      <c r="K48" s="22"/>
      <c r="L48" s="22"/>
    </row>
    <row r="49" customFormat="false" ht="19.5" hidden="false" customHeight="true" outlineLevel="0" collapsed="false">
      <c r="B49" s="21"/>
      <c r="C49" s="21"/>
      <c r="D49" s="22"/>
      <c r="E49" s="29"/>
      <c r="F49" s="21"/>
      <c r="G49" s="30" t="str">
        <f aca="false">IF(OR($E49="",$F49="",NOT(ISNUMBER($E49))),"",IF($F49="Maund",ROUND($E49/37.32,2),$E49))</f>
        <v/>
      </c>
      <c r="H49" s="29"/>
      <c r="I49" s="21"/>
      <c r="J49" s="30" t="str">
        <f aca="false">IF(OR($H49="",$I49="",NOT(ISNUMBER($H49))),"",IF($I49="Maund",ROUND($H49*37.32,2),$H49))</f>
        <v/>
      </c>
      <c r="K49" s="22"/>
      <c r="L49" s="22"/>
    </row>
    <row r="50" customFormat="false" ht="19.5" hidden="false" customHeight="true" outlineLevel="0" collapsed="false">
      <c r="B50" s="21"/>
      <c r="C50" s="21"/>
      <c r="D50" s="22"/>
      <c r="E50" s="29"/>
      <c r="F50" s="21"/>
      <c r="G50" s="30" t="str">
        <f aca="false">IF(OR($E50="",$F50="",NOT(ISNUMBER($E50))),"",IF($F50="Maund",ROUND($E50/37.32,2),$E50))</f>
        <v/>
      </c>
      <c r="H50" s="29"/>
      <c r="I50" s="21"/>
      <c r="J50" s="30" t="str">
        <f aca="false">IF(OR($H50="",$I50="",NOT(ISNUMBER($H50))),"",IF($I50="Maund",ROUND($H50*37.32,2),$H50))</f>
        <v/>
      </c>
      <c r="K50" s="22"/>
      <c r="L50" s="22"/>
    </row>
    <row r="51" customFormat="false" ht="19.5" hidden="false" customHeight="true" outlineLevel="0" collapsed="false">
      <c r="B51" s="21"/>
      <c r="C51" s="21"/>
      <c r="D51" s="22"/>
      <c r="E51" s="29"/>
      <c r="F51" s="21"/>
      <c r="G51" s="30" t="str">
        <f aca="false">IF(OR($E51="",$F51="",NOT(ISNUMBER($E51))),"",IF($F51="Maund",ROUND($E51/37.32,2),$E51))</f>
        <v/>
      </c>
      <c r="H51" s="29"/>
      <c r="I51" s="21"/>
      <c r="J51" s="30" t="str">
        <f aca="false">IF(OR($H51="",$I51="",NOT(ISNUMBER($H51))),"",IF($I51="Maund",ROUND($H51*37.32,2),$H51))</f>
        <v/>
      </c>
      <c r="K51" s="22"/>
      <c r="L51" s="22"/>
    </row>
    <row r="52" customFormat="false" ht="19.5" hidden="false" customHeight="true" outlineLevel="0" collapsed="false">
      <c r="B52" s="21"/>
      <c r="C52" s="21"/>
      <c r="D52" s="22"/>
      <c r="E52" s="29"/>
      <c r="F52" s="21"/>
      <c r="G52" s="30" t="str">
        <f aca="false">IF(OR($E52="",$F52="",NOT(ISNUMBER($E52))),"",IF($F52="Maund",ROUND($E52/37.32,2),$E52))</f>
        <v/>
      </c>
      <c r="H52" s="29"/>
      <c r="I52" s="21"/>
      <c r="J52" s="30" t="str">
        <f aca="false">IF(OR($H52="",$I52="",NOT(ISNUMBER($H52))),"",IF($I52="Maund",ROUND($H52*37.32,2),$H52))</f>
        <v/>
      </c>
      <c r="K52" s="22"/>
      <c r="L52" s="22"/>
    </row>
    <row r="53" customFormat="false" ht="19.5" hidden="false" customHeight="true" outlineLevel="0" collapsed="false">
      <c r="B53" s="21"/>
      <c r="C53" s="21"/>
      <c r="D53" s="22"/>
      <c r="E53" s="29"/>
      <c r="F53" s="21"/>
      <c r="G53" s="30" t="str">
        <f aca="false">IF(OR($E53="",$F53="",NOT(ISNUMBER($E53))),"",IF($F53="Maund",ROUND($E53/37.32,2),$E53))</f>
        <v/>
      </c>
      <c r="H53" s="29"/>
      <c r="I53" s="21"/>
      <c r="J53" s="30" t="str">
        <f aca="false">IF(OR($H53="",$I53="",NOT(ISNUMBER($H53))),"",IF($I53="Maund",ROUND($H53*37.32,2),$H53))</f>
        <v/>
      </c>
      <c r="K53" s="22"/>
      <c r="L53" s="22"/>
    </row>
    <row r="54" customFormat="false" ht="19.5" hidden="false" customHeight="true" outlineLevel="0" collapsed="false">
      <c r="B54" s="21"/>
      <c r="C54" s="21"/>
      <c r="D54" s="22"/>
      <c r="E54" s="29"/>
      <c r="F54" s="21"/>
      <c r="G54" s="30" t="str">
        <f aca="false">IF(OR($E54="",$F54="",NOT(ISNUMBER($E54))),"",IF($F54="Maund",ROUND($E54/37.32,2),$E54))</f>
        <v/>
      </c>
      <c r="H54" s="29"/>
      <c r="I54" s="21"/>
      <c r="J54" s="30" t="str">
        <f aca="false">IF(OR($H54="",$I54="",NOT(ISNUMBER($H54))),"",IF($I54="Maund",ROUND($H54*37.32,2),$H54))</f>
        <v/>
      </c>
      <c r="K54" s="22"/>
      <c r="L54" s="22"/>
    </row>
    <row r="55" customFormat="false" ht="19.5" hidden="false" customHeight="true" outlineLevel="0" collapsed="false">
      <c r="B55" s="21"/>
      <c r="C55" s="21"/>
      <c r="D55" s="22"/>
      <c r="E55" s="29"/>
      <c r="F55" s="21"/>
      <c r="G55" s="30" t="str">
        <f aca="false">IF(OR($E55="",$F55="",NOT(ISNUMBER($E55))),"",IF($F55="Maund",ROUND($E55/37.32,2),$E55))</f>
        <v/>
      </c>
      <c r="H55" s="29"/>
      <c r="I55" s="21"/>
      <c r="J55" s="30" t="str">
        <f aca="false">IF(OR($H55="",$I55="",NOT(ISNUMBER($H55))),"",IF($I55="Maund",ROUND($H55*37.32,2),$H55))</f>
        <v/>
      </c>
      <c r="K55" s="22"/>
      <c r="L55" s="22"/>
    </row>
    <row r="56" customFormat="false" ht="19.5" hidden="false" customHeight="true" outlineLevel="0" collapsed="false">
      <c r="B56" s="21"/>
      <c r="C56" s="21"/>
      <c r="D56" s="22"/>
      <c r="E56" s="29"/>
      <c r="F56" s="21"/>
      <c r="G56" s="30" t="str">
        <f aca="false">IF(OR($E56="",$F56="",NOT(ISNUMBER($E56))),"",IF($F56="Maund",ROUND($E56/37.32,2),$E56))</f>
        <v/>
      </c>
      <c r="H56" s="29"/>
      <c r="I56" s="21"/>
      <c r="J56" s="30" t="str">
        <f aca="false">IF(OR($H56="",$I56="",NOT(ISNUMBER($H56))),"",IF($I56="Maund",ROUND($H56*37.32,2),$H56))</f>
        <v/>
      </c>
      <c r="K56" s="22"/>
      <c r="L56" s="22"/>
    </row>
    <row r="57" customFormat="false" ht="19.5" hidden="false" customHeight="true" outlineLevel="0" collapsed="false">
      <c r="B57" s="21"/>
      <c r="C57" s="21"/>
      <c r="D57" s="22"/>
      <c r="E57" s="29"/>
      <c r="F57" s="21"/>
      <c r="G57" s="30" t="str">
        <f aca="false">IF(OR($E57="",$F57="",NOT(ISNUMBER($E57))),"",IF($F57="Maund",ROUND($E57/37.32,2),$E57))</f>
        <v/>
      </c>
      <c r="H57" s="29"/>
      <c r="I57" s="21"/>
      <c r="J57" s="30" t="str">
        <f aca="false">IF(OR($H57="",$I57="",NOT(ISNUMBER($H57))),"",IF($I57="Maund",ROUND($H57*37.32,2),$H57))</f>
        <v/>
      </c>
      <c r="K57" s="22"/>
      <c r="L57" s="22"/>
    </row>
    <row r="58" customFormat="false" ht="19.5" hidden="false" customHeight="true" outlineLevel="0" collapsed="false">
      <c r="B58" s="21"/>
      <c r="C58" s="21"/>
      <c r="D58" s="22"/>
      <c r="E58" s="29"/>
      <c r="F58" s="21"/>
      <c r="G58" s="30" t="str">
        <f aca="false">IF(OR($E58="",$F58="",NOT(ISNUMBER($E58))),"",IF($F58="Maund",ROUND($E58/37.32,2),$E58))</f>
        <v/>
      </c>
      <c r="H58" s="29"/>
      <c r="I58" s="21"/>
      <c r="J58" s="30" t="str">
        <f aca="false">IF(OR($H58="",$I58="",NOT(ISNUMBER($H58))),"",IF($I58="Maund",ROUND($H58*37.32,2),$H58))</f>
        <v/>
      </c>
      <c r="K58" s="22"/>
      <c r="L58" s="22"/>
    </row>
    <row r="59" customFormat="false" ht="19.5" hidden="false" customHeight="true" outlineLevel="0" collapsed="false">
      <c r="B59" s="21"/>
      <c r="C59" s="21"/>
      <c r="D59" s="22"/>
      <c r="E59" s="29"/>
      <c r="F59" s="21"/>
      <c r="G59" s="30" t="str">
        <f aca="false">IF(OR($E59="",$F59="",NOT(ISNUMBER($E59))),"",IF($F59="Maund",ROUND($E59/37.32,2),$E59))</f>
        <v/>
      </c>
      <c r="H59" s="29"/>
      <c r="I59" s="21"/>
      <c r="J59" s="30" t="str">
        <f aca="false">IF(OR($H59="",$I59="",NOT(ISNUMBER($H59))),"",IF($I59="Maund",ROUND($H59*37.32,2),$H59))</f>
        <v/>
      </c>
      <c r="K59" s="22"/>
      <c r="L59" s="22"/>
    </row>
    <row r="60" customFormat="false" ht="19.5" hidden="false" customHeight="true" outlineLevel="0" collapsed="false">
      <c r="B60" s="21"/>
      <c r="C60" s="21"/>
      <c r="D60" s="22"/>
      <c r="E60" s="29"/>
      <c r="F60" s="21"/>
      <c r="G60" s="30" t="str">
        <f aca="false">IF(OR($E60="",$F60="",NOT(ISNUMBER($E60))),"",IF($F60="Maund",ROUND($E60/37.32,2),$E60))</f>
        <v/>
      </c>
      <c r="H60" s="29"/>
      <c r="I60" s="21"/>
      <c r="J60" s="30" t="str">
        <f aca="false">IF(OR($H60="",$I60="",NOT(ISNUMBER($H60))),"",IF($I60="Maund",ROUND($H60*37.32,2),$H60))</f>
        <v/>
      </c>
      <c r="K60" s="22"/>
      <c r="L60" s="22"/>
    </row>
    <row r="61" customFormat="false" ht="19.5" hidden="false" customHeight="true" outlineLevel="0" collapsed="false">
      <c r="B61" s="21"/>
      <c r="C61" s="21"/>
      <c r="D61" s="22"/>
      <c r="E61" s="29"/>
      <c r="F61" s="21"/>
      <c r="G61" s="30" t="str">
        <f aca="false">IF(OR($E61="",$F61="",NOT(ISNUMBER($E61))),"",IF($F61="Maund",ROUND($E61/37.32,2),$E61))</f>
        <v/>
      </c>
      <c r="H61" s="29"/>
      <c r="I61" s="21"/>
      <c r="J61" s="30" t="str">
        <f aca="false">IF(OR($H61="",$I61="",NOT(ISNUMBER($H61))),"",IF($I61="Maund",ROUND($H61*37.32,2),$H61))</f>
        <v/>
      </c>
      <c r="K61" s="22"/>
      <c r="L61" s="22"/>
    </row>
    <row r="62" customFormat="false" ht="19.5" hidden="false" customHeight="true" outlineLevel="0" collapsed="false">
      <c r="B62" s="21"/>
      <c r="C62" s="21"/>
      <c r="D62" s="22"/>
      <c r="E62" s="29"/>
      <c r="F62" s="21"/>
      <c r="G62" s="30" t="str">
        <f aca="false">IF(OR($E62="",$F62="",NOT(ISNUMBER($E62))),"",IF($F62="Maund",ROUND($E62/37.32,2),$E62))</f>
        <v/>
      </c>
      <c r="H62" s="29"/>
      <c r="I62" s="21"/>
      <c r="J62" s="30" t="str">
        <f aca="false">IF(OR($H62="",$I62="",NOT(ISNUMBER($H62))),"",IF($I62="Maund",ROUND($H62*37.32,2),$H62))</f>
        <v/>
      </c>
      <c r="K62" s="22"/>
      <c r="L62" s="22"/>
    </row>
    <row r="63" customFormat="false" ht="19.5" hidden="false" customHeight="true" outlineLevel="0" collapsed="false">
      <c r="B63" s="21"/>
      <c r="C63" s="21"/>
      <c r="D63" s="22"/>
      <c r="E63" s="29"/>
      <c r="F63" s="21"/>
      <c r="G63" s="30" t="str">
        <f aca="false">IF(OR($E63="",$F63="",NOT(ISNUMBER($E63))),"",IF($F63="Maund",ROUND($E63/37.32,2),$E63))</f>
        <v/>
      </c>
      <c r="H63" s="29"/>
      <c r="I63" s="21"/>
      <c r="J63" s="30" t="str">
        <f aca="false">IF(OR($H63="",$I63="",NOT(ISNUMBER($H63))),"",IF($I63="Maund",ROUND($H63*37.32,2),$H63))</f>
        <v/>
      </c>
      <c r="K63" s="22"/>
      <c r="L63" s="22"/>
    </row>
    <row r="64" customFormat="false" ht="19.5" hidden="false" customHeight="true" outlineLevel="0" collapsed="false">
      <c r="B64" s="21"/>
      <c r="C64" s="21"/>
      <c r="D64" s="22"/>
      <c r="E64" s="29"/>
      <c r="F64" s="21"/>
      <c r="G64" s="30" t="str">
        <f aca="false">IF(OR($E64="",$F64="",NOT(ISNUMBER($E64))),"",IF($F64="Maund",ROUND($E64/37.32,2),$E64))</f>
        <v/>
      </c>
      <c r="H64" s="29"/>
      <c r="I64" s="21"/>
      <c r="J64" s="30" t="str">
        <f aca="false">IF(OR($H64="",$I64="",NOT(ISNUMBER($H64))),"",IF($I64="Maund",ROUND($H64*37.32,2),$H64))</f>
        <v/>
      </c>
      <c r="K64" s="22"/>
      <c r="L64" s="22"/>
    </row>
    <row r="65" customFormat="false" ht="19.5" hidden="false" customHeight="true" outlineLevel="0" collapsed="false">
      <c r="B65" s="21"/>
      <c r="C65" s="21"/>
      <c r="D65" s="22"/>
      <c r="E65" s="29"/>
      <c r="F65" s="21"/>
      <c r="G65" s="30" t="str">
        <f aca="false">IF(OR($E65="",$F65="",NOT(ISNUMBER($E65))),"",IF($F65="Maund",ROUND($E65/37.32,2),$E65))</f>
        <v/>
      </c>
      <c r="H65" s="29"/>
      <c r="I65" s="21"/>
      <c r="J65" s="30" t="str">
        <f aca="false">IF(OR($H65="",$I65="",NOT(ISNUMBER($H65))),"",IF($I65="Maund",ROUND($H65*37.32,2),$H65))</f>
        <v/>
      </c>
      <c r="K65" s="22"/>
      <c r="L65" s="22"/>
    </row>
    <row r="66" customFormat="false" ht="19.5" hidden="false" customHeight="true" outlineLevel="0" collapsed="false">
      <c r="B66" s="21"/>
      <c r="C66" s="21"/>
      <c r="D66" s="22"/>
      <c r="E66" s="29"/>
      <c r="F66" s="21"/>
      <c r="G66" s="30" t="str">
        <f aca="false">IF(OR($E66="",$F66="",NOT(ISNUMBER($E66))),"",IF($F66="Maund",ROUND($E66/37.32,2),$E66))</f>
        <v/>
      </c>
      <c r="H66" s="29"/>
      <c r="I66" s="21"/>
      <c r="J66" s="30" t="str">
        <f aca="false">IF(OR($H66="",$I66="",NOT(ISNUMBER($H66))),"",IF($I66="Maund",ROUND($H66*37.32,2),$H66))</f>
        <v/>
      </c>
      <c r="K66" s="22"/>
      <c r="L66" s="22"/>
    </row>
    <row r="67" customFormat="false" ht="19.5" hidden="false" customHeight="true" outlineLevel="0" collapsed="false">
      <c r="B67" s="21"/>
      <c r="C67" s="21"/>
      <c r="D67" s="22"/>
      <c r="E67" s="29"/>
      <c r="F67" s="21"/>
      <c r="G67" s="30" t="str">
        <f aca="false">IF(OR($E67="",$F67="",NOT(ISNUMBER($E67))),"",IF($F67="Maund",ROUND($E67/37.32,2),$E67))</f>
        <v/>
      </c>
      <c r="H67" s="29"/>
      <c r="I67" s="21"/>
      <c r="J67" s="30" t="str">
        <f aca="false">IF(OR($H67="",$I67="",NOT(ISNUMBER($H67))),"",IF($I67="Maund",ROUND($H67*37.32,2),$H67))</f>
        <v/>
      </c>
      <c r="K67" s="22"/>
      <c r="L67" s="22"/>
    </row>
    <row r="68" customFormat="false" ht="19.5" hidden="false" customHeight="true" outlineLevel="0" collapsed="false">
      <c r="B68" s="21"/>
      <c r="C68" s="21"/>
      <c r="D68" s="22"/>
      <c r="E68" s="29"/>
      <c r="F68" s="21"/>
      <c r="G68" s="30" t="str">
        <f aca="false">IF(OR($E68="",$F68="",NOT(ISNUMBER($E68))),"",IF($F68="Maund",ROUND($E68/37.32,2),$E68))</f>
        <v/>
      </c>
      <c r="H68" s="29"/>
      <c r="I68" s="21"/>
      <c r="J68" s="30" t="str">
        <f aca="false">IF(OR($H68="",$I68="",NOT(ISNUMBER($H68))),"",IF($I68="Maund",ROUND($H68*37.32,2),$H68))</f>
        <v/>
      </c>
      <c r="K68" s="22"/>
      <c r="L68" s="22"/>
    </row>
    <row r="69" customFormat="false" ht="19.5" hidden="false" customHeight="true" outlineLevel="0" collapsed="false">
      <c r="B69" s="21"/>
      <c r="C69" s="21"/>
      <c r="D69" s="22"/>
      <c r="E69" s="29"/>
      <c r="F69" s="21"/>
      <c r="G69" s="30" t="str">
        <f aca="false">IF(OR($E69="",$F69="",NOT(ISNUMBER($E69))),"",IF($F69="Maund",ROUND($E69/37.32,2),$E69))</f>
        <v/>
      </c>
      <c r="H69" s="29"/>
      <c r="I69" s="21"/>
      <c r="J69" s="30" t="str">
        <f aca="false">IF(OR($H69="",$I69="",NOT(ISNUMBER($H69))),"",IF($I69="Maund",ROUND($H69*37.32,2),$H69))</f>
        <v/>
      </c>
      <c r="K69" s="22"/>
      <c r="L69" s="22"/>
    </row>
    <row r="70" customFormat="false" ht="19.5" hidden="false" customHeight="true" outlineLevel="0" collapsed="false">
      <c r="B70" s="21"/>
      <c r="C70" s="21"/>
      <c r="D70" s="22"/>
      <c r="E70" s="29"/>
      <c r="F70" s="21"/>
      <c r="G70" s="30" t="str">
        <f aca="false">IF(OR($E70="",$F70="",NOT(ISNUMBER($E70))),"",IF($F70="Maund",ROUND($E70/37.32,2),$E70))</f>
        <v/>
      </c>
      <c r="H70" s="29"/>
      <c r="I70" s="21"/>
      <c r="J70" s="30" t="str">
        <f aca="false">IF(OR($H70="",$I70="",NOT(ISNUMBER($H70))),"",IF($I70="Maund",ROUND($H70*37.32,2),$H70))</f>
        <v/>
      </c>
      <c r="K70" s="22"/>
      <c r="L70" s="22"/>
    </row>
    <row r="71" customFormat="false" ht="19.5" hidden="false" customHeight="true" outlineLevel="0" collapsed="false">
      <c r="B71" s="21"/>
      <c r="C71" s="21"/>
      <c r="D71" s="22"/>
      <c r="E71" s="29"/>
      <c r="F71" s="21"/>
      <c r="G71" s="30" t="str">
        <f aca="false">IF(OR($E71="",$F71="",NOT(ISNUMBER($E71))),"",IF($F71="Maund",ROUND($E71/37.32,2),$E71))</f>
        <v/>
      </c>
      <c r="H71" s="29"/>
      <c r="I71" s="21"/>
      <c r="J71" s="30" t="str">
        <f aca="false">IF(OR($H71="",$I71="",NOT(ISNUMBER($H71))),"",IF($I71="Maund",ROUND($H71*37.32,2),$H71))</f>
        <v/>
      </c>
      <c r="K71" s="22"/>
      <c r="L71" s="22"/>
    </row>
    <row r="72" customFormat="false" ht="19.5" hidden="false" customHeight="true" outlineLevel="0" collapsed="false">
      <c r="B72" s="21"/>
      <c r="C72" s="21"/>
      <c r="D72" s="22"/>
      <c r="E72" s="29"/>
      <c r="F72" s="21"/>
      <c r="G72" s="30" t="str">
        <f aca="false">IF(OR($E72="",$F72="",NOT(ISNUMBER($E72))),"",IF($F72="Maund",ROUND($E72/37.32,2),$E72))</f>
        <v/>
      </c>
      <c r="H72" s="29"/>
      <c r="I72" s="21"/>
      <c r="J72" s="30" t="str">
        <f aca="false">IF(OR($H72="",$I72="",NOT(ISNUMBER($H72))),"",IF($I72="Maund",ROUND($H72*37.32,2),$H72))</f>
        <v/>
      </c>
      <c r="K72" s="22"/>
      <c r="L72" s="22"/>
    </row>
    <row r="73" customFormat="false" ht="19.5" hidden="false" customHeight="true" outlineLevel="0" collapsed="false">
      <c r="B73" s="21"/>
      <c r="C73" s="21"/>
      <c r="D73" s="22"/>
      <c r="E73" s="29"/>
      <c r="F73" s="21"/>
      <c r="G73" s="30" t="str">
        <f aca="false">IF(OR($E73="",$F73="",NOT(ISNUMBER($E73))),"",IF($F73="Maund",ROUND($E73/37.32,2),$E73))</f>
        <v/>
      </c>
      <c r="H73" s="29"/>
      <c r="I73" s="21"/>
      <c r="J73" s="30" t="str">
        <f aca="false">IF(OR($H73="",$I73="",NOT(ISNUMBER($H73))),"",IF($I73="Maund",ROUND($H73*37.32,2),$H73))</f>
        <v/>
      </c>
      <c r="K73" s="22"/>
      <c r="L73" s="22"/>
    </row>
    <row r="74" customFormat="false" ht="19.5" hidden="false" customHeight="true" outlineLevel="0" collapsed="false">
      <c r="B74" s="21"/>
      <c r="C74" s="21"/>
      <c r="D74" s="22"/>
      <c r="E74" s="29"/>
      <c r="F74" s="21"/>
      <c r="G74" s="30" t="str">
        <f aca="false">IF(OR($E74="",$F74="",NOT(ISNUMBER($E74))),"",IF($F74="Maund",ROUND($E74/37.32,2),$E74))</f>
        <v/>
      </c>
      <c r="H74" s="29"/>
      <c r="I74" s="21"/>
      <c r="J74" s="30" t="str">
        <f aca="false">IF(OR($H74="",$I74="",NOT(ISNUMBER($H74))),"",IF($I74="Maund",ROUND($H74*37.32,2),$H74))</f>
        <v/>
      </c>
      <c r="K74" s="22"/>
      <c r="L74" s="22"/>
    </row>
    <row r="75" customFormat="false" ht="19.5" hidden="false" customHeight="true" outlineLevel="0" collapsed="false">
      <c r="B75" s="21"/>
      <c r="C75" s="21"/>
      <c r="D75" s="22"/>
      <c r="E75" s="29"/>
      <c r="F75" s="21"/>
      <c r="G75" s="30" t="str">
        <f aca="false">IF(OR($E75="",$F75="",NOT(ISNUMBER($E75))),"",IF($F75="Maund",ROUND($E75/37.32,2),$E75))</f>
        <v/>
      </c>
      <c r="H75" s="29"/>
      <c r="I75" s="21"/>
      <c r="J75" s="30" t="str">
        <f aca="false">IF(OR($H75="",$I75="",NOT(ISNUMBER($H75))),"",IF($I75="Maund",ROUND($H75*37.32,2),$H75))</f>
        <v/>
      </c>
      <c r="K75" s="22"/>
      <c r="L75" s="22"/>
    </row>
    <row r="76" customFormat="false" ht="19.5" hidden="false" customHeight="true" outlineLevel="0" collapsed="false">
      <c r="B76" s="21"/>
      <c r="C76" s="21"/>
      <c r="D76" s="22"/>
      <c r="E76" s="29"/>
      <c r="F76" s="21"/>
      <c r="G76" s="30" t="str">
        <f aca="false">IF(OR($E76="",$F76="",NOT(ISNUMBER($E76))),"",IF($F76="Maund",ROUND($E76/37.32,2),$E76))</f>
        <v/>
      </c>
      <c r="H76" s="29"/>
      <c r="I76" s="21"/>
      <c r="J76" s="30" t="str">
        <f aca="false">IF(OR($H76="",$I76="",NOT(ISNUMBER($H76))),"",IF($I76="Maund",ROUND($H76*37.32,2),$H76))</f>
        <v/>
      </c>
      <c r="K76" s="22"/>
      <c r="L76" s="22"/>
    </row>
    <row r="77" customFormat="false" ht="19.5" hidden="false" customHeight="true" outlineLevel="0" collapsed="false">
      <c r="B77" s="21"/>
      <c r="C77" s="21"/>
      <c r="D77" s="22"/>
      <c r="E77" s="29"/>
      <c r="F77" s="21"/>
      <c r="G77" s="30" t="str">
        <f aca="false">IF(OR($E77="",$F77="",NOT(ISNUMBER($E77))),"",IF($F77="Maund",ROUND($E77/37.32,2),$E77))</f>
        <v/>
      </c>
      <c r="H77" s="29"/>
      <c r="I77" s="21"/>
      <c r="J77" s="30" t="str">
        <f aca="false">IF(OR($H77="",$I77="",NOT(ISNUMBER($H77))),"",IF($I77="Maund",ROUND($H77*37.32,2),$H77))</f>
        <v/>
      </c>
      <c r="K77" s="22"/>
      <c r="L77" s="22"/>
    </row>
    <row r="78" customFormat="false" ht="19.5" hidden="false" customHeight="true" outlineLevel="0" collapsed="false">
      <c r="B78" s="21"/>
      <c r="C78" s="21"/>
      <c r="D78" s="22"/>
      <c r="E78" s="29"/>
      <c r="F78" s="21"/>
      <c r="G78" s="30" t="str">
        <f aca="false">IF(OR($E78="",$F78="",NOT(ISNUMBER($E78))),"",IF($F78="Maund",ROUND($E78/37.32,2),$E78))</f>
        <v/>
      </c>
      <c r="H78" s="29"/>
      <c r="I78" s="21"/>
      <c r="J78" s="30" t="str">
        <f aca="false">IF(OR($H78="",$I78="",NOT(ISNUMBER($H78))),"",IF($I78="Maund",ROUND($H78*37.32,2),$H78))</f>
        <v/>
      </c>
      <c r="K78" s="22"/>
      <c r="L78" s="22"/>
    </row>
    <row r="79" customFormat="false" ht="19.5" hidden="false" customHeight="true" outlineLevel="0" collapsed="false">
      <c r="B79" s="21"/>
      <c r="C79" s="21"/>
      <c r="D79" s="22"/>
      <c r="E79" s="29"/>
      <c r="F79" s="21"/>
      <c r="G79" s="30" t="str">
        <f aca="false">IF(OR($E79="",$F79="",NOT(ISNUMBER($E79))),"",IF($F79="Maund",ROUND($E79/37.32,2),$E79))</f>
        <v/>
      </c>
      <c r="H79" s="29"/>
      <c r="I79" s="21"/>
      <c r="J79" s="30" t="str">
        <f aca="false">IF(OR($H79="",$I79="",NOT(ISNUMBER($H79))),"",IF($I79="Maund",ROUND($H79*37.32,2),$H79))</f>
        <v/>
      </c>
      <c r="K79" s="22"/>
      <c r="L79" s="22"/>
    </row>
    <row r="80" customFormat="false" ht="19.5" hidden="false" customHeight="true" outlineLevel="0" collapsed="false">
      <c r="B80" s="21"/>
      <c r="C80" s="21"/>
      <c r="D80" s="22"/>
      <c r="E80" s="29"/>
      <c r="F80" s="21"/>
      <c r="G80" s="30" t="str">
        <f aca="false">IF(OR($E80="",$F80="",NOT(ISNUMBER($E80))),"",IF($F80="Maund",ROUND($E80/37.32,2),$E80))</f>
        <v/>
      </c>
      <c r="H80" s="29"/>
      <c r="I80" s="21"/>
      <c r="J80" s="30" t="str">
        <f aca="false">IF(OR($H80="",$I80="",NOT(ISNUMBER($H80))),"",IF($I80="Maund",ROUND($H80*37.32,2),$H80))</f>
        <v/>
      </c>
      <c r="K80" s="22"/>
      <c r="L80" s="22"/>
    </row>
    <row r="81" customFormat="false" ht="19.5" hidden="false" customHeight="true" outlineLevel="0" collapsed="false">
      <c r="B81" s="21"/>
      <c r="C81" s="21"/>
      <c r="D81" s="22"/>
      <c r="E81" s="29"/>
      <c r="F81" s="21"/>
      <c r="G81" s="30" t="str">
        <f aca="false">IF(OR($E81="",$F81="",NOT(ISNUMBER($E81))),"",IF($F81="Maund",ROUND($E81/37.32,2),$E81))</f>
        <v/>
      </c>
      <c r="H81" s="29"/>
      <c r="I81" s="21"/>
      <c r="J81" s="30" t="str">
        <f aca="false">IF(OR($H81="",$I81="",NOT(ISNUMBER($H81))),"",IF($I81="Maund",ROUND($H81*37.32,2),$H81))</f>
        <v/>
      </c>
      <c r="K81" s="22"/>
      <c r="L81" s="22"/>
    </row>
    <row r="82" customFormat="false" ht="19.5" hidden="false" customHeight="true" outlineLevel="0" collapsed="false">
      <c r="B82" s="21"/>
      <c r="C82" s="21"/>
      <c r="D82" s="22"/>
      <c r="E82" s="29"/>
      <c r="F82" s="21"/>
      <c r="G82" s="30" t="str">
        <f aca="false">IF(OR($E82="",$F82="",NOT(ISNUMBER($E82))),"",IF($F82="Maund",ROUND($E82/37.32,2),$E82))</f>
        <v/>
      </c>
      <c r="H82" s="29"/>
      <c r="I82" s="21"/>
      <c r="J82" s="30" t="str">
        <f aca="false">IF(OR($H82="",$I82="",NOT(ISNUMBER($H82))),"",IF($I82="Maund",ROUND($H82*37.32,2),$H82))</f>
        <v/>
      </c>
      <c r="K82" s="22"/>
      <c r="L82" s="22"/>
    </row>
    <row r="83" customFormat="false" ht="19.5" hidden="false" customHeight="true" outlineLevel="0" collapsed="false">
      <c r="B83" s="21"/>
      <c r="C83" s="21"/>
      <c r="D83" s="22"/>
      <c r="E83" s="29"/>
      <c r="F83" s="21"/>
      <c r="G83" s="30" t="str">
        <f aca="false">IF(OR($E83="",$F83="",NOT(ISNUMBER($E83))),"",IF($F83="Maund",ROUND($E83/37.32,2),$E83))</f>
        <v/>
      </c>
      <c r="H83" s="29"/>
      <c r="I83" s="21"/>
      <c r="J83" s="30" t="str">
        <f aca="false">IF(OR($H83="",$I83="",NOT(ISNUMBER($H83))),"",IF($I83="Maund",ROUND($H83*37.32,2),$H83))</f>
        <v/>
      </c>
      <c r="K83" s="22"/>
      <c r="L83" s="22"/>
    </row>
    <row r="84" customFormat="false" ht="19.5" hidden="false" customHeight="true" outlineLevel="0" collapsed="false">
      <c r="B84" s="21"/>
      <c r="C84" s="21"/>
      <c r="D84" s="22"/>
      <c r="E84" s="29"/>
      <c r="F84" s="21"/>
      <c r="G84" s="30" t="str">
        <f aca="false">IF(OR($E84="",$F84="",NOT(ISNUMBER($E84))),"",IF($F84="Maund",ROUND($E84/37.32,2),$E84))</f>
        <v/>
      </c>
      <c r="H84" s="29"/>
      <c r="I84" s="21"/>
      <c r="J84" s="30" t="str">
        <f aca="false">IF(OR($H84="",$I84="",NOT(ISNUMBER($H84))),"",IF($I84="Maund",ROUND($H84*37.32,2),$H84))</f>
        <v/>
      </c>
      <c r="K84" s="22"/>
      <c r="L84" s="22"/>
    </row>
    <row r="85" customFormat="false" ht="19.5" hidden="false" customHeight="true" outlineLevel="0" collapsed="false">
      <c r="B85" s="21"/>
      <c r="C85" s="21"/>
      <c r="D85" s="22"/>
      <c r="E85" s="29"/>
      <c r="F85" s="21"/>
      <c r="G85" s="30" t="str">
        <f aca="false">IF(OR($E85="",$F85="",NOT(ISNUMBER($E85))),"",IF($F85="Maund",ROUND($E85/37.32,2),$E85))</f>
        <v/>
      </c>
      <c r="H85" s="29"/>
      <c r="I85" s="21"/>
      <c r="J85" s="30" t="str">
        <f aca="false">IF(OR($H85="",$I85="",NOT(ISNUMBER($H85))),"",IF($I85="Maund",ROUND($H85*37.32,2),$H85))</f>
        <v/>
      </c>
      <c r="K85" s="22"/>
      <c r="L85" s="22"/>
    </row>
    <row r="86" customFormat="false" ht="19.5" hidden="false" customHeight="true" outlineLevel="0" collapsed="false">
      <c r="B86" s="21"/>
      <c r="C86" s="21"/>
      <c r="D86" s="22"/>
      <c r="E86" s="29"/>
      <c r="F86" s="21"/>
      <c r="G86" s="30" t="str">
        <f aca="false">IF(OR($E86="",$F86="",NOT(ISNUMBER($E86))),"",IF($F86="Maund",ROUND($E86/37.32,2),$E86))</f>
        <v/>
      </c>
      <c r="H86" s="29"/>
      <c r="I86" s="21"/>
      <c r="J86" s="30" t="str">
        <f aca="false">IF(OR($H86="",$I86="",NOT(ISNUMBER($H86))),"",IF($I86="Maund",ROUND($H86*37.32,2),$H86))</f>
        <v/>
      </c>
      <c r="K86" s="22"/>
      <c r="L86" s="22"/>
    </row>
    <row r="87" customFormat="false" ht="19.5" hidden="false" customHeight="true" outlineLevel="0" collapsed="false">
      <c r="B87" s="21"/>
      <c r="C87" s="21"/>
      <c r="D87" s="22"/>
      <c r="E87" s="29"/>
      <c r="F87" s="21"/>
      <c r="G87" s="30" t="str">
        <f aca="false">IF(OR($E87="",$F87="",NOT(ISNUMBER($E87))),"",IF($F87="Maund",ROUND($E87/37.32,2),$E87))</f>
        <v/>
      </c>
      <c r="H87" s="29"/>
      <c r="I87" s="21"/>
      <c r="J87" s="30" t="str">
        <f aca="false">IF(OR($H87="",$I87="",NOT(ISNUMBER($H87))),"",IF($I87="Maund",ROUND($H87*37.32,2),$H87))</f>
        <v/>
      </c>
      <c r="K87" s="22"/>
      <c r="L87" s="22"/>
    </row>
    <row r="88" customFormat="false" ht="19.5" hidden="false" customHeight="true" outlineLevel="0" collapsed="false">
      <c r="B88" s="21"/>
      <c r="C88" s="21"/>
      <c r="D88" s="22"/>
      <c r="E88" s="29"/>
      <c r="F88" s="21"/>
      <c r="G88" s="30" t="str">
        <f aca="false">IF(OR($E88="",$F88="",NOT(ISNUMBER($E88))),"",IF($F88="Maund",ROUND($E88/37.32,2),$E88))</f>
        <v/>
      </c>
      <c r="H88" s="29"/>
      <c r="I88" s="21"/>
      <c r="J88" s="30" t="str">
        <f aca="false">IF(OR($H88="",$I88="",NOT(ISNUMBER($H88))),"",IF($I88="Maund",ROUND($H88*37.32,2),$H88))</f>
        <v/>
      </c>
      <c r="K88" s="22"/>
      <c r="L88" s="22"/>
    </row>
    <row r="89" customFormat="false" ht="19.5" hidden="false" customHeight="true" outlineLevel="0" collapsed="false">
      <c r="B89" s="21"/>
      <c r="C89" s="21"/>
      <c r="D89" s="22"/>
      <c r="E89" s="29"/>
      <c r="F89" s="21"/>
      <c r="G89" s="30" t="str">
        <f aca="false">IF(OR($E89="",$F89="",NOT(ISNUMBER($E89))),"",IF($F89="Maund",ROUND($E89/37.32,2),$E89))</f>
        <v/>
      </c>
      <c r="H89" s="29"/>
      <c r="I89" s="21"/>
      <c r="J89" s="30" t="str">
        <f aca="false">IF(OR($H89="",$I89="",NOT(ISNUMBER($H89))),"",IF($I89="Maund",ROUND($H89*37.32,2),$H89))</f>
        <v/>
      </c>
      <c r="K89" s="22"/>
      <c r="L89" s="22"/>
    </row>
    <row r="90" customFormat="false" ht="19.5" hidden="false" customHeight="true" outlineLevel="0" collapsed="false">
      <c r="B90" s="21"/>
      <c r="C90" s="21"/>
      <c r="D90" s="22"/>
      <c r="E90" s="29"/>
      <c r="F90" s="21"/>
      <c r="G90" s="30" t="str">
        <f aca="false">IF(OR($E90="",$F90="",NOT(ISNUMBER($E90))),"",IF($F90="Maund",ROUND($E90/37.32,2),$E90))</f>
        <v/>
      </c>
      <c r="H90" s="29"/>
      <c r="I90" s="21"/>
      <c r="J90" s="30" t="str">
        <f aca="false">IF(OR($H90="",$I90="",NOT(ISNUMBER($H90))),"",IF($I90="Maund",ROUND($H90*37.32,2),$H90))</f>
        <v/>
      </c>
      <c r="K90" s="22"/>
      <c r="L90" s="22"/>
    </row>
    <row r="91" customFormat="false" ht="19.5" hidden="false" customHeight="true" outlineLevel="0" collapsed="false">
      <c r="B91" s="21"/>
      <c r="C91" s="21"/>
      <c r="D91" s="22"/>
      <c r="E91" s="29"/>
      <c r="F91" s="21"/>
      <c r="G91" s="30" t="str">
        <f aca="false">IF(OR($E91="",$F91="",NOT(ISNUMBER($E91))),"",IF($F91="Maund",ROUND($E91/37.32,2),$E91))</f>
        <v/>
      </c>
      <c r="H91" s="29"/>
      <c r="I91" s="21"/>
      <c r="J91" s="30" t="str">
        <f aca="false">IF(OR($H91="",$I91="",NOT(ISNUMBER($H91))),"",IF($I91="Maund",ROUND($H91*37.32,2),$H91))</f>
        <v/>
      </c>
      <c r="K91" s="22"/>
      <c r="L91" s="22"/>
    </row>
    <row r="92" customFormat="false" ht="19.5" hidden="false" customHeight="true" outlineLevel="0" collapsed="false">
      <c r="B92" s="21"/>
      <c r="C92" s="21"/>
      <c r="D92" s="22"/>
      <c r="E92" s="29"/>
      <c r="F92" s="21"/>
      <c r="G92" s="30" t="str">
        <f aca="false">IF(OR($E92="",$F92="",NOT(ISNUMBER($E92))),"",IF($F92="Maund",ROUND($E92/37.32,2),$E92))</f>
        <v/>
      </c>
      <c r="H92" s="29"/>
      <c r="I92" s="21"/>
      <c r="J92" s="30" t="str">
        <f aca="false">IF(OR($H92="",$I92="",NOT(ISNUMBER($H92))),"",IF($I92="Maund",ROUND($H92*37.32,2),$H92))</f>
        <v/>
      </c>
      <c r="K92" s="22"/>
      <c r="L92" s="22"/>
    </row>
    <row r="93" customFormat="false" ht="19.5" hidden="false" customHeight="true" outlineLevel="0" collapsed="false">
      <c r="B93" s="21"/>
      <c r="C93" s="21"/>
      <c r="D93" s="22"/>
      <c r="E93" s="29"/>
      <c r="F93" s="21"/>
      <c r="G93" s="30" t="str">
        <f aca="false">IF(OR($E93="",$F93="",NOT(ISNUMBER($E93))),"",IF($F93="Maund",ROUND($E93/37.32,2),$E93))</f>
        <v/>
      </c>
      <c r="H93" s="29"/>
      <c r="I93" s="21"/>
      <c r="J93" s="30" t="str">
        <f aca="false">IF(OR($H93="",$I93="",NOT(ISNUMBER($H93))),"",IF($I93="Maund",ROUND($H93*37.32,2),$H93))</f>
        <v/>
      </c>
      <c r="K93" s="22"/>
      <c r="L93" s="22"/>
    </row>
    <row r="94" customFormat="false" ht="19.5" hidden="false" customHeight="true" outlineLevel="0" collapsed="false">
      <c r="B94" s="21"/>
      <c r="C94" s="21"/>
      <c r="D94" s="22"/>
      <c r="E94" s="29"/>
      <c r="F94" s="21"/>
      <c r="G94" s="30" t="str">
        <f aca="false">IF(OR($E94="",$F94="",NOT(ISNUMBER($E94))),"",IF($F94="Maund",ROUND($E94/37.32,2),$E94))</f>
        <v/>
      </c>
      <c r="H94" s="29"/>
      <c r="I94" s="21"/>
      <c r="J94" s="30" t="str">
        <f aca="false">IF(OR($H94="",$I94="",NOT(ISNUMBER($H94))),"",IF($I94="Maund",ROUND($H94*37.32,2),$H94))</f>
        <v/>
      </c>
      <c r="K94" s="22"/>
      <c r="L94" s="22"/>
    </row>
    <row r="95" customFormat="false" ht="19.5" hidden="false" customHeight="true" outlineLevel="0" collapsed="false">
      <c r="B95" s="21"/>
      <c r="C95" s="21"/>
      <c r="D95" s="22"/>
      <c r="E95" s="29"/>
      <c r="F95" s="21"/>
      <c r="G95" s="30" t="str">
        <f aca="false">IF(OR($E95="",$F95="",NOT(ISNUMBER($E95))),"",IF($F95="Maund",ROUND($E95/37.32,2),$E95))</f>
        <v/>
      </c>
      <c r="H95" s="29"/>
      <c r="I95" s="21"/>
      <c r="J95" s="30" t="str">
        <f aca="false">IF(OR($H95="",$I95="",NOT(ISNUMBER($H95))),"",IF($I95="Maund",ROUND($H95*37.32,2),$H95))</f>
        <v/>
      </c>
      <c r="K95" s="22"/>
      <c r="L95" s="22"/>
    </row>
    <row r="96" customFormat="false" ht="19.5" hidden="false" customHeight="true" outlineLevel="0" collapsed="false">
      <c r="B96" s="21"/>
      <c r="C96" s="21"/>
      <c r="D96" s="22"/>
      <c r="E96" s="29"/>
      <c r="F96" s="21"/>
      <c r="G96" s="30" t="str">
        <f aca="false">IF(OR($E96="",$F96="",NOT(ISNUMBER($E96))),"",IF($F96="Maund",ROUND($E96/37.32,2),$E96))</f>
        <v/>
      </c>
      <c r="H96" s="29"/>
      <c r="I96" s="21"/>
      <c r="J96" s="30" t="str">
        <f aca="false">IF(OR($H96="",$I96="",NOT(ISNUMBER($H96))),"",IF($I96="Maund",ROUND($H96*37.32,2),$H96))</f>
        <v/>
      </c>
      <c r="K96" s="22"/>
      <c r="L96" s="22"/>
    </row>
    <row r="97" customFormat="false" ht="19.5" hidden="false" customHeight="true" outlineLevel="0" collapsed="false">
      <c r="B97" s="21"/>
      <c r="C97" s="21"/>
      <c r="D97" s="22"/>
      <c r="E97" s="29"/>
      <c r="F97" s="21"/>
      <c r="G97" s="30" t="str">
        <f aca="false">IF(OR($E97="",$F97="",NOT(ISNUMBER($E97))),"",IF($F97="Maund",ROUND($E97/37.32,2),$E97))</f>
        <v/>
      </c>
      <c r="H97" s="29"/>
      <c r="I97" s="21"/>
      <c r="J97" s="30" t="str">
        <f aca="false">IF(OR($H97="",$I97="",NOT(ISNUMBER($H97))),"",IF($I97="Maund",ROUND($H97*37.32,2),$H97))</f>
        <v/>
      </c>
      <c r="K97" s="22"/>
      <c r="L97" s="22"/>
    </row>
    <row r="98" customFormat="false" ht="19.5" hidden="false" customHeight="true" outlineLevel="0" collapsed="false">
      <c r="B98" s="21"/>
      <c r="C98" s="21"/>
      <c r="D98" s="22"/>
      <c r="E98" s="29"/>
      <c r="F98" s="21"/>
      <c r="G98" s="30" t="str">
        <f aca="false">IF(OR($E98="",$F98="",NOT(ISNUMBER($E98))),"",IF($F98="Maund",ROUND($E98/37.32,2),$E98))</f>
        <v/>
      </c>
      <c r="H98" s="29"/>
      <c r="I98" s="21"/>
      <c r="J98" s="30" t="str">
        <f aca="false">IF(OR($H98="",$I98="",NOT(ISNUMBER($H98))),"",IF($I98="Maund",ROUND($H98*37.32,2),$H98))</f>
        <v/>
      </c>
      <c r="K98" s="22"/>
      <c r="L98" s="22"/>
    </row>
    <row r="99" customFormat="false" ht="19.5" hidden="false" customHeight="true" outlineLevel="0" collapsed="false">
      <c r="B99" s="21"/>
      <c r="C99" s="21"/>
      <c r="D99" s="22"/>
      <c r="E99" s="29"/>
      <c r="F99" s="21"/>
      <c r="G99" s="30" t="str">
        <f aca="false">IF(OR($E99="",$F99="",NOT(ISNUMBER($E99))),"",IF($F99="Maund",ROUND($E99/37.32,2),$E99))</f>
        <v/>
      </c>
      <c r="H99" s="29"/>
      <c r="I99" s="21"/>
      <c r="J99" s="30" t="str">
        <f aca="false">IF(OR($H99="",$I99="",NOT(ISNUMBER($H99))),"",IF($I99="Maund",ROUND($H99*37.32,2),$H99))</f>
        <v/>
      </c>
      <c r="K99" s="22"/>
      <c r="L99" s="22"/>
    </row>
    <row r="100" customFormat="false" ht="19.5" hidden="false" customHeight="true" outlineLevel="0" collapsed="false">
      <c r="B100" s="21"/>
      <c r="C100" s="21"/>
      <c r="D100" s="22"/>
      <c r="E100" s="29"/>
      <c r="F100" s="21"/>
      <c r="G100" s="30" t="str">
        <f aca="false">IF(OR($E100="",$F100="",NOT(ISNUMBER($E100))),"",IF($F100="Maund",ROUND($E100/37.32,2),$E100))</f>
        <v/>
      </c>
      <c r="H100" s="29"/>
      <c r="I100" s="21"/>
      <c r="J100" s="30" t="str">
        <f aca="false">IF(OR($H100="",$I100="",NOT(ISNUMBER($H100))),"",IF($I100="Maund",ROUND($H100*37.32,2),$H100))</f>
        <v/>
      </c>
      <c r="K100" s="22"/>
      <c r="L100" s="22"/>
    </row>
    <row r="101" customFormat="false" ht="19.5" hidden="false" customHeight="true" outlineLevel="0" collapsed="false">
      <c r="B101" s="21"/>
      <c r="C101" s="21"/>
      <c r="D101" s="22"/>
      <c r="E101" s="29"/>
      <c r="F101" s="21"/>
      <c r="G101" s="30" t="str">
        <f aca="false">IF(OR($E101="",$F101="",NOT(ISNUMBER($E101))),"",IF($F101="Maund",ROUND($E101/37.32,2),$E101))</f>
        <v/>
      </c>
      <c r="H101" s="29"/>
      <c r="I101" s="21"/>
      <c r="J101" s="30" t="str">
        <f aca="false">IF(OR($H101="",$I101="",NOT(ISNUMBER($H101))),"",IF($I101="Maund",ROUND($H101*37.32,2),$H101))</f>
        <v/>
      </c>
      <c r="K101" s="22"/>
      <c r="L101" s="22"/>
    </row>
    <row r="102" customFormat="false" ht="19.5" hidden="false" customHeight="true" outlineLevel="0" collapsed="false">
      <c r="B102" s="21"/>
      <c r="C102" s="21"/>
      <c r="D102" s="22"/>
      <c r="E102" s="29"/>
      <c r="F102" s="21"/>
      <c r="G102" s="30" t="str">
        <f aca="false">IF(OR($E102="",$F102="",NOT(ISNUMBER($E102))),"",IF($F102="Maund",ROUND($E102/37.32,2),$E102))</f>
        <v/>
      </c>
      <c r="H102" s="29"/>
      <c r="I102" s="21"/>
      <c r="J102" s="30" t="str">
        <f aca="false">IF(OR($H102="",$I102="",NOT(ISNUMBER($H102))),"",IF($I102="Maund",ROUND($H102*37.32,2),$H102))</f>
        <v/>
      </c>
      <c r="K102" s="22"/>
      <c r="L102" s="22"/>
    </row>
    <row r="103" customFormat="false" ht="19.5" hidden="false" customHeight="true" outlineLevel="0" collapsed="false">
      <c r="B103" s="21"/>
      <c r="C103" s="21"/>
      <c r="D103" s="22"/>
      <c r="E103" s="29"/>
      <c r="F103" s="21"/>
      <c r="G103" s="30" t="str">
        <f aca="false">IF(OR($E103="",$F103="",NOT(ISNUMBER($E103))),"",IF($F103="Maund",ROUND($E103/37.32,2),$E103))</f>
        <v/>
      </c>
      <c r="H103" s="29"/>
      <c r="I103" s="21"/>
      <c r="J103" s="30" t="str">
        <f aca="false">IF(OR($H103="",$I103="",NOT(ISNUMBER($H103))),"",IF($I103="Maund",ROUND($H103*37.32,2),$H103))</f>
        <v/>
      </c>
      <c r="K103" s="22"/>
      <c r="L103" s="22"/>
    </row>
    <row r="104" customFormat="false" ht="19.5" hidden="false" customHeight="true" outlineLevel="0" collapsed="false">
      <c r="B104" s="21"/>
      <c r="C104" s="21"/>
      <c r="D104" s="22"/>
      <c r="E104" s="29"/>
      <c r="F104" s="21"/>
      <c r="G104" s="30" t="str">
        <f aca="false">IF(OR($E104="",$F104="",NOT(ISNUMBER($E104))),"",IF($F104="Maund",ROUND($E104/37.32,2),$E104))</f>
        <v/>
      </c>
      <c r="H104" s="29"/>
      <c r="I104" s="21"/>
      <c r="J104" s="30" t="str">
        <f aca="false">IF(OR($H104="",$I104="",NOT(ISNUMBER($H104))),"",IF($I104="Maund",ROUND($H104*37.32,2),$H104))</f>
        <v/>
      </c>
      <c r="K104" s="22"/>
      <c r="L104" s="22"/>
    </row>
  </sheetData>
  <autoFilter ref="B4:L104"/>
  <mergeCells count="1">
    <mergeCell ref="B2:L2"/>
  </mergeCells>
  <dataValidations count="3">
    <dataValidation allowBlank="true" error="Enter a number between 0 and 1000000." errorStyle="stop" errorTitle="Out of range" operator="between" showDropDown="false" showErrorMessage="true" showInputMessage="false" sqref="E5:E104 H5:H104" type="decimal">
      <formula1>0</formula1>
      <formula2>1000000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10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F5:F104 I5:I104" type="list">
      <formula1>"Maund,Kg"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2:U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11"/>
    <col collapsed="false" customWidth="true" hidden="false" outlineLevel="0" max="12" min="11" style="1" width="12"/>
    <col collapsed="false" customWidth="true" hidden="false" outlineLevel="0" max="13" min="13" style="1" width="13"/>
    <col collapsed="false" customWidth="true" hidden="false" outlineLevel="0" max="14" min="14" style="1" width="16"/>
    <col collapsed="false" customWidth="true" hidden="false" outlineLevel="0" max="16" min="15" style="1" width="12"/>
    <col collapsed="false" customWidth="true" hidden="false" outlineLevel="0" max="17" min="17" style="1" width="14"/>
    <col collapsed="false" customWidth="true" hidden="false" outlineLevel="0" max="20" min="18" style="1" width="16"/>
    <col collapsed="false" customWidth="true" hidden="false" outlineLevel="0" max="21" min="21" style="1" width="26"/>
  </cols>
  <sheetData>
    <row r="2" customFormat="false" ht="31.5" hidden="false" customHeight="true" outlineLevel="0" collapsed="false">
      <c r="B2" s="2" t="s">
        <v>902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customFormat="false" ht="27.75" hidden="false" customHeight="true" outlineLevel="0" collapsed="false">
      <c r="B4" s="11" t="s">
        <v>58</v>
      </c>
      <c r="C4" s="11" t="s">
        <v>161</v>
      </c>
      <c r="D4" s="11" t="s">
        <v>903</v>
      </c>
      <c r="E4" s="11" t="s">
        <v>904</v>
      </c>
      <c r="F4" s="11" t="s">
        <v>905</v>
      </c>
      <c r="G4" s="11" t="s">
        <v>906</v>
      </c>
      <c r="H4" s="11" t="s">
        <v>907</v>
      </c>
      <c r="I4" s="11" t="s">
        <v>908</v>
      </c>
      <c r="J4" s="11" t="s">
        <v>909</v>
      </c>
      <c r="K4" s="11" t="s">
        <v>910</v>
      </c>
      <c r="L4" s="11" t="s">
        <v>911</v>
      </c>
      <c r="M4" s="11" t="s">
        <v>912</v>
      </c>
      <c r="N4" s="11" t="s">
        <v>913</v>
      </c>
      <c r="O4" s="11" t="s">
        <v>914</v>
      </c>
      <c r="P4" s="11" t="s">
        <v>915</v>
      </c>
      <c r="Q4" s="11" t="s">
        <v>916</v>
      </c>
      <c r="R4" s="11" t="s">
        <v>917</v>
      </c>
      <c r="S4" s="11" t="s">
        <v>918</v>
      </c>
      <c r="T4" s="11" t="s">
        <v>919</v>
      </c>
      <c r="U4" s="11" t="s">
        <v>920</v>
      </c>
    </row>
    <row r="5" customFormat="false" ht="19.5" hidden="false" customHeight="true" outlineLevel="0" collapsed="false">
      <c r="B5" s="28" t="s">
        <v>65</v>
      </c>
      <c r="C5" s="27" t="s">
        <v>164</v>
      </c>
      <c r="D5" s="19"/>
      <c r="E5" s="21"/>
      <c r="F5" s="21"/>
      <c r="G5" s="23"/>
      <c r="H5" s="21"/>
      <c r="I5" s="21"/>
      <c r="J5" s="21"/>
      <c r="K5" s="21"/>
      <c r="L5" s="21"/>
      <c r="M5" s="21"/>
      <c r="N5" s="22"/>
      <c r="O5" s="21"/>
      <c r="P5" s="21"/>
      <c r="Q5" s="21"/>
      <c r="R5" s="22"/>
      <c r="S5" s="22"/>
      <c r="T5" s="22"/>
      <c r="U5" s="22"/>
    </row>
    <row r="6" customFormat="false" ht="19.5" hidden="false" customHeight="true" outlineLevel="0" collapsed="false">
      <c r="B6" s="28" t="s">
        <v>66</v>
      </c>
      <c r="C6" s="27" t="s">
        <v>167</v>
      </c>
      <c r="D6" s="19"/>
      <c r="E6" s="21"/>
      <c r="F6" s="21"/>
      <c r="G6" s="23"/>
      <c r="H6" s="21"/>
      <c r="I6" s="21"/>
      <c r="J6" s="21"/>
      <c r="K6" s="21"/>
      <c r="L6" s="21"/>
      <c r="M6" s="21"/>
      <c r="N6" s="22"/>
      <c r="O6" s="21"/>
      <c r="P6" s="21"/>
      <c r="Q6" s="21"/>
      <c r="R6" s="22"/>
      <c r="S6" s="22"/>
      <c r="T6" s="22"/>
      <c r="U6" s="22"/>
    </row>
    <row r="7" customFormat="false" ht="19.5" hidden="false" customHeight="true" outlineLevel="0" collapsed="false">
      <c r="B7" s="28" t="s">
        <v>67</v>
      </c>
      <c r="C7" s="27" t="s">
        <v>170</v>
      </c>
      <c r="D7" s="19"/>
      <c r="E7" s="21"/>
      <c r="F7" s="21"/>
      <c r="G7" s="23"/>
      <c r="H7" s="21"/>
      <c r="I7" s="21"/>
      <c r="J7" s="21"/>
      <c r="K7" s="21"/>
      <c r="L7" s="21"/>
      <c r="M7" s="21"/>
      <c r="N7" s="22"/>
      <c r="O7" s="21"/>
      <c r="P7" s="21"/>
      <c r="Q7" s="21"/>
      <c r="R7" s="22"/>
      <c r="S7" s="22"/>
      <c r="T7" s="22"/>
      <c r="U7" s="22"/>
    </row>
    <row r="8" customFormat="false" ht="19.5" hidden="false" customHeight="true" outlineLevel="0" collapsed="false">
      <c r="B8" s="28" t="s">
        <v>68</v>
      </c>
      <c r="C8" s="27" t="s">
        <v>172</v>
      </c>
      <c r="D8" s="19"/>
      <c r="E8" s="21"/>
      <c r="F8" s="21"/>
      <c r="G8" s="23"/>
      <c r="H8" s="21"/>
      <c r="I8" s="21"/>
      <c r="J8" s="21"/>
      <c r="K8" s="21"/>
      <c r="L8" s="21"/>
      <c r="M8" s="21"/>
      <c r="N8" s="22"/>
      <c r="O8" s="21"/>
      <c r="P8" s="21"/>
      <c r="Q8" s="21"/>
      <c r="R8" s="22"/>
      <c r="S8" s="22"/>
      <c r="T8" s="22"/>
      <c r="U8" s="22"/>
    </row>
    <row r="9" customFormat="false" ht="19.5" hidden="false" customHeight="true" outlineLevel="0" collapsed="false">
      <c r="B9" s="28" t="s">
        <v>69</v>
      </c>
      <c r="C9" s="27" t="s">
        <v>174</v>
      </c>
      <c r="D9" s="19"/>
      <c r="E9" s="21"/>
      <c r="F9" s="21"/>
      <c r="G9" s="23"/>
      <c r="H9" s="21"/>
      <c r="I9" s="21"/>
      <c r="J9" s="21"/>
      <c r="K9" s="21"/>
      <c r="L9" s="21"/>
      <c r="M9" s="21"/>
      <c r="N9" s="22"/>
      <c r="O9" s="21"/>
      <c r="P9" s="21"/>
      <c r="Q9" s="21"/>
      <c r="R9" s="22"/>
      <c r="S9" s="22"/>
      <c r="T9" s="22"/>
      <c r="U9" s="22"/>
    </row>
    <row r="10" customFormat="false" ht="19.5" hidden="false" customHeight="true" outlineLevel="0" collapsed="false">
      <c r="B10" s="28" t="s">
        <v>70</v>
      </c>
      <c r="C10" s="27" t="s">
        <v>176</v>
      </c>
      <c r="D10" s="19"/>
      <c r="E10" s="21"/>
      <c r="F10" s="21"/>
      <c r="G10" s="23"/>
      <c r="H10" s="21"/>
      <c r="I10" s="21"/>
      <c r="J10" s="21"/>
      <c r="K10" s="21"/>
      <c r="L10" s="21"/>
      <c r="M10" s="21"/>
      <c r="N10" s="22"/>
      <c r="O10" s="21"/>
      <c r="P10" s="21"/>
      <c r="Q10" s="21"/>
      <c r="R10" s="22"/>
      <c r="S10" s="22"/>
      <c r="T10" s="22"/>
      <c r="U10" s="22"/>
    </row>
    <row r="11" customFormat="false" ht="15" hidden="false" customHeight="false" outlineLevel="0" collapsed="false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customFormat="false" ht="14.25" hidden="false" customHeight="true" outlineLevel="0" collapsed="false">
      <c r="B12" s="8" t="s">
        <v>921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1">
    <mergeCell ref="B2:U2"/>
  </mergeCells>
  <dataValidations count="7">
    <dataValidation allowBlank="true" error="Please choose one of the listed values." errorStyle="stop" errorTitle="Invalid entry" operator="between" prompt="Select from list" promptTitle="Dropdown" showDropDown="false" showErrorMessage="true" showInputMessage="false" sqref="E5:E10" type="list">
      <formula1>"Wholesale,Retail,Mixed"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H5:I10 K5:K10 O5:O10" type="list">
      <formula1>"Good,Medium,Poor"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J5:J10" type="list">
      <formula1>"Complete,Partial,None"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L5:L10 P5:P10" type="list">
      <formula1>"Regular,Irregular,None"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M5:M10" type="list">
      <formula1>"Available,Not_available"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Q5:Q10" type="list">
      <formula1>"Aratdar,Committee,Mixed"</formula1>
      <formula2>0</formula2>
    </dataValidation>
    <dataValidation allowBlank="true" error="Enter a whole number between 0 and 5000." errorStyle="stop" errorTitle="Out of range" operator="between" showDropDown="false" showErrorMessage="true" showInputMessage="false" sqref="G5:G10" type="whole">
      <formula1>0</formula1>
      <formula2>5000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2:J3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5" min="4" style="1" width="16"/>
    <col collapsed="false" customWidth="true" hidden="false" outlineLevel="0" max="6" min="6" style="1" width="20"/>
    <col collapsed="false" customWidth="true" hidden="false" outlineLevel="0" max="7" min="7" style="1" width="11"/>
    <col collapsed="false" customWidth="true" hidden="false" outlineLevel="0" max="8" min="8" style="1" width="8"/>
    <col collapsed="false" customWidth="true" hidden="false" outlineLevel="0" max="9" min="9" style="1" width="14"/>
    <col collapsed="false" customWidth="true" hidden="false" outlineLevel="0" max="10" min="10" style="1" width="24"/>
  </cols>
  <sheetData>
    <row r="2" customFormat="false" ht="31.5" hidden="false" customHeight="true" outlineLevel="0" collapsed="false">
      <c r="B2" s="2" t="s">
        <v>922</v>
      </c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</row>
    <row r="4" customFormat="false" ht="27.75" hidden="false" customHeight="true" outlineLevel="0" collapsed="false">
      <c r="B4" s="11" t="s">
        <v>85</v>
      </c>
      <c r="C4" s="11" t="s">
        <v>58</v>
      </c>
      <c r="D4" s="11" t="s">
        <v>923</v>
      </c>
      <c r="E4" s="11" t="s">
        <v>924</v>
      </c>
      <c r="F4" s="11" t="s">
        <v>900</v>
      </c>
      <c r="G4" s="11" t="s">
        <v>897</v>
      </c>
      <c r="H4" s="11" t="s">
        <v>387</v>
      </c>
      <c r="I4" s="11" t="s">
        <v>898</v>
      </c>
      <c r="J4" s="11" t="s">
        <v>94</v>
      </c>
    </row>
    <row r="5" customFormat="false" ht="19.5" hidden="false" customHeight="true" outlineLevel="0" collapsed="false">
      <c r="B5" s="19"/>
      <c r="C5" s="21"/>
      <c r="D5" s="21"/>
      <c r="E5" s="21"/>
      <c r="F5" s="22"/>
      <c r="G5" s="29"/>
      <c r="H5" s="21"/>
      <c r="I5" s="30" t="str">
        <f aca="false">IF(OR($G5="",$H5="",NOT(ISNUMBER($G5))),"",IF($H5="Maund",ROUND($G5/37.32,2),$G5))</f>
        <v/>
      </c>
      <c r="J5" s="22"/>
    </row>
    <row r="6" customFormat="false" ht="19.5" hidden="false" customHeight="true" outlineLevel="0" collapsed="false">
      <c r="B6" s="19"/>
      <c r="C6" s="21"/>
      <c r="D6" s="21"/>
      <c r="E6" s="21"/>
      <c r="F6" s="22"/>
      <c r="G6" s="29"/>
      <c r="H6" s="21"/>
      <c r="I6" s="30" t="str">
        <f aca="false">IF(OR($G6="",$H6="",NOT(ISNUMBER($G6))),"",IF($H6="Maund",ROUND($G6/37.32,2),$G6))</f>
        <v/>
      </c>
      <c r="J6" s="22"/>
    </row>
    <row r="7" customFormat="false" ht="19.5" hidden="false" customHeight="true" outlineLevel="0" collapsed="false">
      <c r="B7" s="19"/>
      <c r="C7" s="21"/>
      <c r="D7" s="21"/>
      <c r="E7" s="21"/>
      <c r="F7" s="22"/>
      <c r="G7" s="29"/>
      <c r="H7" s="21"/>
      <c r="I7" s="30" t="str">
        <f aca="false">IF(OR($G7="",$H7="",NOT(ISNUMBER($G7))),"",IF($H7="Maund",ROUND($G7/37.32,2),$G7))</f>
        <v/>
      </c>
      <c r="J7" s="22"/>
    </row>
    <row r="8" customFormat="false" ht="19.5" hidden="false" customHeight="true" outlineLevel="0" collapsed="false">
      <c r="B8" s="19"/>
      <c r="C8" s="21"/>
      <c r="D8" s="21"/>
      <c r="E8" s="21"/>
      <c r="F8" s="22"/>
      <c r="G8" s="29"/>
      <c r="H8" s="21"/>
      <c r="I8" s="30" t="str">
        <f aca="false">IF(OR($G8="",$H8="",NOT(ISNUMBER($G8))),"",IF($H8="Maund",ROUND($G8/37.32,2),$G8))</f>
        <v/>
      </c>
      <c r="J8" s="22"/>
    </row>
    <row r="9" customFormat="false" ht="19.5" hidden="false" customHeight="true" outlineLevel="0" collapsed="false">
      <c r="B9" s="19"/>
      <c r="C9" s="21"/>
      <c r="D9" s="21"/>
      <c r="E9" s="21"/>
      <c r="F9" s="22"/>
      <c r="G9" s="29"/>
      <c r="H9" s="21"/>
      <c r="I9" s="30" t="str">
        <f aca="false">IF(OR($G9="",$H9="",NOT(ISNUMBER($G9))),"",IF($H9="Maund",ROUND($G9/37.32,2),$G9))</f>
        <v/>
      </c>
      <c r="J9" s="22"/>
    </row>
    <row r="10" customFormat="false" ht="19.5" hidden="false" customHeight="true" outlineLevel="0" collapsed="false">
      <c r="B10" s="19"/>
      <c r="C10" s="21"/>
      <c r="D10" s="21"/>
      <c r="E10" s="21"/>
      <c r="F10" s="22"/>
      <c r="G10" s="29"/>
      <c r="H10" s="21"/>
      <c r="I10" s="30" t="str">
        <f aca="false">IF(OR($G10="",$H10="",NOT(ISNUMBER($G10))),"",IF($H10="Maund",ROUND($G10/37.32,2),$G10))</f>
        <v/>
      </c>
      <c r="J10" s="22"/>
    </row>
    <row r="11" customFormat="false" ht="19.5" hidden="false" customHeight="true" outlineLevel="0" collapsed="false">
      <c r="B11" s="19"/>
      <c r="C11" s="21"/>
      <c r="D11" s="21"/>
      <c r="E11" s="21"/>
      <c r="F11" s="22"/>
      <c r="G11" s="29"/>
      <c r="H11" s="21"/>
      <c r="I11" s="30" t="str">
        <f aca="false">IF(OR($G11="",$H11="",NOT(ISNUMBER($G11))),"",IF($H11="Maund",ROUND($G11/37.32,2),$G11))</f>
        <v/>
      </c>
      <c r="J11" s="22"/>
    </row>
    <row r="12" customFormat="false" ht="19.5" hidden="false" customHeight="true" outlineLevel="0" collapsed="false">
      <c r="B12" s="19"/>
      <c r="C12" s="21"/>
      <c r="D12" s="21"/>
      <c r="E12" s="21"/>
      <c r="F12" s="22"/>
      <c r="G12" s="29"/>
      <c r="H12" s="21"/>
      <c r="I12" s="30" t="str">
        <f aca="false">IF(OR($G12="",$H12="",NOT(ISNUMBER($G12))),"",IF($H12="Maund",ROUND($G12/37.32,2),$G12))</f>
        <v/>
      </c>
      <c r="J12" s="22"/>
    </row>
    <row r="13" customFormat="false" ht="19.5" hidden="false" customHeight="true" outlineLevel="0" collapsed="false">
      <c r="B13" s="19"/>
      <c r="C13" s="21"/>
      <c r="D13" s="21"/>
      <c r="E13" s="21"/>
      <c r="F13" s="22"/>
      <c r="G13" s="29"/>
      <c r="H13" s="21"/>
      <c r="I13" s="30" t="str">
        <f aca="false">IF(OR($G13="",$H13="",NOT(ISNUMBER($G13))),"",IF($H13="Maund",ROUND($G13/37.32,2),$G13))</f>
        <v/>
      </c>
      <c r="J13" s="22"/>
    </row>
    <row r="14" customFormat="false" ht="19.5" hidden="false" customHeight="true" outlineLevel="0" collapsed="false">
      <c r="B14" s="19"/>
      <c r="C14" s="21"/>
      <c r="D14" s="21"/>
      <c r="E14" s="21"/>
      <c r="F14" s="22"/>
      <c r="G14" s="29"/>
      <c r="H14" s="21"/>
      <c r="I14" s="30" t="str">
        <f aca="false">IF(OR($G14="",$H14="",NOT(ISNUMBER($G14))),"",IF($H14="Maund",ROUND($G14/37.32,2),$G14))</f>
        <v/>
      </c>
      <c r="J14" s="22"/>
    </row>
    <row r="15" customFormat="false" ht="19.5" hidden="false" customHeight="true" outlineLevel="0" collapsed="false">
      <c r="B15" s="19"/>
      <c r="C15" s="21"/>
      <c r="D15" s="21"/>
      <c r="E15" s="21"/>
      <c r="F15" s="22"/>
      <c r="G15" s="29"/>
      <c r="H15" s="21"/>
      <c r="I15" s="30" t="str">
        <f aca="false">IF(OR($G15="",$H15="",NOT(ISNUMBER($G15))),"",IF($H15="Maund",ROUND($G15/37.32,2),$G15))</f>
        <v/>
      </c>
      <c r="J15" s="22"/>
    </row>
    <row r="16" customFormat="false" ht="19.5" hidden="false" customHeight="true" outlineLevel="0" collapsed="false">
      <c r="B16" s="19"/>
      <c r="C16" s="21"/>
      <c r="D16" s="21"/>
      <c r="E16" s="21"/>
      <c r="F16" s="22"/>
      <c r="G16" s="29"/>
      <c r="H16" s="21"/>
      <c r="I16" s="30" t="str">
        <f aca="false">IF(OR($G16="",$H16="",NOT(ISNUMBER($G16))),"",IF($H16="Maund",ROUND($G16/37.32,2),$G16))</f>
        <v/>
      </c>
      <c r="J16" s="22"/>
    </row>
    <row r="17" customFormat="false" ht="19.5" hidden="false" customHeight="true" outlineLevel="0" collapsed="false">
      <c r="B17" s="19"/>
      <c r="C17" s="21"/>
      <c r="D17" s="21"/>
      <c r="E17" s="21"/>
      <c r="F17" s="22"/>
      <c r="G17" s="29"/>
      <c r="H17" s="21"/>
      <c r="I17" s="30" t="str">
        <f aca="false">IF(OR($G17="",$H17="",NOT(ISNUMBER($G17))),"",IF($H17="Maund",ROUND($G17/37.32,2),$G17))</f>
        <v/>
      </c>
      <c r="J17" s="22"/>
    </row>
    <row r="18" customFormat="false" ht="19.5" hidden="false" customHeight="true" outlineLevel="0" collapsed="false">
      <c r="B18" s="19"/>
      <c r="C18" s="21"/>
      <c r="D18" s="21"/>
      <c r="E18" s="21"/>
      <c r="F18" s="22"/>
      <c r="G18" s="29"/>
      <c r="H18" s="21"/>
      <c r="I18" s="30" t="str">
        <f aca="false">IF(OR($G18="",$H18="",NOT(ISNUMBER($G18))),"",IF($H18="Maund",ROUND($G18/37.32,2),$G18))</f>
        <v/>
      </c>
      <c r="J18" s="22"/>
    </row>
    <row r="19" customFormat="false" ht="19.5" hidden="false" customHeight="true" outlineLevel="0" collapsed="false">
      <c r="B19" s="19"/>
      <c r="C19" s="21"/>
      <c r="D19" s="21"/>
      <c r="E19" s="21"/>
      <c r="F19" s="22"/>
      <c r="G19" s="29"/>
      <c r="H19" s="21"/>
      <c r="I19" s="30" t="str">
        <f aca="false">IF(OR($G19="",$H19="",NOT(ISNUMBER($G19))),"",IF($H19="Maund",ROUND($G19/37.32,2),$G19))</f>
        <v/>
      </c>
      <c r="J19" s="22"/>
    </row>
    <row r="20" customFormat="false" ht="19.5" hidden="false" customHeight="true" outlineLevel="0" collapsed="false">
      <c r="B20" s="19"/>
      <c r="C20" s="21"/>
      <c r="D20" s="21"/>
      <c r="E20" s="21"/>
      <c r="F20" s="22"/>
      <c r="G20" s="29"/>
      <c r="H20" s="21"/>
      <c r="I20" s="30" t="str">
        <f aca="false">IF(OR($G20="",$H20="",NOT(ISNUMBER($G20))),"",IF($H20="Maund",ROUND($G20/37.32,2),$G20))</f>
        <v/>
      </c>
      <c r="J20" s="22"/>
    </row>
    <row r="21" customFormat="false" ht="19.5" hidden="false" customHeight="true" outlineLevel="0" collapsed="false">
      <c r="B21" s="19"/>
      <c r="C21" s="21"/>
      <c r="D21" s="21"/>
      <c r="E21" s="21"/>
      <c r="F21" s="22"/>
      <c r="G21" s="29"/>
      <c r="H21" s="21"/>
      <c r="I21" s="30" t="str">
        <f aca="false">IF(OR($G21="",$H21="",NOT(ISNUMBER($G21))),"",IF($H21="Maund",ROUND($G21/37.32,2),$G21))</f>
        <v/>
      </c>
      <c r="J21" s="22"/>
    </row>
    <row r="22" customFormat="false" ht="19.5" hidden="false" customHeight="true" outlineLevel="0" collapsed="false">
      <c r="B22" s="19"/>
      <c r="C22" s="21"/>
      <c r="D22" s="21"/>
      <c r="E22" s="21"/>
      <c r="F22" s="22"/>
      <c r="G22" s="29"/>
      <c r="H22" s="21"/>
      <c r="I22" s="30" t="str">
        <f aca="false">IF(OR($G22="",$H22="",NOT(ISNUMBER($G22))),"",IF($H22="Maund",ROUND($G22/37.32,2),$G22))</f>
        <v/>
      </c>
      <c r="J22" s="22"/>
    </row>
    <row r="23" customFormat="false" ht="19.5" hidden="false" customHeight="true" outlineLevel="0" collapsed="false">
      <c r="B23" s="19"/>
      <c r="C23" s="21"/>
      <c r="D23" s="21"/>
      <c r="E23" s="21"/>
      <c r="F23" s="22"/>
      <c r="G23" s="29"/>
      <c r="H23" s="21"/>
      <c r="I23" s="30" t="str">
        <f aca="false">IF(OR($G23="",$H23="",NOT(ISNUMBER($G23))),"",IF($H23="Maund",ROUND($G23/37.32,2),$G23))</f>
        <v/>
      </c>
      <c r="J23" s="22"/>
    </row>
    <row r="24" customFormat="false" ht="19.5" hidden="false" customHeight="true" outlineLevel="0" collapsed="false">
      <c r="B24" s="19"/>
      <c r="C24" s="21"/>
      <c r="D24" s="21"/>
      <c r="E24" s="21"/>
      <c r="F24" s="22"/>
      <c r="G24" s="29"/>
      <c r="H24" s="21"/>
      <c r="I24" s="30" t="str">
        <f aca="false">IF(OR($G24="",$H24="",NOT(ISNUMBER($G24))),"",IF($H24="Maund",ROUND($G24/37.32,2),$G24))</f>
        <v/>
      </c>
      <c r="J24" s="22"/>
    </row>
    <row r="25" customFormat="false" ht="19.5" hidden="false" customHeight="true" outlineLevel="0" collapsed="false">
      <c r="B25" s="19"/>
      <c r="C25" s="21"/>
      <c r="D25" s="21"/>
      <c r="E25" s="21"/>
      <c r="F25" s="22"/>
      <c r="G25" s="29"/>
      <c r="H25" s="21"/>
      <c r="I25" s="30" t="str">
        <f aca="false">IF(OR($G25="",$H25="",NOT(ISNUMBER($G25))),"",IF($H25="Maund",ROUND($G25/37.32,2),$G25))</f>
        <v/>
      </c>
      <c r="J25" s="22"/>
    </row>
    <row r="26" customFormat="false" ht="19.5" hidden="false" customHeight="true" outlineLevel="0" collapsed="false">
      <c r="B26" s="19"/>
      <c r="C26" s="21"/>
      <c r="D26" s="21"/>
      <c r="E26" s="21"/>
      <c r="F26" s="22"/>
      <c r="G26" s="29"/>
      <c r="H26" s="21"/>
      <c r="I26" s="30" t="str">
        <f aca="false">IF(OR($G26="",$H26="",NOT(ISNUMBER($G26))),"",IF($H26="Maund",ROUND($G26/37.32,2),$G26))</f>
        <v/>
      </c>
      <c r="J26" s="22"/>
    </row>
    <row r="27" customFormat="false" ht="19.5" hidden="false" customHeight="true" outlineLevel="0" collapsed="false">
      <c r="B27" s="19"/>
      <c r="C27" s="21"/>
      <c r="D27" s="21"/>
      <c r="E27" s="21"/>
      <c r="F27" s="22"/>
      <c r="G27" s="29"/>
      <c r="H27" s="21"/>
      <c r="I27" s="30" t="str">
        <f aca="false">IF(OR($G27="",$H27="",NOT(ISNUMBER($G27))),"",IF($H27="Maund",ROUND($G27/37.32,2),$G27))</f>
        <v/>
      </c>
      <c r="J27" s="22"/>
    </row>
    <row r="28" customFormat="false" ht="19.5" hidden="false" customHeight="true" outlineLevel="0" collapsed="false">
      <c r="B28" s="19"/>
      <c r="C28" s="21"/>
      <c r="D28" s="21"/>
      <c r="E28" s="21"/>
      <c r="F28" s="22"/>
      <c r="G28" s="29"/>
      <c r="H28" s="21"/>
      <c r="I28" s="30" t="str">
        <f aca="false">IF(OR($G28="",$H28="",NOT(ISNUMBER($G28))),"",IF($H28="Maund",ROUND($G28/37.32,2),$G28))</f>
        <v/>
      </c>
      <c r="J28" s="22"/>
    </row>
    <row r="29" customFormat="false" ht="19.5" hidden="false" customHeight="true" outlineLevel="0" collapsed="false">
      <c r="B29" s="19"/>
      <c r="C29" s="21"/>
      <c r="D29" s="21"/>
      <c r="E29" s="21"/>
      <c r="F29" s="22"/>
      <c r="G29" s="29"/>
      <c r="H29" s="21"/>
      <c r="I29" s="30" t="str">
        <f aca="false">IF(OR($G29="",$H29="",NOT(ISNUMBER($G29))),"",IF($H29="Maund",ROUND($G29/37.32,2),$G29))</f>
        <v/>
      </c>
      <c r="J29" s="22"/>
    </row>
    <row r="30" customFormat="false" ht="19.5" hidden="false" customHeight="true" outlineLevel="0" collapsed="false">
      <c r="B30" s="19"/>
      <c r="C30" s="21"/>
      <c r="D30" s="21"/>
      <c r="E30" s="21"/>
      <c r="F30" s="22"/>
      <c r="G30" s="29"/>
      <c r="H30" s="21"/>
      <c r="I30" s="30" t="str">
        <f aca="false">IF(OR($G30="",$H30="",NOT(ISNUMBER($G30))),"",IF($H30="Maund",ROUND($G30/37.32,2),$G30))</f>
        <v/>
      </c>
      <c r="J30" s="22"/>
    </row>
    <row r="31" customFormat="false" ht="19.5" hidden="false" customHeight="true" outlineLevel="0" collapsed="false">
      <c r="B31" s="19"/>
      <c r="C31" s="21"/>
      <c r="D31" s="21"/>
      <c r="E31" s="21"/>
      <c r="F31" s="22"/>
      <c r="G31" s="29"/>
      <c r="H31" s="21"/>
      <c r="I31" s="30" t="str">
        <f aca="false">IF(OR($G31="",$H31="",NOT(ISNUMBER($G31))),"",IF($H31="Maund",ROUND($G31/37.32,2),$G31))</f>
        <v/>
      </c>
      <c r="J31" s="22"/>
    </row>
    <row r="32" customFormat="false" ht="19.5" hidden="false" customHeight="true" outlineLevel="0" collapsed="false">
      <c r="B32" s="19"/>
      <c r="C32" s="21"/>
      <c r="D32" s="21"/>
      <c r="E32" s="21"/>
      <c r="F32" s="22"/>
      <c r="G32" s="29"/>
      <c r="H32" s="21"/>
      <c r="I32" s="30" t="str">
        <f aca="false">IF(OR($G32="",$H32="",NOT(ISNUMBER($G32))),"",IF($H32="Maund",ROUND($G32/37.32,2),$G32))</f>
        <v/>
      </c>
      <c r="J32" s="22"/>
    </row>
    <row r="33" customFormat="false" ht="19.5" hidden="false" customHeight="true" outlineLevel="0" collapsed="false">
      <c r="B33" s="19"/>
      <c r="C33" s="21"/>
      <c r="D33" s="21"/>
      <c r="E33" s="21"/>
      <c r="F33" s="22"/>
      <c r="G33" s="29"/>
      <c r="H33" s="21"/>
      <c r="I33" s="30" t="str">
        <f aca="false">IF(OR($G33="",$H33="",NOT(ISNUMBER($G33))),"",IF($H33="Maund",ROUND($G33/37.32,2),$G33))</f>
        <v/>
      </c>
      <c r="J33" s="22"/>
    </row>
    <row r="34" customFormat="false" ht="19.5" hidden="false" customHeight="true" outlineLevel="0" collapsed="false">
      <c r="B34" s="19"/>
      <c r="C34" s="21"/>
      <c r="D34" s="21"/>
      <c r="E34" s="21"/>
      <c r="F34" s="22"/>
      <c r="G34" s="29"/>
      <c r="H34" s="21"/>
      <c r="I34" s="30" t="str">
        <f aca="false">IF(OR($G34="",$H34="",NOT(ISNUMBER($G34))),"",IF($H34="Maund",ROUND($G34/37.32,2),$G34))</f>
        <v/>
      </c>
      <c r="J34" s="22"/>
    </row>
    <row r="35" customFormat="false" ht="19.5" hidden="false" customHeight="true" outlineLevel="0" collapsed="false">
      <c r="B35" s="19"/>
      <c r="C35" s="21"/>
      <c r="D35" s="21"/>
      <c r="E35" s="21"/>
      <c r="F35" s="22"/>
      <c r="G35" s="29"/>
      <c r="H35" s="21"/>
      <c r="I35" s="30" t="str">
        <f aca="false">IF(OR($G35="",$H35="",NOT(ISNUMBER($G35))),"",IF($H35="Maund",ROUND($G35/37.32,2),$G35))</f>
        <v/>
      </c>
      <c r="J35" s="22"/>
    </row>
    <row r="36" customFormat="false" ht="19.5" hidden="false" customHeight="true" outlineLevel="0" collapsed="false">
      <c r="B36" s="19"/>
      <c r="C36" s="21"/>
      <c r="D36" s="21"/>
      <c r="E36" s="21"/>
      <c r="F36" s="22"/>
      <c r="G36" s="29"/>
      <c r="H36" s="21"/>
      <c r="I36" s="30" t="str">
        <f aca="false">IF(OR($G36="",$H36="",NOT(ISNUMBER($G36))),"",IF($H36="Maund",ROUND($G36/37.32,2),$G36))</f>
        <v/>
      </c>
      <c r="J36" s="22"/>
    </row>
    <row r="37" customFormat="false" ht="19.5" hidden="false" customHeight="true" outlineLevel="0" collapsed="false">
      <c r="B37" s="19"/>
      <c r="C37" s="21"/>
      <c r="D37" s="21"/>
      <c r="E37" s="21"/>
      <c r="F37" s="22"/>
      <c r="G37" s="29"/>
      <c r="H37" s="21"/>
      <c r="I37" s="30" t="str">
        <f aca="false">IF(OR($G37="",$H37="",NOT(ISNUMBER($G37))),"",IF($H37="Maund",ROUND($G37/37.32,2),$G37))</f>
        <v/>
      </c>
      <c r="J37" s="22"/>
    </row>
    <row r="38" customFormat="false" ht="19.5" hidden="false" customHeight="true" outlineLevel="0" collapsed="false">
      <c r="B38" s="19"/>
      <c r="C38" s="21"/>
      <c r="D38" s="21"/>
      <c r="E38" s="21"/>
      <c r="F38" s="22"/>
      <c r="G38" s="29"/>
      <c r="H38" s="21"/>
      <c r="I38" s="30" t="str">
        <f aca="false">IF(OR($G38="",$H38="",NOT(ISNUMBER($G38))),"",IF($H38="Maund",ROUND($G38/37.32,2),$G38))</f>
        <v/>
      </c>
      <c r="J38" s="22"/>
    </row>
    <row r="39" customFormat="false" ht="19.5" hidden="false" customHeight="true" outlineLevel="0" collapsed="false">
      <c r="B39" s="19"/>
      <c r="C39" s="21"/>
      <c r="D39" s="21"/>
      <c r="E39" s="21"/>
      <c r="F39" s="22"/>
      <c r="G39" s="29"/>
      <c r="H39" s="21"/>
      <c r="I39" s="30" t="str">
        <f aca="false">IF(OR($G39="",$H39="",NOT(ISNUMBER($G39))),"",IF($H39="Maund",ROUND($G39/37.32,2),$G39))</f>
        <v/>
      </c>
      <c r="J39" s="22"/>
    </row>
    <row r="40" customFormat="false" ht="19.5" hidden="false" customHeight="true" outlineLevel="0" collapsed="false">
      <c r="B40" s="19"/>
      <c r="C40" s="21"/>
      <c r="D40" s="21"/>
      <c r="E40" s="21"/>
      <c r="F40" s="22"/>
      <c r="G40" s="29"/>
      <c r="H40" s="21"/>
      <c r="I40" s="30" t="str">
        <f aca="false">IF(OR($G40="",$H40="",NOT(ISNUMBER($G40))),"",IF($H40="Maund",ROUND($G40/37.32,2),$G40))</f>
        <v/>
      </c>
      <c r="J40" s="22"/>
    </row>
    <row r="41" customFormat="false" ht="19.5" hidden="false" customHeight="true" outlineLevel="0" collapsed="false">
      <c r="B41" s="19"/>
      <c r="C41" s="21"/>
      <c r="D41" s="21"/>
      <c r="E41" s="21"/>
      <c r="F41" s="22"/>
      <c r="G41" s="29"/>
      <c r="H41" s="21"/>
      <c r="I41" s="30" t="str">
        <f aca="false">IF(OR($G41="",$H41="",NOT(ISNUMBER($G41))),"",IF($H41="Maund",ROUND($G41/37.32,2),$G41))</f>
        <v/>
      </c>
      <c r="J41" s="22"/>
    </row>
    <row r="42" customFormat="false" ht="19.5" hidden="false" customHeight="true" outlineLevel="0" collapsed="false">
      <c r="B42" s="19"/>
      <c r="C42" s="21"/>
      <c r="D42" s="21"/>
      <c r="E42" s="21"/>
      <c r="F42" s="22"/>
      <c r="G42" s="29"/>
      <c r="H42" s="21"/>
      <c r="I42" s="30" t="str">
        <f aca="false">IF(OR($G42="",$H42="",NOT(ISNUMBER($G42))),"",IF($H42="Maund",ROUND($G42/37.32,2),$G42))</f>
        <v/>
      </c>
      <c r="J42" s="22"/>
    </row>
    <row r="43" customFormat="false" ht="19.5" hidden="false" customHeight="true" outlineLevel="0" collapsed="false">
      <c r="B43" s="19"/>
      <c r="C43" s="21"/>
      <c r="D43" s="21"/>
      <c r="E43" s="21"/>
      <c r="F43" s="22"/>
      <c r="G43" s="29"/>
      <c r="H43" s="21"/>
      <c r="I43" s="30" t="str">
        <f aca="false">IF(OR($G43="",$H43="",NOT(ISNUMBER($G43))),"",IF($H43="Maund",ROUND($G43/37.32,2),$G43))</f>
        <v/>
      </c>
      <c r="J43" s="22"/>
    </row>
    <row r="44" customFormat="false" ht="19.5" hidden="false" customHeight="true" outlineLevel="0" collapsed="false">
      <c r="B44" s="19"/>
      <c r="C44" s="21"/>
      <c r="D44" s="21"/>
      <c r="E44" s="21"/>
      <c r="F44" s="22"/>
      <c r="G44" s="29"/>
      <c r="H44" s="21"/>
      <c r="I44" s="30" t="str">
        <f aca="false">IF(OR($G44="",$H44="",NOT(ISNUMBER($G44))),"",IF($H44="Maund",ROUND($G44/37.32,2),$G44))</f>
        <v/>
      </c>
      <c r="J44" s="22"/>
    </row>
    <row r="45" customFormat="false" ht="19.5" hidden="false" customHeight="true" outlineLevel="0" collapsed="false">
      <c r="B45" s="19"/>
      <c r="C45" s="21"/>
      <c r="D45" s="21"/>
      <c r="E45" s="21"/>
      <c r="F45" s="22"/>
      <c r="G45" s="29"/>
      <c r="H45" s="21"/>
      <c r="I45" s="30" t="str">
        <f aca="false">IF(OR($G45="",$H45="",NOT(ISNUMBER($G45))),"",IF($H45="Maund",ROUND($G45/37.32,2),$G45))</f>
        <v/>
      </c>
      <c r="J45" s="22"/>
    </row>
    <row r="46" customFormat="false" ht="19.5" hidden="false" customHeight="true" outlineLevel="0" collapsed="false">
      <c r="B46" s="19"/>
      <c r="C46" s="21"/>
      <c r="D46" s="21"/>
      <c r="E46" s="21"/>
      <c r="F46" s="22"/>
      <c r="G46" s="29"/>
      <c r="H46" s="21"/>
      <c r="I46" s="30" t="str">
        <f aca="false">IF(OR($G46="",$H46="",NOT(ISNUMBER($G46))),"",IF($H46="Maund",ROUND($G46/37.32,2),$G46))</f>
        <v/>
      </c>
      <c r="J46" s="22"/>
    </row>
    <row r="47" customFormat="false" ht="19.5" hidden="false" customHeight="true" outlineLevel="0" collapsed="false">
      <c r="B47" s="19"/>
      <c r="C47" s="21"/>
      <c r="D47" s="21"/>
      <c r="E47" s="21"/>
      <c r="F47" s="22"/>
      <c r="G47" s="29"/>
      <c r="H47" s="21"/>
      <c r="I47" s="30" t="str">
        <f aca="false">IF(OR($G47="",$H47="",NOT(ISNUMBER($G47))),"",IF($H47="Maund",ROUND($G47/37.32,2),$G47))</f>
        <v/>
      </c>
      <c r="J47" s="22"/>
    </row>
    <row r="48" customFormat="false" ht="19.5" hidden="false" customHeight="true" outlineLevel="0" collapsed="false">
      <c r="B48" s="19"/>
      <c r="C48" s="21"/>
      <c r="D48" s="21"/>
      <c r="E48" s="21"/>
      <c r="F48" s="22"/>
      <c r="G48" s="29"/>
      <c r="H48" s="21"/>
      <c r="I48" s="30" t="str">
        <f aca="false">IF(OR($G48="",$H48="",NOT(ISNUMBER($G48))),"",IF($H48="Maund",ROUND($G48/37.32,2),$G48))</f>
        <v/>
      </c>
      <c r="J48" s="22"/>
    </row>
    <row r="49" customFormat="false" ht="19.5" hidden="false" customHeight="true" outlineLevel="0" collapsed="false">
      <c r="B49" s="19"/>
      <c r="C49" s="21"/>
      <c r="D49" s="21"/>
      <c r="E49" s="21"/>
      <c r="F49" s="22"/>
      <c r="G49" s="29"/>
      <c r="H49" s="21"/>
      <c r="I49" s="30" t="str">
        <f aca="false">IF(OR($G49="",$H49="",NOT(ISNUMBER($G49))),"",IF($H49="Maund",ROUND($G49/37.32,2),$G49))</f>
        <v/>
      </c>
      <c r="J49" s="22"/>
    </row>
    <row r="50" customFormat="false" ht="19.5" hidden="false" customHeight="true" outlineLevel="0" collapsed="false">
      <c r="B50" s="19"/>
      <c r="C50" s="21"/>
      <c r="D50" s="21"/>
      <c r="E50" s="21"/>
      <c r="F50" s="22"/>
      <c r="G50" s="29"/>
      <c r="H50" s="21"/>
      <c r="I50" s="30" t="str">
        <f aca="false">IF(OR($G50="",$H50="",NOT(ISNUMBER($G50))),"",IF($H50="Maund",ROUND($G50/37.32,2),$G50))</f>
        <v/>
      </c>
      <c r="J50" s="22"/>
    </row>
    <row r="51" customFormat="false" ht="19.5" hidden="false" customHeight="true" outlineLevel="0" collapsed="false">
      <c r="B51" s="19"/>
      <c r="C51" s="21"/>
      <c r="D51" s="21"/>
      <c r="E51" s="21"/>
      <c r="F51" s="22"/>
      <c r="G51" s="29"/>
      <c r="H51" s="21"/>
      <c r="I51" s="30" t="str">
        <f aca="false">IF(OR($G51="",$H51="",NOT(ISNUMBER($G51))),"",IF($H51="Maund",ROUND($G51/37.32,2),$G51))</f>
        <v/>
      </c>
      <c r="J51" s="22"/>
    </row>
    <row r="52" customFormat="false" ht="19.5" hidden="false" customHeight="true" outlineLevel="0" collapsed="false">
      <c r="B52" s="19"/>
      <c r="C52" s="21"/>
      <c r="D52" s="21"/>
      <c r="E52" s="21"/>
      <c r="F52" s="22"/>
      <c r="G52" s="29"/>
      <c r="H52" s="21"/>
      <c r="I52" s="30" t="str">
        <f aca="false">IF(OR($G52="",$H52="",NOT(ISNUMBER($G52))),"",IF($H52="Maund",ROUND($G52/37.32,2),$G52))</f>
        <v/>
      </c>
      <c r="J52" s="22"/>
    </row>
    <row r="53" customFormat="false" ht="19.5" hidden="false" customHeight="true" outlineLevel="0" collapsed="false">
      <c r="B53" s="19"/>
      <c r="C53" s="21"/>
      <c r="D53" s="21"/>
      <c r="E53" s="21"/>
      <c r="F53" s="22"/>
      <c r="G53" s="29"/>
      <c r="H53" s="21"/>
      <c r="I53" s="30" t="str">
        <f aca="false">IF(OR($G53="",$H53="",NOT(ISNUMBER($G53))),"",IF($H53="Maund",ROUND($G53/37.32,2),$G53))</f>
        <v/>
      </c>
      <c r="J53" s="22"/>
    </row>
    <row r="54" customFormat="false" ht="19.5" hidden="false" customHeight="true" outlineLevel="0" collapsed="false">
      <c r="B54" s="19"/>
      <c r="C54" s="21"/>
      <c r="D54" s="21"/>
      <c r="E54" s="21"/>
      <c r="F54" s="22"/>
      <c r="G54" s="29"/>
      <c r="H54" s="21"/>
      <c r="I54" s="30" t="str">
        <f aca="false">IF(OR($G54="",$H54="",NOT(ISNUMBER($G54))),"",IF($H54="Maund",ROUND($G54/37.32,2),$G54))</f>
        <v/>
      </c>
      <c r="J54" s="22"/>
    </row>
    <row r="55" customFormat="false" ht="19.5" hidden="false" customHeight="true" outlineLevel="0" collapsed="false">
      <c r="B55" s="19"/>
      <c r="C55" s="21"/>
      <c r="D55" s="21"/>
      <c r="E55" s="21"/>
      <c r="F55" s="22"/>
      <c r="G55" s="29"/>
      <c r="H55" s="21"/>
      <c r="I55" s="30" t="str">
        <f aca="false">IF(OR($G55="",$H55="",NOT(ISNUMBER($G55))),"",IF($H55="Maund",ROUND($G55/37.32,2),$G55))</f>
        <v/>
      </c>
      <c r="J55" s="22"/>
    </row>
    <row r="56" customFormat="false" ht="19.5" hidden="false" customHeight="true" outlineLevel="0" collapsed="false">
      <c r="B56" s="19"/>
      <c r="C56" s="21"/>
      <c r="D56" s="21"/>
      <c r="E56" s="21"/>
      <c r="F56" s="22"/>
      <c r="G56" s="29"/>
      <c r="H56" s="21"/>
      <c r="I56" s="30" t="str">
        <f aca="false">IF(OR($G56="",$H56="",NOT(ISNUMBER($G56))),"",IF($H56="Maund",ROUND($G56/37.32,2),$G56))</f>
        <v/>
      </c>
      <c r="J56" s="22"/>
    </row>
    <row r="57" customFormat="false" ht="19.5" hidden="false" customHeight="true" outlineLevel="0" collapsed="false">
      <c r="B57" s="19"/>
      <c r="C57" s="21"/>
      <c r="D57" s="21"/>
      <c r="E57" s="21"/>
      <c r="F57" s="22"/>
      <c r="G57" s="29"/>
      <c r="H57" s="21"/>
      <c r="I57" s="30" t="str">
        <f aca="false">IF(OR($G57="",$H57="",NOT(ISNUMBER($G57))),"",IF($H57="Maund",ROUND($G57/37.32,2),$G57))</f>
        <v/>
      </c>
      <c r="J57" s="22"/>
    </row>
    <row r="58" customFormat="false" ht="19.5" hidden="false" customHeight="true" outlineLevel="0" collapsed="false">
      <c r="B58" s="19"/>
      <c r="C58" s="21"/>
      <c r="D58" s="21"/>
      <c r="E58" s="21"/>
      <c r="F58" s="22"/>
      <c r="G58" s="29"/>
      <c r="H58" s="21"/>
      <c r="I58" s="30" t="str">
        <f aca="false">IF(OR($G58="",$H58="",NOT(ISNUMBER($G58))),"",IF($H58="Maund",ROUND($G58/37.32,2),$G58))</f>
        <v/>
      </c>
      <c r="J58" s="22"/>
    </row>
    <row r="59" customFormat="false" ht="19.5" hidden="false" customHeight="true" outlineLevel="0" collapsed="false">
      <c r="B59" s="19"/>
      <c r="C59" s="21"/>
      <c r="D59" s="21"/>
      <c r="E59" s="21"/>
      <c r="F59" s="22"/>
      <c r="G59" s="29"/>
      <c r="H59" s="21"/>
      <c r="I59" s="30" t="str">
        <f aca="false">IF(OR($G59="",$H59="",NOT(ISNUMBER($G59))),"",IF($H59="Maund",ROUND($G59/37.32,2),$G59))</f>
        <v/>
      </c>
      <c r="J59" s="22"/>
    </row>
    <row r="60" customFormat="false" ht="19.5" hidden="false" customHeight="true" outlineLevel="0" collapsed="false">
      <c r="B60" s="19"/>
      <c r="C60" s="21"/>
      <c r="D60" s="21"/>
      <c r="E60" s="21"/>
      <c r="F60" s="22"/>
      <c r="G60" s="29"/>
      <c r="H60" s="21"/>
      <c r="I60" s="30" t="str">
        <f aca="false">IF(OR($G60="",$H60="",NOT(ISNUMBER($G60))),"",IF($H60="Maund",ROUND($G60/37.32,2),$G60))</f>
        <v/>
      </c>
      <c r="J60" s="22"/>
    </row>
    <row r="61" customFormat="false" ht="19.5" hidden="false" customHeight="true" outlineLevel="0" collapsed="false">
      <c r="B61" s="19"/>
      <c r="C61" s="21"/>
      <c r="D61" s="21"/>
      <c r="E61" s="21"/>
      <c r="F61" s="22"/>
      <c r="G61" s="29"/>
      <c r="H61" s="21"/>
      <c r="I61" s="30" t="str">
        <f aca="false">IF(OR($G61="",$H61="",NOT(ISNUMBER($G61))),"",IF($H61="Maund",ROUND($G61/37.32,2),$G61))</f>
        <v/>
      </c>
      <c r="J61" s="22"/>
    </row>
    <row r="62" customFormat="false" ht="19.5" hidden="false" customHeight="true" outlineLevel="0" collapsed="false">
      <c r="B62" s="19"/>
      <c r="C62" s="21"/>
      <c r="D62" s="21"/>
      <c r="E62" s="21"/>
      <c r="F62" s="22"/>
      <c r="G62" s="29"/>
      <c r="H62" s="21"/>
      <c r="I62" s="30" t="str">
        <f aca="false">IF(OR($G62="",$H62="",NOT(ISNUMBER($G62))),"",IF($H62="Maund",ROUND($G62/37.32,2),$G62))</f>
        <v/>
      </c>
      <c r="J62" s="22"/>
    </row>
    <row r="63" customFormat="false" ht="19.5" hidden="false" customHeight="true" outlineLevel="0" collapsed="false">
      <c r="B63" s="19"/>
      <c r="C63" s="21"/>
      <c r="D63" s="21"/>
      <c r="E63" s="21"/>
      <c r="F63" s="22"/>
      <c r="G63" s="29"/>
      <c r="H63" s="21"/>
      <c r="I63" s="30" t="str">
        <f aca="false">IF(OR($G63="",$H63="",NOT(ISNUMBER($G63))),"",IF($H63="Maund",ROUND($G63/37.32,2),$G63))</f>
        <v/>
      </c>
      <c r="J63" s="22"/>
    </row>
    <row r="64" customFormat="false" ht="19.5" hidden="false" customHeight="true" outlineLevel="0" collapsed="false">
      <c r="B64" s="19"/>
      <c r="C64" s="21"/>
      <c r="D64" s="21"/>
      <c r="E64" s="21"/>
      <c r="F64" s="22"/>
      <c r="G64" s="29"/>
      <c r="H64" s="21"/>
      <c r="I64" s="30" t="str">
        <f aca="false">IF(OR($G64="",$H64="",NOT(ISNUMBER($G64))),"",IF($H64="Maund",ROUND($G64/37.32,2),$G64))</f>
        <v/>
      </c>
      <c r="J64" s="22"/>
    </row>
    <row r="65" customFormat="false" ht="19.5" hidden="false" customHeight="true" outlineLevel="0" collapsed="false">
      <c r="B65" s="19"/>
      <c r="C65" s="21"/>
      <c r="D65" s="21"/>
      <c r="E65" s="21"/>
      <c r="F65" s="22"/>
      <c r="G65" s="29"/>
      <c r="H65" s="21"/>
      <c r="I65" s="30" t="str">
        <f aca="false">IF(OR($G65="",$H65="",NOT(ISNUMBER($G65))),"",IF($H65="Maund",ROUND($G65/37.32,2),$G65))</f>
        <v/>
      </c>
      <c r="J65" s="22"/>
    </row>
    <row r="66" customFormat="false" ht="19.5" hidden="false" customHeight="true" outlineLevel="0" collapsed="false">
      <c r="B66" s="19"/>
      <c r="C66" s="21"/>
      <c r="D66" s="21"/>
      <c r="E66" s="21"/>
      <c r="F66" s="22"/>
      <c r="G66" s="29"/>
      <c r="H66" s="21"/>
      <c r="I66" s="30" t="str">
        <f aca="false">IF(OR($G66="",$H66="",NOT(ISNUMBER($G66))),"",IF($H66="Maund",ROUND($G66/37.32,2),$G66))</f>
        <v/>
      </c>
      <c r="J66" s="22"/>
    </row>
    <row r="67" customFormat="false" ht="19.5" hidden="false" customHeight="true" outlineLevel="0" collapsed="false">
      <c r="B67" s="19"/>
      <c r="C67" s="21"/>
      <c r="D67" s="21"/>
      <c r="E67" s="21"/>
      <c r="F67" s="22"/>
      <c r="G67" s="29"/>
      <c r="H67" s="21"/>
      <c r="I67" s="30" t="str">
        <f aca="false">IF(OR($G67="",$H67="",NOT(ISNUMBER($G67))),"",IF($H67="Maund",ROUND($G67/37.32,2),$G67))</f>
        <v/>
      </c>
      <c r="J67" s="22"/>
    </row>
    <row r="68" customFormat="false" ht="19.5" hidden="false" customHeight="true" outlineLevel="0" collapsed="false">
      <c r="B68" s="19"/>
      <c r="C68" s="21"/>
      <c r="D68" s="21"/>
      <c r="E68" s="21"/>
      <c r="F68" s="22"/>
      <c r="G68" s="29"/>
      <c r="H68" s="21"/>
      <c r="I68" s="30" t="str">
        <f aca="false">IF(OR($G68="",$H68="",NOT(ISNUMBER($G68))),"",IF($H68="Maund",ROUND($G68/37.32,2),$G68))</f>
        <v/>
      </c>
      <c r="J68" s="22"/>
    </row>
    <row r="69" customFormat="false" ht="19.5" hidden="false" customHeight="true" outlineLevel="0" collapsed="false">
      <c r="B69" s="19"/>
      <c r="C69" s="21"/>
      <c r="D69" s="21"/>
      <c r="E69" s="21"/>
      <c r="F69" s="22"/>
      <c r="G69" s="29"/>
      <c r="H69" s="21"/>
      <c r="I69" s="30" t="str">
        <f aca="false">IF(OR($G69="",$H69="",NOT(ISNUMBER($G69))),"",IF($H69="Maund",ROUND($G69/37.32,2),$G69))</f>
        <v/>
      </c>
      <c r="J69" s="22"/>
    </row>
    <row r="70" customFormat="false" ht="19.5" hidden="false" customHeight="true" outlineLevel="0" collapsed="false">
      <c r="B70" s="19"/>
      <c r="C70" s="21"/>
      <c r="D70" s="21"/>
      <c r="E70" s="21"/>
      <c r="F70" s="22"/>
      <c r="G70" s="29"/>
      <c r="H70" s="21"/>
      <c r="I70" s="30" t="str">
        <f aca="false">IF(OR($G70="",$H70="",NOT(ISNUMBER($G70))),"",IF($H70="Maund",ROUND($G70/37.32,2),$G70))</f>
        <v/>
      </c>
      <c r="J70" s="22"/>
    </row>
    <row r="71" customFormat="false" ht="19.5" hidden="false" customHeight="true" outlineLevel="0" collapsed="false">
      <c r="B71" s="19"/>
      <c r="C71" s="21"/>
      <c r="D71" s="21"/>
      <c r="E71" s="21"/>
      <c r="F71" s="22"/>
      <c r="G71" s="29"/>
      <c r="H71" s="21"/>
      <c r="I71" s="30" t="str">
        <f aca="false">IF(OR($G71="",$H71="",NOT(ISNUMBER($G71))),"",IF($H71="Maund",ROUND($G71/37.32,2),$G71))</f>
        <v/>
      </c>
      <c r="J71" s="22"/>
    </row>
    <row r="72" customFormat="false" ht="19.5" hidden="false" customHeight="true" outlineLevel="0" collapsed="false">
      <c r="B72" s="19"/>
      <c r="C72" s="21"/>
      <c r="D72" s="21"/>
      <c r="E72" s="21"/>
      <c r="F72" s="22"/>
      <c r="G72" s="29"/>
      <c r="H72" s="21"/>
      <c r="I72" s="30" t="str">
        <f aca="false">IF(OR($G72="",$H72="",NOT(ISNUMBER($G72))),"",IF($H72="Maund",ROUND($G72/37.32,2),$G72))</f>
        <v/>
      </c>
      <c r="J72" s="22"/>
    </row>
    <row r="73" customFormat="false" ht="19.5" hidden="false" customHeight="true" outlineLevel="0" collapsed="false">
      <c r="B73" s="19"/>
      <c r="C73" s="21"/>
      <c r="D73" s="21"/>
      <c r="E73" s="21"/>
      <c r="F73" s="22"/>
      <c r="G73" s="29"/>
      <c r="H73" s="21"/>
      <c r="I73" s="30" t="str">
        <f aca="false">IF(OR($G73="",$H73="",NOT(ISNUMBER($G73))),"",IF($H73="Maund",ROUND($G73/37.32,2),$G73))</f>
        <v/>
      </c>
      <c r="J73" s="22"/>
    </row>
    <row r="74" customFormat="false" ht="19.5" hidden="false" customHeight="true" outlineLevel="0" collapsed="false">
      <c r="B74" s="19"/>
      <c r="C74" s="21"/>
      <c r="D74" s="21"/>
      <c r="E74" s="21"/>
      <c r="F74" s="22"/>
      <c r="G74" s="29"/>
      <c r="H74" s="21"/>
      <c r="I74" s="30" t="str">
        <f aca="false">IF(OR($G74="",$H74="",NOT(ISNUMBER($G74))),"",IF($H74="Maund",ROUND($G74/37.32,2),$G74))</f>
        <v/>
      </c>
      <c r="J74" s="22"/>
    </row>
    <row r="75" customFormat="false" ht="19.5" hidden="false" customHeight="true" outlineLevel="0" collapsed="false">
      <c r="B75" s="19"/>
      <c r="C75" s="21"/>
      <c r="D75" s="21"/>
      <c r="E75" s="21"/>
      <c r="F75" s="22"/>
      <c r="G75" s="29"/>
      <c r="H75" s="21"/>
      <c r="I75" s="30" t="str">
        <f aca="false">IF(OR($G75="",$H75="",NOT(ISNUMBER($G75))),"",IF($H75="Maund",ROUND($G75/37.32,2),$G75))</f>
        <v/>
      </c>
      <c r="J75" s="22"/>
    </row>
    <row r="76" customFormat="false" ht="19.5" hidden="false" customHeight="true" outlineLevel="0" collapsed="false">
      <c r="B76" s="19"/>
      <c r="C76" s="21"/>
      <c r="D76" s="21"/>
      <c r="E76" s="21"/>
      <c r="F76" s="22"/>
      <c r="G76" s="29"/>
      <c r="H76" s="21"/>
      <c r="I76" s="30" t="str">
        <f aca="false">IF(OR($G76="",$H76="",NOT(ISNUMBER($G76))),"",IF($H76="Maund",ROUND($G76/37.32,2),$G76))</f>
        <v/>
      </c>
      <c r="J76" s="22"/>
    </row>
    <row r="77" customFormat="false" ht="19.5" hidden="false" customHeight="true" outlineLevel="0" collapsed="false">
      <c r="B77" s="19"/>
      <c r="C77" s="21"/>
      <c r="D77" s="21"/>
      <c r="E77" s="21"/>
      <c r="F77" s="22"/>
      <c r="G77" s="29"/>
      <c r="H77" s="21"/>
      <c r="I77" s="30" t="str">
        <f aca="false">IF(OR($G77="",$H77="",NOT(ISNUMBER($G77))),"",IF($H77="Maund",ROUND($G77/37.32,2),$G77))</f>
        <v/>
      </c>
      <c r="J77" s="22"/>
    </row>
    <row r="78" customFormat="false" ht="19.5" hidden="false" customHeight="true" outlineLevel="0" collapsed="false">
      <c r="B78" s="19"/>
      <c r="C78" s="21"/>
      <c r="D78" s="21"/>
      <c r="E78" s="21"/>
      <c r="F78" s="22"/>
      <c r="G78" s="29"/>
      <c r="H78" s="21"/>
      <c r="I78" s="30" t="str">
        <f aca="false">IF(OR($G78="",$H78="",NOT(ISNUMBER($G78))),"",IF($H78="Maund",ROUND($G78/37.32,2),$G78))</f>
        <v/>
      </c>
      <c r="J78" s="22"/>
    </row>
    <row r="79" customFormat="false" ht="19.5" hidden="false" customHeight="true" outlineLevel="0" collapsed="false">
      <c r="B79" s="19"/>
      <c r="C79" s="21"/>
      <c r="D79" s="21"/>
      <c r="E79" s="21"/>
      <c r="F79" s="22"/>
      <c r="G79" s="29"/>
      <c r="H79" s="21"/>
      <c r="I79" s="30" t="str">
        <f aca="false">IF(OR($G79="",$H79="",NOT(ISNUMBER($G79))),"",IF($H79="Maund",ROUND($G79/37.32,2),$G79))</f>
        <v/>
      </c>
      <c r="J79" s="22"/>
    </row>
    <row r="80" customFormat="false" ht="19.5" hidden="false" customHeight="true" outlineLevel="0" collapsed="false">
      <c r="B80" s="19"/>
      <c r="C80" s="21"/>
      <c r="D80" s="21"/>
      <c r="E80" s="21"/>
      <c r="F80" s="22"/>
      <c r="G80" s="29"/>
      <c r="H80" s="21"/>
      <c r="I80" s="30" t="str">
        <f aca="false">IF(OR($G80="",$H80="",NOT(ISNUMBER($G80))),"",IF($H80="Maund",ROUND($G80/37.32,2),$G80))</f>
        <v/>
      </c>
      <c r="J80" s="22"/>
    </row>
    <row r="81" customFormat="false" ht="19.5" hidden="false" customHeight="true" outlineLevel="0" collapsed="false">
      <c r="B81" s="19"/>
      <c r="C81" s="21"/>
      <c r="D81" s="21"/>
      <c r="E81" s="21"/>
      <c r="F81" s="22"/>
      <c r="G81" s="29"/>
      <c r="H81" s="21"/>
      <c r="I81" s="30" t="str">
        <f aca="false">IF(OR($G81="",$H81="",NOT(ISNUMBER($G81))),"",IF($H81="Maund",ROUND($G81/37.32,2),$G81))</f>
        <v/>
      </c>
      <c r="J81" s="22"/>
    </row>
    <row r="82" customFormat="false" ht="19.5" hidden="false" customHeight="true" outlineLevel="0" collapsed="false">
      <c r="B82" s="19"/>
      <c r="C82" s="21"/>
      <c r="D82" s="21"/>
      <c r="E82" s="21"/>
      <c r="F82" s="22"/>
      <c r="G82" s="29"/>
      <c r="H82" s="21"/>
      <c r="I82" s="30" t="str">
        <f aca="false">IF(OR($G82="",$H82="",NOT(ISNUMBER($G82))),"",IF($H82="Maund",ROUND($G82/37.32,2),$G82))</f>
        <v/>
      </c>
      <c r="J82" s="22"/>
    </row>
    <row r="83" customFormat="false" ht="19.5" hidden="false" customHeight="true" outlineLevel="0" collapsed="false">
      <c r="B83" s="19"/>
      <c r="C83" s="21"/>
      <c r="D83" s="21"/>
      <c r="E83" s="21"/>
      <c r="F83" s="22"/>
      <c r="G83" s="29"/>
      <c r="H83" s="21"/>
      <c r="I83" s="30" t="str">
        <f aca="false">IF(OR($G83="",$H83="",NOT(ISNUMBER($G83))),"",IF($H83="Maund",ROUND($G83/37.32,2),$G83))</f>
        <v/>
      </c>
      <c r="J83" s="22"/>
    </row>
    <row r="84" customFormat="false" ht="19.5" hidden="false" customHeight="true" outlineLevel="0" collapsed="false">
      <c r="B84" s="19"/>
      <c r="C84" s="21"/>
      <c r="D84" s="21"/>
      <c r="E84" s="21"/>
      <c r="F84" s="22"/>
      <c r="G84" s="29"/>
      <c r="H84" s="21"/>
      <c r="I84" s="30" t="str">
        <f aca="false">IF(OR($G84="",$H84="",NOT(ISNUMBER($G84))),"",IF($H84="Maund",ROUND($G84/37.32,2),$G84))</f>
        <v/>
      </c>
      <c r="J84" s="22"/>
    </row>
    <row r="85" customFormat="false" ht="19.5" hidden="false" customHeight="true" outlineLevel="0" collapsed="false">
      <c r="B85" s="19"/>
      <c r="C85" s="21"/>
      <c r="D85" s="21"/>
      <c r="E85" s="21"/>
      <c r="F85" s="22"/>
      <c r="G85" s="29"/>
      <c r="H85" s="21"/>
      <c r="I85" s="30" t="str">
        <f aca="false">IF(OR($G85="",$H85="",NOT(ISNUMBER($G85))),"",IF($H85="Maund",ROUND($G85/37.32,2),$G85))</f>
        <v/>
      </c>
      <c r="J85" s="22"/>
    </row>
    <row r="86" customFormat="false" ht="19.5" hidden="false" customHeight="true" outlineLevel="0" collapsed="false">
      <c r="B86" s="19"/>
      <c r="C86" s="21"/>
      <c r="D86" s="21"/>
      <c r="E86" s="21"/>
      <c r="F86" s="22"/>
      <c r="G86" s="29"/>
      <c r="H86" s="21"/>
      <c r="I86" s="30" t="str">
        <f aca="false">IF(OR($G86="",$H86="",NOT(ISNUMBER($G86))),"",IF($H86="Maund",ROUND($G86/37.32,2),$G86))</f>
        <v/>
      </c>
      <c r="J86" s="22"/>
    </row>
    <row r="87" customFormat="false" ht="19.5" hidden="false" customHeight="true" outlineLevel="0" collapsed="false">
      <c r="B87" s="19"/>
      <c r="C87" s="21"/>
      <c r="D87" s="21"/>
      <c r="E87" s="21"/>
      <c r="F87" s="22"/>
      <c r="G87" s="29"/>
      <c r="H87" s="21"/>
      <c r="I87" s="30" t="str">
        <f aca="false">IF(OR($G87="",$H87="",NOT(ISNUMBER($G87))),"",IF($H87="Maund",ROUND($G87/37.32,2),$G87))</f>
        <v/>
      </c>
      <c r="J87" s="22"/>
    </row>
    <row r="88" customFormat="false" ht="19.5" hidden="false" customHeight="true" outlineLevel="0" collapsed="false">
      <c r="B88" s="19"/>
      <c r="C88" s="21"/>
      <c r="D88" s="21"/>
      <c r="E88" s="21"/>
      <c r="F88" s="22"/>
      <c r="G88" s="29"/>
      <c r="H88" s="21"/>
      <c r="I88" s="30" t="str">
        <f aca="false">IF(OR($G88="",$H88="",NOT(ISNUMBER($G88))),"",IF($H88="Maund",ROUND($G88/37.32,2),$G88))</f>
        <v/>
      </c>
      <c r="J88" s="22"/>
    </row>
    <row r="89" customFormat="false" ht="19.5" hidden="false" customHeight="true" outlineLevel="0" collapsed="false">
      <c r="B89" s="19"/>
      <c r="C89" s="21"/>
      <c r="D89" s="21"/>
      <c r="E89" s="21"/>
      <c r="F89" s="22"/>
      <c r="G89" s="29"/>
      <c r="H89" s="21"/>
      <c r="I89" s="30" t="str">
        <f aca="false">IF(OR($G89="",$H89="",NOT(ISNUMBER($G89))),"",IF($H89="Maund",ROUND($G89/37.32,2),$G89))</f>
        <v/>
      </c>
      <c r="J89" s="22"/>
    </row>
    <row r="90" customFormat="false" ht="19.5" hidden="false" customHeight="true" outlineLevel="0" collapsed="false">
      <c r="B90" s="19"/>
      <c r="C90" s="21"/>
      <c r="D90" s="21"/>
      <c r="E90" s="21"/>
      <c r="F90" s="22"/>
      <c r="G90" s="29"/>
      <c r="H90" s="21"/>
      <c r="I90" s="30" t="str">
        <f aca="false">IF(OR($G90="",$H90="",NOT(ISNUMBER($G90))),"",IF($H90="Maund",ROUND($G90/37.32,2),$G90))</f>
        <v/>
      </c>
      <c r="J90" s="22"/>
    </row>
    <row r="91" customFormat="false" ht="19.5" hidden="false" customHeight="true" outlineLevel="0" collapsed="false">
      <c r="B91" s="19"/>
      <c r="C91" s="21"/>
      <c r="D91" s="21"/>
      <c r="E91" s="21"/>
      <c r="F91" s="22"/>
      <c r="G91" s="29"/>
      <c r="H91" s="21"/>
      <c r="I91" s="30" t="str">
        <f aca="false">IF(OR($G91="",$H91="",NOT(ISNUMBER($G91))),"",IF($H91="Maund",ROUND($G91/37.32,2),$G91))</f>
        <v/>
      </c>
      <c r="J91" s="22"/>
    </row>
    <row r="92" customFormat="false" ht="19.5" hidden="false" customHeight="true" outlineLevel="0" collapsed="false">
      <c r="B92" s="19"/>
      <c r="C92" s="21"/>
      <c r="D92" s="21"/>
      <c r="E92" s="21"/>
      <c r="F92" s="22"/>
      <c r="G92" s="29"/>
      <c r="H92" s="21"/>
      <c r="I92" s="30" t="str">
        <f aca="false">IF(OR($G92="",$H92="",NOT(ISNUMBER($G92))),"",IF($H92="Maund",ROUND($G92/37.32,2),$G92))</f>
        <v/>
      </c>
      <c r="J92" s="22"/>
    </row>
    <row r="93" customFormat="false" ht="19.5" hidden="false" customHeight="true" outlineLevel="0" collapsed="false">
      <c r="B93" s="19"/>
      <c r="C93" s="21"/>
      <c r="D93" s="21"/>
      <c r="E93" s="21"/>
      <c r="F93" s="22"/>
      <c r="G93" s="29"/>
      <c r="H93" s="21"/>
      <c r="I93" s="30" t="str">
        <f aca="false">IF(OR($G93="",$H93="",NOT(ISNUMBER($G93))),"",IF($H93="Maund",ROUND($G93/37.32,2),$G93))</f>
        <v/>
      </c>
      <c r="J93" s="22"/>
    </row>
    <row r="94" customFormat="false" ht="19.5" hidden="false" customHeight="true" outlineLevel="0" collapsed="false">
      <c r="B94" s="19"/>
      <c r="C94" s="21"/>
      <c r="D94" s="21"/>
      <c r="E94" s="21"/>
      <c r="F94" s="22"/>
      <c r="G94" s="29"/>
      <c r="H94" s="21"/>
      <c r="I94" s="30" t="str">
        <f aca="false">IF(OR($G94="",$H94="",NOT(ISNUMBER($G94))),"",IF($H94="Maund",ROUND($G94/37.32,2),$G94))</f>
        <v/>
      </c>
      <c r="J94" s="22"/>
    </row>
    <row r="95" customFormat="false" ht="19.5" hidden="false" customHeight="true" outlineLevel="0" collapsed="false">
      <c r="B95" s="19"/>
      <c r="C95" s="21"/>
      <c r="D95" s="21"/>
      <c r="E95" s="21"/>
      <c r="F95" s="22"/>
      <c r="G95" s="29"/>
      <c r="H95" s="21"/>
      <c r="I95" s="30" t="str">
        <f aca="false">IF(OR($G95="",$H95="",NOT(ISNUMBER($G95))),"",IF($H95="Maund",ROUND($G95/37.32,2),$G95))</f>
        <v/>
      </c>
      <c r="J95" s="22"/>
    </row>
    <row r="96" customFormat="false" ht="19.5" hidden="false" customHeight="true" outlineLevel="0" collapsed="false">
      <c r="B96" s="19"/>
      <c r="C96" s="21"/>
      <c r="D96" s="21"/>
      <c r="E96" s="21"/>
      <c r="F96" s="22"/>
      <c r="G96" s="29"/>
      <c r="H96" s="21"/>
      <c r="I96" s="30" t="str">
        <f aca="false">IF(OR($G96="",$H96="",NOT(ISNUMBER($G96))),"",IF($H96="Maund",ROUND($G96/37.32,2),$G96))</f>
        <v/>
      </c>
      <c r="J96" s="22"/>
    </row>
    <row r="97" customFormat="false" ht="19.5" hidden="false" customHeight="true" outlineLevel="0" collapsed="false">
      <c r="B97" s="19"/>
      <c r="C97" s="21"/>
      <c r="D97" s="21"/>
      <c r="E97" s="21"/>
      <c r="F97" s="22"/>
      <c r="G97" s="29"/>
      <c r="H97" s="21"/>
      <c r="I97" s="30" t="str">
        <f aca="false">IF(OR($G97="",$H97="",NOT(ISNUMBER($G97))),"",IF($H97="Maund",ROUND($G97/37.32,2),$G97))</f>
        <v/>
      </c>
      <c r="J97" s="22"/>
    </row>
    <row r="98" customFormat="false" ht="19.5" hidden="false" customHeight="true" outlineLevel="0" collapsed="false">
      <c r="B98" s="19"/>
      <c r="C98" s="21"/>
      <c r="D98" s="21"/>
      <c r="E98" s="21"/>
      <c r="F98" s="22"/>
      <c r="G98" s="29"/>
      <c r="H98" s="21"/>
      <c r="I98" s="30" t="str">
        <f aca="false">IF(OR($G98="",$H98="",NOT(ISNUMBER($G98))),"",IF($H98="Maund",ROUND($G98/37.32,2),$G98))</f>
        <v/>
      </c>
      <c r="J98" s="22"/>
    </row>
    <row r="99" customFormat="false" ht="19.5" hidden="false" customHeight="true" outlineLevel="0" collapsed="false">
      <c r="B99" s="19"/>
      <c r="C99" s="21"/>
      <c r="D99" s="21"/>
      <c r="E99" s="21"/>
      <c r="F99" s="22"/>
      <c r="G99" s="29"/>
      <c r="H99" s="21"/>
      <c r="I99" s="30" t="str">
        <f aca="false">IF(OR($G99="",$H99="",NOT(ISNUMBER($G99))),"",IF($H99="Maund",ROUND($G99/37.32,2),$G99))</f>
        <v/>
      </c>
      <c r="J99" s="22"/>
    </row>
    <row r="100" customFormat="false" ht="19.5" hidden="false" customHeight="true" outlineLevel="0" collapsed="false">
      <c r="B100" s="19"/>
      <c r="C100" s="21"/>
      <c r="D100" s="21"/>
      <c r="E100" s="21"/>
      <c r="F100" s="22"/>
      <c r="G100" s="29"/>
      <c r="H100" s="21"/>
      <c r="I100" s="30" t="str">
        <f aca="false">IF(OR($G100="",$H100="",NOT(ISNUMBER($G100))),"",IF($H100="Maund",ROUND($G100/37.32,2),$G100))</f>
        <v/>
      </c>
      <c r="J100" s="22"/>
    </row>
    <row r="101" customFormat="false" ht="19.5" hidden="false" customHeight="true" outlineLevel="0" collapsed="false">
      <c r="B101" s="19"/>
      <c r="C101" s="21"/>
      <c r="D101" s="21"/>
      <c r="E101" s="21"/>
      <c r="F101" s="22"/>
      <c r="G101" s="29"/>
      <c r="H101" s="21"/>
      <c r="I101" s="30" t="str">
        <f aca="false">IF(OR($G101="",$H101="",NOT(ISNUMBER($G101))),"",IF($H101="Maund",ROUND($G101/37.32,2),$G101))</f>
        <v/>
      </c>
      <c r="J101" s="22"/>
    </row>
    <row r="102" customFormat="false" ht="19.5" hidden="false" customHeight="true" outlineLevel="0" collapsed="false">
      <c r="B102" s="19"/>
      <c r="C102" s="21"/>
      <c r="D102" s="21"/>
      <c r="E102" s="21"/>
      <c r="F102" s="22"/>
      <c r="G102" s="29"/>
      <c r="H102" s="21"/>
      <c r="I102" s="30" t="str">
        <f aca="false">IF(OR($G102="",$H102="",NOT(ISNUMBER($G102))),"",IF($H102="Maund",ROUND($G102/37.32,2),$G102))</f>
        <v/>
      </c>
      <c r="J102" s="22"/>
    </row>
    <row r="103" customFormat="false" ht="19.5" hidden="false" customHeight="true" outlineLevel="0" collapsed="false">
      <c r="B103" s="19"/>
      <c r="C103" s="21"/>
      <c r="D103" s="21"/>
      <c r="E103" s="21"/>
      <c r="F103" s="22"/>
      <c r="G103" s="29"/>
      <c r="H103" s="21"/>
      <c r="I103" s="30" t="str">
        <f aca="false">IF(OR($G103="",$H103="",NOT(ISNUMBER($G103))),"",IF($H103="Maund",ROUND($G103/37.32,2),$G103))</f>
        <v/>
      </c>
      <c r="J103" s="22"/>
    </row>
    <row r="104" customFormat="false" ht="19.5" hidden="false" customHeight="true" outlineLevel="0" collapsed="false">
      <c r="B104" s="19"/>
      <c r="C104" s="21"/>
      <c r="D104" s="21"/>
      <c r="E104" s="21"/>
      <c r="F104" s="22"/>
      <c r="G104" s="29"/>
      <c r="H104" s="21"/>
      <c r="I104" s="30" t="str">
        <f aca="false">IF(OR($G104="",$H104="",NOT(ISNUMBER($G104))),"",IF($H104="Maund",ROUND($G104/37.32,2),$G104))</f>
        <v/>
      </c>
      <c r="J104" s="22"/>
    </row>
    <row r="105" customFormat="false" ht="19.5" hidden="false" customHeight="true" outlineLevel="0" collapsed="false">
      <c r="B105" s="19"/>
      <c r="C105" s="21"/>
      <c r="D105" s="21"/>
      <c r="E105" s="21"/>
      <c r="F105" s="22"/>
      <c r="G105" s="29"/>
      <c r="H105" s="21"/>
      <c r="I105" s="30" t="str">
        <f aca="false">IF(OR($G105="",$H105="",NOT(ISNUMBER($G105))),"",IF($H105="Maund",ROUND($G105/37.32,2),$G105))</f>
        <v/>
      </c>
      <c r="J105" s="22"/>
    </row>
    <row r="106" customFormat="false" ht="19.5" hidden="false" customHeight="true" outlineLevel="0" collapsed="false">
      <c r="B106" s="19"/>
      <c r="C106" s="21"/>
      <c r="D106" s="21"/>
      <c r="E106" s="21"/>
      <c r="F106" s="22"/>
      <c r="G106" s="29"/>
      <c r="H106" s="21"/>
      <c r="I106" s="30" t="str">
        <f aca="false">IF(OR($G106="",$H106="",NOT(ISNUMBER($G106))),"",IF($H106="Maund",ROUND($G106/37.32,2),$G106))</f>
        <v/>
      </c>
      <c r="J106" s="22"/>
    </row>
    <row r="107" customFormat="false" ht="19.5" hidden="false" customHeight="true" outlineLevel="0" collapsed="false">
      <c r="B107" s="19"/>
      <c r="C107" s="21"/>
      <c r="D107" s="21"/>
      <c r="E107" s="21"/>
      <c r="F107" s="22"/>
      <c r="G107" s="29"/>
      <c r="H107" s="21"/>
      <c r="I107" s="30" t="str">
        <f aca="false">IF(OR($G107="",$H107="",NOT(ISNUMBER($G107))),"",IF($H107="Maund",ROUND($G107/37.32,2),$G107))</f>
        <v/>
      </c>
      <c r="J107" s="22"/>
    </row>
    <row r="108" customFormat="false" ht="19.5" hidden="false" customHeight="true" outlineLevel="0" collapsed="false">
      <c r="B108" s="19"/>
      <c r="C108" s="21"/>
      <c r="D108" s="21"/>
      <c r="E108" s="21"/>
      <c r="F108" s="22"/>
      <c r="G108" s="29"/>
      <c r="H108" s="21"/>
      <c r="I108" s="30" t="str">
        <f aca="false">IF(OR($G108="",$H108="",NOT(ISNUMBER($G108))),"",IF($H108="Maund",ROUND($G108/37.32,2),$G108))</f>
        <v/>
      </c>
      <c r="J108" s="22"/>
    </row>
    <row r="109" customFormat="false" ht="19.5" hidden="false" customHeight="true" outlineLevel="0" collapsed="false">
      <c r="B109" s="19"/>
      <c r="C109" s="21"/>
      <c r="D109" s="21"/>
      <c r="E109" s="21"/>
      <c r="F109" s="22"/>
      <c r="G109" s="29"/>
      <c r="H109" s="21"/>
      <c r="I109" s="30" t="str">
        <f aca="false">IF(OR($G109="",$H109="",NOT(ISNUMBER($G109))),"",IF($H109="Maund",ROUND($G109/37.32,2),$G109))</f>
        <v/>
      </c>
      <c r="J109" s="22"/>
    </row>
    <row r="110" customFormat="false" ht="19.5" hidden="false" customHeight="true" outlineLevel="0" collapsed="false">
      <c r="B110" s="19"/>
      <c r="C110" s="21"/>
      <c r="D110" s="21"/>
      <c r="E110" s="21"/>
      <c r="F110" s="22"/>
      <c r="G110" s="29"/>
      <c r="H110" s="21"/>
      <c r="I110" s="30" t="str">
        <f aca="false">IF(OR($G110="",$H110="",NOT(ISNUMBER($G110))),"",IF($H110="Maund",ROUND($G110/37.32,2),$G110))</f>
        <v/>
      </c>
      <c r="J110" s="22"/>
    </row>
    <row r="111" customFormat="false" ht="19.5" hidden="false" customHeight="true" outlineLevel="0" collapsed="false">
      <c r="B111" s="19"/>
      <c r="C111" s="21"/>
      <c r="D111" s="21"/>
      <c r="E111" s="21"/>
      <c r="F111" s="22"/>
      <c r="G111" s="29"/>
      <c r="H111" s="21"/>
      <c r="I111" s="30" t="str">
        <f aca="false">IF(OR($G111="",$H111="",NOT(ISNUMBER($G111))),"",IF($H111="Maund",ROUND($G111/37.32,2),$G111))</f>
        <v/>
      </c>
      <c r="J111" s="22"/>
    </row>
    <row r="112" customFormat="false" ht="19.5" hidden="false" customHeight="true" outlineLevel="0" collapsed="false">
      <c r="B112" s="19"/>
      <c r="C112" s="21"/>
      <c r="D112" s="21"/>
      <c r="E112" s="21"/>
      <c r="F112" s="22"/>
      <c r="G112" s="29"/>
      <c r="H112" s="21"/>
      <c r="I112" s="30" t="str">
        <f aca="false">IF(OR($G112="",$H112="",NOT(ISNUMBER($G112))),"",IF($H112="Maund",ROUND($G112/37.32,2),$G112))</f>
        <v/>
      </c>
      <c r="J112" s="22"/>
    </row>
    <row r="113" customFormat="false" ht="19.5" hidden="false" customHeight="true" outlineLevel="0" collapsed="false">
      <c r="B113" s="19"/>
      <c r="C113" s="21"/>
      <c r="D113" s="21"/>
      <c r="E113" s="21"/>
      <c r="F113" s="22"/>
      <c r="G113" s="29"/>
      <c r="H113" s="21"/>
      <c r="I113" s="30" t="str">
        <f aca="false">IF(OR($G113="",$H113="",NOT(ISNUMBER($G113))),"",IF($H113="Maund",ROUND($G113/37.32,2),$G113))</f>
        <v/>
      </c>
      <c r="J113" s="22"/>
    </row>
    <row r="114" customFormat="false" ht="19.5" hidden="false" customHeight="true" outlineLevel="0" collapsed="false">
      <c r="B114" s="19"/>
      <c r="C114" s="21"/>
      <c r="D114" s="21"/>
      <c r="E114" s="21"/>
      <c r="F114" s="22"/>
      <c r="G114" s="29"/>
      <c r="H114" s="21"/>
      <c r="I114" s="30" t="str">
        <f aca="false">IF(OR($G114="",$H114="",NOT(ISNUMBER($G114))),"",IF($H114="Maund",ROUND($G114/37.32,2),$G114))</f>
        <v/>
      </c>
      <c r="J114" s="22"/>
    </row>
    <row r="115" customFormat="false" ht="19.5" hidden="false" customHeight="true" outlineLevel="0" collapsed="false">
      <c r="B115" s="19"/>
      <c r="C115" s="21"/>
      <c r="D115" s="21"/>
      <c r="E115" s="21"/>
      <c r="F115" s="22"/>
      <c r="G115" s="29"/>
      <c r="H115" s="21"/>
      <c r="I115" s="30" t="str">
        <f aca="false">IF(OR($G115="",$H115="",NOT(ISNUMBER($G115))),"",IF($H115="Maund",ROUND($G115/37.32,2),$G115))</f>
        <v/>
      </c>
      <c r="J115" s="22"/>
    </row>
    <row r="116" customFormat="false" ht="19.5" hidden="false" customHeight="true" outlineLevel="0" collapsed="false">
      <c r="B116" s="19"/>
      <c r="C116" s="21"/>
      <c r="D116" s="21"/>
      <c r="E116" s="21"/>
      <c r="F116" s="22"/>
      <c r="G116" s="29"/>
      <c r="H116" s="21"/>
      <c r="I116" s="30" t="str">
        <f aca="false">IF(OR($G116="",$H116="",NOT(ISNUMBER($G116))),"",IF($H116="Maund",ROUND($G116/37.32,2),$G116))</f>
        <v/>
      </c>
      <c r="J116" s="22"/>
    </row>
    <row r="117" customFormat="false" ht="19.5" hidden="false" customHeight="true" outlineLevel="0" collapsed="false">
      <c r="B117" s="19"/>
      <c r="C117" s="21"/>
      <c r="D117" s="21"/>
      <c r="E117" s="21"/>
      <c r="F117" s="22"/>
      <c r="G117" s="29"/>
      <c r="H117" s="21"/>
      <c r="I117" s="30" t="str">
        <f aca="false">IF(OR($G117="",$H117="",NOT(ISNUMBER($G117))),"",IF($H117="Maund",ROUND($G117/37.32,2),$G117))</f>
        <v/>
      </c>
      <c r="J117" s="22"/>
    </row>
    <row r="118" customFormat="false" ht="19.5" hidden="false" customHeight="true" outlineLevel="0" collapsed="false">
      <c r="B118" s="19"/>
      <c r="C118" s="21"/>
      <c r="D118" s="21"/>
      <c r="E118" s="21"/>
      <c r="F118" s="22"/>
      <c r="G118" s="29"/>
      <c r="H118" s="21"/>
      <c r="I118" s="30" t="str">
        <f aca="false">IF(OR($G118="",$H118="",NOT(ISNUMBER($G118))),"",IF($H118="Maund",ROUND($G118/37.32,2),$G118))</f>
        <v/>
      </c>
      <c r="J118" s="22"/>
    </row>
    <row r="119" customFormat="false" ht="19.5" hidden="false" customHeight="true" outlineLevel="0" collapsed="false">
      <c r="B119" s="19"/>
      <c r="C119" s="21"/>
      <c r="D119" s="21"/>
      <c r="E119" s="21"/>
      <c r="F119" s="22"/>
      <c r="G119" s="29"/>
      <c r="H119" s="21"/>
      <c r="I119" s="30" t="str">
        <f aca="false">IF(OR($G119="",$H119="",NOT(ISNUMBER($G119))),"",IF($H119="Maund",ROUND($G119/37.32,2),$G119))</f>
        <v/>
      </c>
      <c r="J119" s="22"/>
    </row>
    <row r="120" customFormat="false" ht="19.5" hidden="false" customHeight="true" outlineLevel="0" collapsed="false">
      <c r="B120" s="19"/>
      <c r="C120" s="21"/>
      <c r="D120" s="21"/>
      <c r="E120" s="21"/>
      <c r="F120" s="22"/>
      <c r="G120" s="29"/>
      <c r="H120" s="21"/>
      <c r="I120" s="30" t="str">
        <f aca="false">IF(OR($G120="",$H120="",NOT(ISNUMBER($G120))),"",IF($H120="Maund",ROUND($G120/37.32,2),$G120))</f>
        <v/>
      </c>
      <c r="J120" s="22"/>
    </row>
    <row r="121" customFormat="false" ht="19.5" hidden="false" customHeight="true" outlineLevel="0" collapsed="false">
      <c r="B121" s="19"/>
      <c r="C121" s="21"/>
      <c r="D121" s="21"/>
      <c r="E121" s="21"/>
      <c r="F121" s="22"/>
      <c r="G121" s="29"/>
      <c r="H121" s="21"/>
      <c r="I121" s="30" t="str">
        <f aca="false">IF(OR($G121="",$H121="",NOT(ISNUMBER($G121))),"",IF($H121="Maund",ROUND($G121/37.32,2),$G121))</f>
        <v/>
      </c>
      <c r="J121" s="22"/>
    </row>
    <row r="122" customFormat="false" ht="19.5" hidden="false" customHeight="true" outlineLevel="0" collapsed="false">
      <c r="B122" s="19"/>
      <c r="C122" s="21"/>
      <c r="D122" s="21"/>
      <c r="E122" s="21"/>
      <c r="F122" s="22"/>
      <c r="G122" s="29"/>
      <c r="H122" s="21"/>
      <c r="I122" s="30" t="str">
        <f aca="false">IF(OR($G122="",$H122="",NOT(ISNUMBER($G122))),"",IF($H122="Maund",ROUND($G122/37.32,2),$G122))</f>
        <v/>
      </c>
      <c r="J122" s="22"/>
    </row>
    <row r="123" customFormat="false" ht="19.5" hidden="false" customHeight="true" outlineLevel="0" collapsed="false">
      <c r="B123" s="19"/>
      <c r="C123" s="21"/>
      <c r="D123" s="21"/>
      <c r="E123" s="21"/>
      <c r="F123" s="22"/>
      <c r="G123" s="29"/>
      <c r="H123" s="21"/>
      <c r="I123" s="30" t="str">
        <f aca="false">IF(OR($G123="",$H123="",NOT(ISNUMBER($G123))),"",IF($H123="Maund",ROUND($G123/37.32,2),$G123))</f>
        <v/>
      </c>
      <c r="J123" s="22"/>
    </row>
    <row r="124" customFormat="false" ht="19.5" hidden="false" customHeight="true" outlineLevel="0" collapsed="false">
      <c r="B124" s="19"/>
      <c r="C124" s="21"/>
      <c r="D124" s="21"/>
      <c r="E124" s="21"/>
      <c r="F124" s="22"/>
      <c r="G124" s="29"/>
      <c r="H124" s="21"/>
      <c r="I124" s="30" t="str">
        <f aca="false">IF(OR($G124="",$H124="",NOT(ISNUMBER($G124))),"",IF($H124="Maund",ROUND($G124/37.32,2),$G124))</f>
        <v/>
      </c>
      <c r="J124" s="22"/>
    </row>
    <row r="125" customFormat="false" ht="19.5" hidden="false" customHeight="true" outlineLevel="0" collapsed="false">
      <c r="B125" s="19"/>
      <c r="C125" s="21"/>
      <c r="D125" s="21"/>
      <c r="E125" s="21"/>
      <c r="F125" s="22"/>
      <c r="G125" s="29"/>
      <c r="H125" s="21"/>
      <c r="I125" s="30" t="str">
        <f aca="false">IF(OR($G125="",$H125="",NOT(ISNUMBER($G125))),"",IF($H125="Maund",ROUND($G125/37.32,2),$G125))</f>
        <v/>
      </c>
      <c r="J125" s="22"/>
    </row>
    <row r="126" customFormat="false" ht="19.5" hidden="false" customHeight="true" outlineLevel="0" collapsed="false">
      <c r="B126" s="19"/>
      <c r="C126" s="21"/>
      <c r="D126" s="21"/>
      <c r="E126" s="21"/>
      <c r="F126" s="22"/>
      <c r="G126" s="29"/>
      <c r="H126" s="21"/>
      <c r="I126" s="30" t="str">
        <f aca="false">IF(OR($G126="",$H126="",NOT(ISNUMBER($G126))),"",IF($H126="Maund",ROUND($G126/37.32,2),$G126))</f>
        <v/>
      </c>
      <c r="J126" s="22"/>
    </row>
    <row r="127" customFormat="false" ht="19.5" hidden="false" customHeight="true" outlineLevel="0" collapsed="false">
      <c r="B127" s="19"/>
      <c r="C127" s="21"/>
      <c r="D127" s="21"/>
      <c r="E127" s="21"/>
      <c r="F127" s="22"/>
      <c r="G127" s="29"/>
      <c r="H127" s="21"/>
      <c r="I127" s="30" t="str">
        <f aca="false">IF(OR($G127="",$H127="",NOT(ISNUMBER($G127))),"",IF($H127="Maund",ROUND($G127/37.32,2),$G127))</f>
        <v/>
      </c>
      <c r="J127" s="22"/>
    </row>
    <row r="128" customFormat="false" ht="19.5" hidden="false" customHeight="true" outlineLevel="0" collapsed="false">
      <c r="B128" s="19"/>
      <c r="C128" s="21"/>
      <c r="D128" s="21"/>
      <c r="E128" s="21"/>
      <c r="F128" s="22"/>
      <c r="G128" s="29"/>
      <c r="H128" s="21"/>
      <c r="I128" s="30" t="str">
        <f aca="false">IF(OR($G128="",$H128="",NOT(ISNUMBER($G128))),"",IF($H128="Maund",ROUND($G128/37.32,2),$G128))</f>
        <v/>
      </c>
      <c r="J128" s="22"/>
    </row>
    <row r="129" customFormat="false" ht="19.5" hidden="false" customHeight="true" outlineLevel="0" collapsed="false">
      <c r="B129" s="19"/>
      <c r="C129" s="21"/>
      <c r="D129" s="21"/>
      <c r="E129" s="21"/>
      <c r="F129" s="22"/>
      <c r="G129" s="29"/>
      <c r="H129" s="21"/>
      <c r="I129" s="30" t="str">
        <f aca="false">IF(OR($G129="",$H129="",NOT(ISNUMBER($G129))),"",IF($H129="Maund",ROUND($G129/37.32,2),$G129))</f>
        <v/>
      </c>
      <c r="J129" s="22"/>
    </row>
    <row r="130" customFormat="false" ht="19.5" hidden="false" customHeight="true" outlineLevel="0" collapsed="false">
      <c r="B130" s="19"/>
      <c r="C130" s="21"/>
      <c r="D130" s="21"/>
      <c r="E130" s="21"/>
      <c r="F130" s="22"/>
      <c r="G130" s="29"/>
      <c r="H130" s="21"/>
      <c r="I130" s="30" t="str">
        <f aca="false">IF(OR($G130="",$H130="",NOT(ISNUMBER($G130))),"",IF($H130="Maund",ROUND($G130/37.32,2),$G130))</f>
        <v/>
      </c>
      <c r="J130" s="22"/>
    </row>
    <row r="131" customFormat="false" ht="19.5" hidden="false" customHeight="true" outlineLevel="0" collapsed="false">
      <c r="B131" s="19"/>
      <c r="C131" s="21"/>
      <c r="D131" s="21"/>
      <c r="E131" s="21"/>
      <c r="F131" s="22"/>
      <c r="G131" s="29"/>
      <c r="H131" s="21"/>
      <c r="I131" s="30" t="str">
        <f aca="false">IF(OR($G131="",$H131="",NOT(ISNUMBER($G131))),"",IF($H131="Maund",ROUND($G131/37.32,2),$G131))</f>
        <v/>
      </c>
      <c r="J131" s="22"/>
    </row>
    <row r="132" customFormat="false" ht="19.5" hidden="false" customHeight="true" outlineLevel="0" collapsed="false">
      <c r="B132" s="19"/>
      <c r="C132" s="21"/>
      <c r="D132" s="21"/>
      <c r="E132" s="21"/>
      <c r="F132" s="22"/>
      <c r="G132" s="29"/>
      <c r="H132" s="21"/>
      <c r="I132" s="30" t="str">
        <f aca="false">IF(OR($G132="",$H132="",NOT(ISNUMBER($G132))),"",IF($H132="Maund",ROUND($G132/37.32,2),$G132))</f>
        <v/>
      </c>
      <c r="J132" s="22"/>
    </row>
    <row r="133" customFormat="false" ht="19.5" hidden="false" customHeight="true" outlineLevel="0" collapsed="false">
      <c r="B133" s="19"/>
      <c r="C133" s="21"/>
      <c r="D133" s="21"/>
      <c r="E133" s="21"/>
      <c r="F133" s="22"/>
      <c r="G133" s="29"/>
      <c r="H133" s="21"/>
      <c r="I133" s="30" t="str">
        <f aca="false">IF(OR($G133="",$H133="",NOT(ISNUMBER($G133))),"",IF($H133="Maund",ROUND($G133/37.32,2),$G133))</f>
        <v/>
      </c>
      <c r="J133" s="22"/>
    </row>
    <row r="134" customFormat="false" ht="19.5" hidden="false" customHeight="true" outlineLevel="0" collapsed="false">
      <c r="B134" s="19"/>
      <c r="C134" s="21"/>
      <c r="D134" s="21"/>
      <c r="E134" s="21"/>
      <c r="F134" s="22"/>
      <c r="G134" s="29"/>
      <c r="H134" s="21"/>
      <c r="I134" s="30" t="str">
        <f aca="false">IF(OR($G134="",$H134="",NOT(ISNUMBER($G134))),"",IF($H134="Maund",ROUND($G134/37.32,2),$G134))</f>
        <v/>
      </c>
      <c r="J134" s="22"/>
    </row>
    <row r="135" customFormat="false" ht="19.5" hidden="false" customHeight="true" outlineLevel="0" collapsed="false">
      <c r="B135" s="19"/>
      <c r="C135" s="21"/>
      <c r="D135" s="21"/>
      <c r="E135" s="21"/>
      <c r="F135" s="22"/>
      <c r="G135" s="29"/>
      <c r="H135" s="21"/>
      <c r="I135" s="30" t="str">
        <f aca="false">IF(OR($G135="",$H135="",NOT(ISNUMBER($G135))),"",IF($H135="Maund",ROUND($G135/37.32,2),$G135))</f>
        <v/>
      </c>
      <c r="J135" s="22"/>
    </row>
    <row r="136" customFormat="false" ht="19.5" hidden="false" customHeight="true" outlineLevel="0" collapsed="false">
      <c r="B136" s="19"/>
      <c r="C136" s="21"/>
      <c r="D136" s="21"/>
      <c r="E136" s="21"/>
      <c r="F136" s="22"/>
      <c r="G136" s="29"/>
      <c r="H136" s="21"/>
      <c r="I136" s="30" t="str">
        <f aca="false">IF(OR($G136="",$H136="",NOT(ISNUMBER($G136))),"",IF($H136="Maund",ROUND($G136/37.32,2),$G136))</f>
        <v/>
      </c>
      <c r="J136" s="22"/>
    </row>
    <row r="137" customFormat="false" ht="19.5" hidden="false" customHeight="true" outlineLevel="0" collapsed="false">
      <c r="B137" s="19"/>
      <c r="C137" s="21"/>
      <c r="D137" s="21"/>
      <c r="E137" s="21"/>
      <c r="F137" s="22"/>
      <c r="G137" s="29"/>
      <c r="H137" s="21"/>
      <c r="I137" s="30" t="str">
        <f aca="false">IF(OR($G137="",$H137="",NOT(ISNUMBER($G137))),"",IF($H137="Maund",ROUND($G137/37.32,2),$G137))</f>
        <v/>
      </c>
      <c r="J137" s="22"/>
    </row>
    <row r="138" customFormat="false" ht="19.5" hidden="false" customHeight="true" outlineLevel="0" collapsed="false">
      <c r="B138" s="19"/>
      <c r="C138" s="21"/>
      <c r="D138" s="21"/>
      <c r="E138" s="21"/>
      <c r="F138" s="22"/>
      <c r="G138" s="29"/>
      <c r="H138" s="21"/>
      <c r="I138" s="30" t="str">
        <f aca="false">IF(OR($G138="",$H138="",NOT(ISNUMBER($G138))),"",IF($H138="Maund",ROUND($G138/37.32,2),$G138))</f>
        <v/>
      </c>
      <c r="J138" s="22"/>
    </row>
    <row r="139" customFormat="false" ht="19.5" hidden="false" customHeight="true" outlineLevel="0" collapsed="false">
      <c r="B139" s="19"/>
      <c r="C139" s="21"/>
      <c r="D139" s="21"/>
      <c r="E139" s="21"/>
      <c r="F139" s="22"/>
      <c r="G139" s="29"/>
      <c r="H139" s="21"/>
      <c r="I139" s="30" t="str">
        <f aca="false">IF(OR($G139="",$H139="",NOT(ISNUMBER($G139))),"",IF($H139="Maund",ROUND($G139/37.32,2),$G139))</f>
        <v/>
      </c>
      <c r="J139" s="22"/>
    </row>
    <row r="140" customFormat="false" ht="19.5" hidden="false" customHeight="true" outlineLevel="0" collapsed="false">
      <c r="B140" s="19"/>
      <c r="C140" s="21"/>
      <c r="D140" s="21"/>
      <c r="E140" s="21"/>
      <c r="F140" s="22"/>
      <c r="G140" s="29"/>
      <c r="H140" s="21"/>
      <c r="I140" s="30" t="str">
        <f aca="false">IF(OR($G140="",$H140="",NOT(ISNUMBER($G140))),"",IF($H140="Maund",ROUND($G140/37.32,2),$G140))</f>
        <v/>
      </c>
      <c r="J140" s="22"/>
    </row>
    <row r="141" customFormat="false" ht="19.5" hidden="false" customHeight="true" outlineLevel="0" collapsed="false">
      <c r="B141" s="19"/>
      <c r="C141" s="21"/>
      <c r="D141" s="21"/>
      <c r="E141" s="21"/>
      <c r="F141" s="22"/>
      <c r="G141" s="29"/>
      <c r="H141" s="21"/>
      <c r="I141" s="30" t="str">
        <f aca="false">IF(OR($G141="",$H141="",NOT(ISNUMBER($G141))),"",IF($H141="Maund",ROUND($G141/37.32,2),$G141))</f>
        <v/>
      </c>
      <c r="J141" s="22"/>
    </row>
    <row r="142" customFormat="false" ht="19.5" hidden="false" customHeight="true" outlineLevel="0" collapsed="false">
      <c r="B142" s="19"/>
      <c r="C142" s="21"/>
      <c r="D142" s="21"/>
      <c r="E142" s="21"/>
      <c r="F142" s="22"/>
      <c r="G142" s="29"/>
      <c r="H142" s="21"/>
      <c r="I142" s="30" t="str">
        <f aca="false">IF(OR($G142="",$H142="",NOT(ISNUMBER($G142))),"",IF($H142="Maund",ROUND($G142/37.32,2),$G142))</f>
        <v/>
      </c>
      <c r="J142" s="22"/>
    </row>
    <row r="143" customFormat="false" ht="19.5" hidden="false" customHeight="true" outlineLevel="0" collapsed="false">
      <c r="B143" s="19"/>
      <c r="C143" s="21"/>
      <c r="D143" s="21"/>
      <c r="E143" s="21"/>
      <c r="F143" s="22"/>
      <c r="G143" s="29"/>
      <c r="H143" s="21"/>
      <c r="I143" s="30" t="str">
        <f aca="false">IF(OR($G143="",$H143="",NOT(ISNUMBER($G143))),"",IF($H143="Maund",ROUND($G143/37.32,2),$G143))</f>
        <v/>
      </c>
      <c r="J143" s="22"/>
    </row>
    <row r="144" customFormat="false" ht="19.5" hidden="false" customHeight="true" outlineLevel="0" collapsed="false">
      <c r="B144" s="19"/>
      <c r="C144" s="21"/>
      <c r="D144" s="21"/>
      <c r="E144" s="21"/>
      <c r="F144" s="22"/>
      <c r="G144" s="29"/>
      <c r="H144" s="21"/>
      <c r="I144" s="30" t="str">
        <f aca="false">IF(OR($G144="",$H144="",NOT(ISNUMBER($G144))),"",IF($H144="Maund",ROUND($G144/37.32,2),$G144))</f>
        <v/>
      </c>
      <c r="J144" s="22"/>
    </row>
    <row r="145" customFormat="false" ht="19.5" hidden="false" customHeight="true" outlineLevel="0" collapsed="false">
      <c r="B145" s="19"/>
      <c r="C145" s="21"/>
      <c r="D145" s="21"/>
      <c r="E145" s="21"/>
      <c r="F145" s="22"/>
      <c r="G145" s="29"/>
      <c r="H145" s="21"/>
      <c r="I145" s="30" t="str">
        <f aca="false">IF(OR($G145="",$H145="",NOT(ISNUMBER($G145))),"",IF($H145="Maund",ROUND($G145/37.32,2),$G145))</f>
        <v/>
      </c>
      <c r="J145" s="22"/>
    </row>
    <row r="146" customFormat="false" ht="19.5" hidden="false" customHeight="true" outlineLevel="0" collapsed="false">
      <c r="B146" s="19"/>
      <c r="C146" s="21"/>
      <c r="D146" s="21"/>
      <c r="E146" s="21"/>
      <c r="F146" s="22"/>
      <c r="G146" s="29"/>
      <c r="H146" s="21"/>
      <c r="I146" s="30" t="str">
        <f aca="false">IF(OR($G146="",$H146="",NOT(ISNUMBER($G146))),"",IF($H146="Maund",ROUND($G146/37.32,2),$G146))</f>
        <v/>
      </c>
      <c r="J146" s="22"/>
    </row>
    <row r="147" customFormat="false" ht="19.5" hidden="false" customHeight="true" outlineLevel="0" collapsed="false">
      <c r="B147" s="19"/>
      <c r="C147" s="21"/>
      <c r="D147" s="21"/>
      <c r="E147" s="21"/>
      <c r="F147" s="22"/>
      <c r="G147" s="29"/>
      <c r="H147" s="21"/>
      <c r="I147" s="30" t="str">
        <f aca="false">IF(OR($G147="",$H147="",NOT(ISNUMBER($G147))),"",IF($H147="Maund",ROUND($G147/37.32,2),$G147))</f>
        <v/>
      </c>
      <c r="J147" s="22"/>
    </row>
    <row r="148" customFormat="false" ht="19.5" hidden="false" customHeight="true" outlineLevel="0" collapsed="false">
      <c r="B148" s="19"/>
      <c r="C148" s="21"/>
      <c r="D148" s="21"/>
      <c r="E148" s="21"/>
      <c r="F148" s="22"/>
      <c r="G148" s="29"/>
      <c r="H148" s="21"/>
      <c r="I148" s="30" t="str">
        <f aca="false">IF(OR($G148="",$H148="",NOT(ISNUMBER($G148))),"",IF($H148="Maund",ROUND($G148/37.32,2),$G148))</f>
        <v/>
      </c>
      <c r="J148" s="22"/>
    </row>
    <row r="149" customFormat="false" ht="19.5" hidden="false" customHeight="true" outlineLevel="0" collapsed="false">
      <c r="B149" s="19"/>
      <c r="C149" s="21"/>
      <c r="D149" s="21"/>
      <c r="E149" s="21"/>
      <c r="F149" s="22"/>
      <c r="G149" s="29"/>
      <c r="H149" s="21"/>
      <c r="I149" s="30" t="str">
        <f aca="false">IF(OR($G149="",$H149="",NOT(ISNUMBER($G149))),"",IF($H149="Maund",ROUND($G149/37.32,2),$G149))</f>
        <v/>
      </c>
      <c r="J149" s="22"/>
    </row>
    <row r="150" customFormat="false" ht="19.5" hidden="false" customHeight="true" outlineLevel="0" collapsed="false">
      <c r="B150" s="19"/>
      <c r="C150" s="21"/>
      <c r="D150" s="21"/>
      <c r="E150" s="21"/>
      <c r="F150" s="22"/>
      <c r="G150" s="29"/>
      <c r="H150" s="21"/>
      <c r="I150" s="30" t="str">
        <f aca="false">IF(OR($G150="",$H150="",NOT(ISNUMBER($G150))),"",IF($H150="Maund",ROUND($G150/37.32,2),$G150))</f>
        <v/>
      </c>
      <c r="J150" s="22"/>
    </row>
    <row r="151" customFormat="false" ht="19.5" hidden="false" customHeight="true" outlineLevel="0" collapsed="false">
      <c r="B151" s="19"/>
      <c r="C151" s="21"/>
      <c r="D151" s="21"/>
      <c r="E151" s="21"/>
      <c r="F151" s="22"/>
      <c r="G151" s="29"/>
      <c r="H151" s="21"/>
      <c r="I151" s="30" t="str">
        <f aca="false">IF(OR($G151="",$H151="",NOT(ISNUMBER($G151))),"",IF($H151="Maund",ROUND($G151/37.32,2),$G151))</f>
        <v/>
      </c>
      <c r="J151" s="22"/>
    </row>
    <row r="152" customFormat="false" ht="19.5" hidden="false" customHeight="true" outlineLevel="0" collapsed="false">
      <c r="B152" s="19"/>
      <c r="C152" s="21"/>
      <c r="D152" s="21"/>
      <c r="E152" s="21"/>
      <c r="F152" s="22"/>
      <c r="G152" s="29"/>
      <c r="H152" s="21"/>
      <c r="I152" s="30" t="str">
        <f aca="false">IF(OR($G152="",$H152="",NOT(ISNUMBER($G152))),"",IF($H152="Maund",ROUND($G152/37.32,2),$G152))</f>
        <v/>
      </c>
      <c r="J152" s="22"/>
    </row>
    <row r="153" customFormat="false" ht="19.5" hidden="false" customHeight="true" outlineLevel="0" collapsed="false">
      <c r="B153" s="19"/>
      <c r="C153" s="21"/>
      <c r="D153" s="21"/>
      <c r="E153" s="21"/>
      <c r="F153" s="22"/>
      <c r="G153" s="29"/>
      <c r="H153" s="21"/>
      <c r="I153" s="30" t="str">
        <f aca="false">IF(OR($G153="",$H153="",NOT(ISNUMBER($G153))),"",IF($H153="Maund",ROUND($G153/37.32,2),$G153))</f>
        <v/>
      </c>
      <c r="J153" s="22"/>
    </row>
    <row r="154" customFormat="false" ht="19.5" hidden="false" customHeight="true" outlineLevel="0" collapsed="false">
      <c r="B154" s="19"/>
      <c r="C154" s="21"/>
      <c r="D154" s="21"/>
      <c r="E154" s="21"/>
      <c r="F154" s="22"/>
      <c r="G154" s="29"/>
      <c r="H154" s="21"/>
      <c r="I154" s="30" t="str">
        <f aca="false">IF(OR($G154="",$H154="",NOT(ISNUMBER($G154))),"",IF($H154="Maund",ROUND($G154/37.32,2),$G154))</f>
        <v/>
      </c>
      <c r="J154" s="22"/>
    </row>
    <row r="155" customFormat="false" ht="19.5" hidden="false" customHeight="true" outlineLevel="0" collapsed="false">
      <c r="B155" s="19"/>
      <c r="C155" s="21"/>
      <c r="D155" s="21"/>
      <c r="E155" s="21"/>
      <c r="F155" s="22"/>
      <c r="G155" s="29"/>
      <c r="H155" s="21"/>
      <c r="I155" s="30" t="str">
        <f aca="false">IF(OR($G155="",$H155="",NOT(ISNUMBER($G155))),"",IF($H155="Maund",ROUND($G155/37.32,2),$G155))</f>
        <v/>
      </c>
      <c r="J155" s="22"/>
    </row>
    <row r="156" customFormat="false" ht="19.5" hidden="false" customHeight="true" outlineLevel="0" collapsed="false">
      <c r="B156" s="19"/>
      <c r="C156" s="21"/>
      <c r="D156" s="21"/>
      <c r="E156" s="21"/>
      <c r="F156" s="22"/>
      <c r="G156" s="29"/>
      <c r="H156" s="21"/>
      <c r="I156" s="30" t="str">
        <f aca="false">IF(OR($G156="",$H156="",NOT(ISNUMBER($G156))),"",IF($H156="Maund",ROUND($G156/37.32,2),$G156))</f>
        <v/>
      </c>
      <c r="J156" s="22"/>
    </row>
    <row r="157" customFormat="false" ht="19.5" hidden="false" customHeight="true" outlineLevel="0" collapsed="false">
      <c r="B157" s="19"/>
      <c r="C157" s="21"/>
      <c r="D157" s="21"/>
      <c r="E157" s="21"/>
      <c r="F157" s="22"/>
      <c r="G157" s="29"/>
      <c r="H157" s="21"/>
      <c r="I157" s="30" t="str">
        <f aca="false">IF(OR($G157="",$H157="",NOT(ISNUMBER($G157))),"",IF($H157="Maund",ROUND($G157/37.32,2),$G157))</f>
        <v/>
      </c>
      <c r="J157" s="22"/>
    </row>
    <row r="158" customFormat="false" ht="19.5" hidden="false" customHeight="true" outlineLevel="0" collapsed="false">
      <c r="B158" s="19"/>
      <c r="C158" s="21"/>
      <c r="D158" s="21"/>
      <c r="E158" s="21"/>
      <c r="F158" s="22"/>
      <c r="G158" s="29"/>
      <c r="H158" s="21"/>
      <c r="I158" s="30" t="str">
        <f aca="false">IF(OR($G158="",$H158="",NOT(ISNUMBER($G158))),"",IF($H158="Maund",ROUND($G158/37.32,2),$G158))</f>
        <v/>
      </c>
      <c r="J158" s="22"/>
    </row>
    <row r="159" customFormat="false" ht="19.5" hidden="false" customHeight="true" outlineLevel="0" collapsed="false">
      <c r="B159" s="19"/>
      <c r="C159" s="21"/>
      <c r="D159" s="21"/>
      <c r="E159" s="21"/>
      <c r="F159" s="22"/>
      <c r="G159" s="29"/>
      <c r="H159" s="21"/>
      <c r="I159" s="30" t="str">
        <f aca="false">IF(OR($G159="",$H159="",NOT(ISNUMBER($G159))),"",IF($H159="Maund",ROUND($G159/37.32,2),$G159))</f>
        <v/>
      </c>
      <c r="J159" s="22"/>
    </row>
    <row r="160" customFormat="false" ht="19.5" hidden="false" customHeight="true" outlineLevel="0" collapsed="false">
      <c r="B160" s="19"/>
      <c r="C160" s="21"/>
      <c r="D160" s="21"/>
      <c r="E160" s="21"/>
      <c r="F160" s="22"/>
      <c r="G160" s="29"/>
      <c r="H160" s="21"/>
      <c r="I160" s="30" t="str">
        <f aca="false">IF(OR($G160="",$H160="",NOT(ISNUMBER($G160))),"",IF($H160="Maund",ROUND($G160/37.32,2),$G160))</f>
        <v/>
      </c>
      <c r="J160" s="22"/>
    </row>
    <row r="161" customFormat="false" ht="19.5" hidden="false" customHeight="true" outlineLevel="0" collapsed="false">
      <c r="B161" s="19"/>
      <c r="C161" s="21"/>
      <c r="D161" s="21"/>
      <c r="E161" s="21"/>
      <c r="F161" s="22"/>
      <c r="G161" s="29"/>
      <c r="H161" s="21"/>
      <c r="I161" s="30" t="str">
        <f aca="false">IF(OR($G161="",$H161="",NOT(ISNUMBER($G161))),"",IF($H161="Maund",ROUND($G161/37.32,2),$G161))</f>
        <v/>
      </c>
      <c r="J161" s="22"/>
    </row>
    <row r="162" customFormat="false" ht="19.5" hidden="false" customHeight="true" outlineLevel="0" collapsed="false">
      <c r="B162" s="19"/>
      <c r="C162" s="21"/>
      <c r="D162" s="21"/>
      <c r="E162" s="21"/>
      <c r="F162" s="22"/>
      <c r="G162" s="29"/>
      <c r="H162" s="21"/>
      <c r="I162" s="30" t="str">
        <f aca="false">IF(OR($G162="",$H162="",NOT(ISNUMBER($G162))),"",IF($H162="Maund",ROUND($G162/37.32,2),$G162))</f>
        <v/>
      </c>
      <c r="J162" s="22"/>
    </row>
    <row r="163" customFormat="false" ht="19.5" hidden="false" customHeight="true" outlineLevel="0" collapsed="false">
      <c r="B163" s="19"/>
      <c r="C163" s="21"/>
      <c r="D163" s="21"/>
      <c r="E163" s="21"/>
      <c r="F163" s="22"/>
      <c r="G163" s="29"/>
      <c r="H163" s="21"/>
      <c r="I163" s="30" t="str">
        <f aca="false">IF(OR($G163="",$H163="",NOT(ISNUMBER($G163))),"",IF($H163="Maund",ROUND($G163/37.32,2),$G163))</f>
        <v/>
      </c>
      <c r="J163" s="22"/>
    </row>
    <row r="164" customFormat="false" ht="19.5" hidden="false" customHeight="true" outlineLevel="0" collapsed="false">
      <c r="B164" s="19"/>
      <c r="C164" s="21"/>
      <c r="D164" s="21"/>
      <c r="E164" s="21"/>
      <c r="F164" s="22"/>
      <c r="G164" s="29"/>
      <c r="H164" s="21"/>
      <c r="I164" s="30" t="str">
        <f aca="false">IF(OR($G164="",$H164="",NOT(ISNUMBER($G164))),"",IF($H164="Maund",ROUND($G164/37.32,2),$G164))</f>
        <v/>
      </c>
      <c r="J164" s="22"/>
    </row>
    <row r="165" customFormat="false" ht="19.5" hidden="false" customHeight="true" outlineLevel="0" collapsed="false">
      <c r="B165" s="19"/>
      <c r="C165" s="21"/>
      <c r="D165" s="21"/>
      <c r="E165" s="21"/>
      <c r="F165" s="22"/>
      <c r="G165" s="29"/>
      <c r="H165" s="21"/>
      <c r="I165" s="30" t="str">
        <f aca="false">IF(OR($G165="",$H165="",NOT(ISNUMBER($G165))),"",IF($H165="Maund",ROUND($G165/37.32,2),$G165))</f>
        <v/>
      </c>
      <c r="J165" s="22"/>
    </row>
    <row r="166" customFormat="false" ht="19.5" hidden="false" customHeight="true" outlineLevel="0" collapsed="false">
      <c r="B166" s="19"/>
      <c r="C166" s="21"/>
      <c r="D166" s="21"/>
      <c r="E166" s="21"/>
      <c r="F166" s="22"/>
      <c r="G166" s="29"/>
      <c r="H166" s="21"/>
      <c r="I166" s="30" t="str">
        <f aca="false">IF(OR($G166="",$H166="",NOT(ISNUMBER($G166))),"",IF($H166="Maund",ROUND($G166/37.32,2),$G166))</f>
        <v/>
      </c>
      <c r="J166" s="22"/>
    </row>
    <row r="167" customFormat="false" ht="19.5" hidden="false" customHeight="true" outlineLevel="0" collapsed="false">
      <c r="B167" s="19"/>
      <c r="C167" s="21"/>
      <c r="D167" s="21"/>
      <c r="E167" s="21"/>
      <c r="F167" s="22"/>
      <c r="G167" s="29"/>
      <c r="H167" s="21"/>
      <c r="I167" s="30" t="str">
        <f aca="false">IF(OR($G167="",$H167="",NOT(ISNUMBER($G167))),"",IF($H167="Maund",ROUND($G167/37.32,2),$G167))</f>
        <v/>
      </c>
      <c r="J167" s="22"/>
    </row>
    <row r="168" customFormat="false" ht="19.5" hidden="false" customHeight="true" outlineLevel="0" collapsed="false">
      <c r="B168" s="19"/>
      <c r="C168" s="21"/>
      <c r="D168" s="21"/>
      <c r="E168" s="21"/>
      <c r="F168" s="22"/>
      <c r="G168" s="29"/>
      <c r="H168" s="21"/>
      <c r="I168" s="30" t="str">
        <f aca="false">IF(OR($G168="",$H168="",NOT(ISNUMBER($G168))),"",IF($H168="Maund",ROUND($G168/37.32,2),$G168))</f>
        <v/>
      </c>
      <c r="J168" s="22"/>
    </row>
    <row r="169" customFormat="false" ht="19.5" hidden="false" customHeight="true" outlineLevel="0" collapsed="false">
      <c r="B169" s="19"/>
      <c r="C169" s="21"/>
      <c r="D169" s="21"/>
      <c r="E169" s="21"/>
      <c r="F169" s="22"/>
      <c r="G169" s="29"/>
      <c r="H169" s="21"/>
      <c r="I169" s="30" t="str">
        <f aca="false">IF(OR($G169="",$H169="",NOT(ISNUMBER($G169))),"",IF($H169="Maund",ROUND($G169/37.32,2),$G169))</f>
        <v/>
      </c>
      <c r="J169" s="22"/>
    </row>
    <row r="170" customFormat="false" ht="19.5" hidden="false" customHeight="true" outlineLevel="0" collapsed="false">
      <c r="B170" s="19"/>
      <c r="C170" s="21"/>
      <c r="D170" s="21"/>
      <c r="E170" s="21"/>
      <c r="F170" s="22"/>
      <c r="G170" s="29"/>
      <c r="H170" s="21"/>
      <c r="I170" s="30" t="str">
        <f aca="false">IF(OR($G170="",$H170="",NOT(ISNUMBER($G170))),"",IF($H170="Maund",ROUND($G170/37.32,2),$G170))</f>
        <v/>
      </c>
      <c r="J170" s="22"/>
    </row>
    <row r="171" customFormat="false" ht="19.5" hidden="false" customHeight="true" outlineLevel="0" collapsed="false">
      <c r="B171" s="19"/>
      <c r="C171" s="21"/>
      <c r="D171" s="21"/>
      <c r="E171" s="21"/>
      <c r="F171" s="22"/>
      <c r="G171" s="29"/>
      <c r="H171" s="21"/>
      <c r="I171" s="30" t="str">
        <f aca="false">IF(OR($G171="",$H171="",NOT(ISNUMBER($G171))),"",IF($H171="Maund",ROUND($G171/37.32,2),$G171))</f>
        <v/>
      </c>
      <c r="J171" s="22"/>
    </row>
    <row r="172" customFormat="false" ht="19.5" hidden="false" customHeight="true" outlineLevel="0" collapsed="false">
      <c r="B172" s="19"/>
      <c r="C172" s="21"/>
      <c r="D172" s="21"/>
      <c r="E172" s="21"/>
      <c r="F172" s="22"/>
      <c r="G172" s="29"/>
      <c r="H172" s="21"/>
      <c r="I172" s="30" t="str">
        <f aca="false">IF(OR($G172="",$H172="",NOT(ISNUMBER($G172))),"",IF($H172="Maund",ROUND($G172/37.32,2),$G172))</f>
        <v/>
      </c>
      <c r="J172" s="22"/>
    </row>
    <row r="173" customFormat="false" ht="19.5" hidden="false" customHeight="true" outlineLevel="0" collapsed="false">
      <c r="B173" s="19"/>
      <c r="C173" s="21"/>
      <c r="D173" s="21"/>
      <c r="E173" s="21"/>
      <c r="F173" s="22"/>
      <c r="G173" s="29"/>
      <c r="H173" s="21"/>
      <c r="I173" s="30" t="str">
        <f aca="false">IF(OR($G173="",$H173="",NOT(ISNUMBER($G173))),"",IF($H173="Maund",ROUND($G173/37.32,2),$G173))</f>
        <v/>
      </c>
      <c r="J173" s="22"/>
    </row>
    <row r="174" customFormat="false" ht="19.5" hidden="false" customHeight="true" outlineLevel="0" collapsed="false">
      <c r="B174" s="19"/>
      <c r="C174" s="21"/>
      <c r="D174" s="21"/>
      <c r="E174" s="21"/>
      <c r="F174" s="22"/>
      <c r="G174" s="29"/>
      <c r="H174" s="21"/>
      <c r="I174" s="30" t="str">
        <f aca="false">IF(OR($G174="",$H174="",NOT(ISNUMBER($G174))),"",IF($H174="Maund",ROUND($G174/37.32,2),$G174))</f>
        <v/>
      </c>
      <c r="J174" s="22"/>
    </row>
    <row r="175" customFormat="false" ht="19.5" hidden="false" customHeight="true" outlineLevel="0" collapsed="false">
      <c r="B175" s="19"/>
      <c r="C175" s="21"/>
      <c r="D175" s="21"/>
      <c r="E175" s="21"/>
      <c r="F175" s="22"/>
      <c r="G175" s="29"/>
      <c r="H175" s="21"/>
      <c r="I175" s="30" t="str">
        <f aca="false">IF(OR($G175="",$H175="",NOT(ISNUMBER($G175))),"",IF($H175="Maund",ROUND($G175/37.32,2),$G175))</f>
        <v/>
      </c>
      <c r="J175" s="22"/>
    </row>
    <row r="176" customFormat="false" ht="19.5" hidden="false" customHeight="true" outlineLevel="0" collapsed="false">
      <c r="B176" s="19"/>
      <c r="C176" s="21"/>
      <c r="D176" s="21"/>
      <c r="E176" s="21"/>
      <c r="F176" s="22"/>
      <c r="G176" s="29"/>
      <c r="H176" s="21"/>
      <c r="I176" s="30" t="str">
        <f aca="false">IF(OR($G176="",$H176="",NOT(ISNUMBER($G176))),"",IF($H176="Maund",ROUND($G176/37.32,2),$G176))</f>
        <v/>
      </c>
      <c r="J176" s="22"/>
    </row>
    <row r="177" customFormat="false" ht="19.5" hidden="false" customHeight="true" outlineLevel="0" collapsed="false">
      <c r="B177" s="19"/>
      <c r="C177" s="21"/>
      <c r="D177" s="21"/>
      <c r="E177" s="21"/>
      <c r="F177" s="22"/>
      <c r="G177" s="29"/>
      <c r="H177" s="21"/>
      <c r="I177" s="30" t="str">
        <f aca="false">IF(OR($G177="",$H177="",NOT(ISNUMBER($G177))),"",IF($H177="Maund",ROUND($G177/37.32,2),$G177))</f>
        <v/>
      </c>
      <c r="J177" s="22"/>
    </row>
    <row r="178" customFormat="false" ht="19.5" hidden="false" customHeight="true" outlineLevel="0" collapsed="false">
      <c r="B178" s="19"/>
      <c r="C178" s="21"/>
      <c r="D178" s="21"/>
      <c r="E178" s="21"/>
      <c r="F178" s="22"/>
      <c r="G178" s="29"/>
      <c r="H178" s="21"/>
      <c r="I178" s="30" t="str">
        <f aca="false">IF(OR($G178="",$H178="",NOT(ISNUMBER($G178))),"",IF($H178="Maund",ROUND($G178/37.32,2),$G178))</f>
        <v/>
      </c>
      <c r="J178" s="22"/>
    </row>
    <row r="179" customFormat="false" ht="19.5" hidden="false" customHeight="true" outlineLevel="0" collapsed="false">
      <c r="B179" s="19"/>
      <c r="C179" s="21"/>
      <c r="D179" s="21"/>
      <c r="E179" s="21"/>
      <c r="F179" s="22"/>
      <c r="G179" s="29"/>
      <c r="H179" s="21"/>
      <c r="I179" s="30" t="str">
        <f aca="false">IF(OR($G179="",$H179="",NOT(ISNUMBER($G179))),"",IF($H179="Maund",ROUND($G179/37.32,2),$G179))</f>
        <v/>
      </c>
      <c r="J179" s="22"/>
    </row>
    <row r="180" customFormat="false" ht="19.5" hidden="false" customHeight="true" outlineLevel="0" collapsed="false">
      <c r="B180" s="19"/>
      <c r="C180" s="21"/>
      <c r="D180" s="21"/>
      <c r="E180" s="21"/>
      <c r="F180" s="22"/>
      <c r="G180" s="29"/>
      <c r="H180" s="21"/>
      <c r="I180" s="30" t="str">
        <f aca="false">IF(OR($G180="",$H180="",NOT(ISNUMBER($G180))),"",IF($H180="Maund",ROUND($G180/37.32,2),$G180))</f>
        <v/>
      </c>
      <c r="J180" s="22"/>
    </row>
    <row r="181" customFormat="false" ht="19.5" hidden="false" customHeight="true" outlineLevel="0" collapsed="false">
      <c r="B181" s="19"/>
      <c r="C181" s="21"/>
      <c r="D181" s="21"/>
      <c r="E181" s="21"/>
      <c r="F181" s="22"/>
      <c r="G181" s="29"/>
      <c r="H181" s="21"/>
      <c r="I181" s="30" t="str">
        <f aca="false">IF(OR($G181="",$H181="",NOT(ISNUMBER($G181))),"",IF($H181="Maund",ROUND($G181/37.32,2),$G181))</f>
        <v/>
      </c>
      <c r="J181" s="22"/>
    </row>
    <row r="182" customFormat="false" ht="19.5" hidden="false" customHeight="true" outlineLevel="0" collapsed="false">
      <c r="B182" s="19"/>
      <c r="C182" s="21"/>
      <c r="D182" s="21"/>
      <c r="E182" s="21"/>
      <c r="F182" s="22"/>
      <c r="G182" s="29"/>
      <c r="H182" s="21"/>
      <c r="I182" s="30" t="str">
        <f aca="false">IF(OR($G182="",$H182="",NOT(ISNUMBER($G182))),"",IF($H182="Maund",ROUND($G182/37.32,2),$G182))</f>
        <v/>
      </c>
      <c r="J182" s="22"/>
    </row>
    <row r="183" customFormat="false" ht="19.5" hidden="false" customHeight="true" outlineLevel="0" collapsed="false">
      <c r="B183" s="19"/>
      <c r="C183" s="21"/>
      <c r="D183" s="21"/>
      <c r="E183" s="21"/>
      <c r="F183" s="22"/>
      <c r="G183" s="29"/>
      <c r="H183" s="21"/>
      <c r="I183" s="30" t="str">
        <f aca="false">IF(OR($G183="",$H183="",NOT(ISNUMBER($G183))),"",IF($H183="Maund",ROUND($G183/37.32,2),$G183))</f>
        <v/>
      </c>
      <c r="J183" s="22"/>
    </row>
    <row r="184" customFormat="false" ht="19.5" hidden="false" customHeight="true" outlineLevel="0" collapsed="false">
      <c r="B184" s="19"/>
      <c r="C184" s="21"/>
      <c r="D184" s="21"/>
      <c r="E184" s="21"/>
      <c r="F184" s="22"/>
      <c r="G184" s="29"/>
      <c r="H184" s="21"/>
      <c r="I184" s="30" t="str">
        <f aca="false">IF(OR($G184="",$H184="",NOT(ISNUMBER($G184))),"",IF($H184="Maund",ROUND($G184/37.32,2),$G184))</f>
        <v/>
      </c>
      <c r="J184" s="22"/>
    </row>
    <row r="185" customFormat="false" ht="19.5" hidden="false" customHeight="true" outlineLevel="0" collapsed="false">
      <c r="B185" s="19"/>
      <c r="C185" s="21"/>
      <c r="D185" s="21"/>
      <c r="E185" s="21"/>
      <c r="F185" s="22"/>
      <c r="G185" s="29"/>
      <c r="H185" s="21"/>
      <c r="I185" s="30" t="str">
        <f aca="false">IF(OR($G185="",$H185="",NOT(ISNUMBER($G185))),"",IF($H185="Maund",ROUND($G185/37.32,2),$G185))</f>
        <v/>
      </c>
      <c r="J185" s="22"/>
    </row>
    <row r="186" customFormat="false" ht="19.5" hidden="false" customHeight="true" outlineLevel="0" collapsed="false">
      <c r="B186" s="19"/>
      <c r="C186" s="21"/>
      <c r="D186" s="21"/>
      <c r="E186" s="21"/>
      <c r="F186" s="22"/>
      <c r="G186" s="29"/>
      <c r="H186" s="21"/>
      <c r="I186" s="30" t="str">
        <f aca="false">IF(OR($G186="",$H186="",NOT(ISNUMBER($G186))),"",IF($H186="Maund",ROUND($G186/37.32,2),$G186))</f>
        <v/>
      </c>
      <c r="J186" s="22"/>
    </row>
    <row r="187" customFormat="false" ht="19.5" hidden="false" customHeight="true" outlineLevel="0" collapsed="false">
      <c r="B187" s="19"/>
      <c r="C187" s="21"/>
      <c r="D187" s="21"/>
      <c r="E187" s="21"/>
      <c r="F187" s="22"/>
      <c r="G187" s="29"/>
      <c r="H187" s="21"/>
      <c r="I187" s="30" t="str">
        <f aca="false">IF(OR($G187="",$H187="",NOT(ISNUMBER($G187))),"",IF($H187="Maund",ROUND($G187/37.32,2),$G187))</f>
        <v/>
      </c>
      <c r="J187" s="22"/>
    </row>
    <row r="188" customFormat="false" ht="19.5" hidden="false" customHeight="true" outlineLevel="0" collapsed="false">
      <c r="B188" s="19"/>
      <c r="C188" s="21"/>
      <c r="D188" s="21"/>
      <c r="E188" s="21"/>
      <c r="F188" s="22"/>
      <c r="G188" s="29"/>
      <c r="H188" s="21"/>
      <c r="I188" s="30" t="str">
        <f aca="false">IF(OR($G188="",$H188="",NOT(ISNUMBER($G188))),"",IF($H188="Maund",ROUND($G188/37.32,2),$G188))</f>
        <v/>
      </c>
      <c r="J188" s="22"/>
    </row>
    <row r="189" customFormat="false" ht="19.5" hidden="false" customHeight="true" outlineLevel="0" collapsed="false">
      <c r="B189" s="19"/>
      <c r="C189" s="21"/>
      <c r="D189" s="21"/>
      <c r="E189" s="21"/>
      <c r="F189" s="22"/>
      <c r="G189" s="29"/>
      <c r="H189" s="21"/>
      <c r="I189" s="30" t="str">
        <f aca="false">IF(OR($G189="",$H189="",NOT(ISNUMBER($G189))),"",IF($H189="Maund",ROUND($G189/37.32,2),$G189))</f>
        <v/>
      </c>
      <c r="J189" s="22"/>
    </row>
    <row r="190" customFormat="false" ht="19.5" hidden="false" customHeight="true" outlineLevel="0" collapsed="false">
      <c r="B190" s="19"/>
      <c r="C190" s="21"/>
      <c r="D190" s="21"/>
      <c r="E190" s="21"/>
      <c r="F190" s="22"/>
      <c r="G190" s="29"/>
      <c r="H190" s="21"/>
      <c r="I190" s="30" t="str">
        <f aca="false">IF(OR($G190="",$H190="",NOT(ISNUMBER($G190))),"",IF($H190="Maund",ROUND($G190/37.32,2),$G190))</f>
        <v/>
      </c>
      <c r="J190" s="22"/>
    </row>
    <row r="191" customFormat="false" ht="19.5" hidden="false" customHeight="true" outlineLevel="0" collapsed="false">
      <c r="B191" s="19"/>
      <c r="C191" s="21"/>
      <c r="D191" s="21"/>
      <c r="E191" s="21"/>
      <c r="F191" s="22"/>
      <c r="G191" s="29"/>
      <c r="H191" s="21"/>
      <c r="I191" s="30" t="str">
        <f aca="false">IF(OR($G191="",$H191="",NOT(ISNUMBER($G191))),"",IF($H191="Maund",ROUND($G191/37.32,2),$G191))</f>
        <v/>
      </c>
      <c r="J191" s="22"/>
    </row>
    <row r="192" customFormat="false" ht="19.5" hidden="false" customHeight="true" outlineLevel="0" collapsed="false">
      <c r="B192" s="19"/>
      <c r="C192" s="21"/>
      <c r="D192" s="21"/>
      <c r="E192" s="21"/>
      <c r="F192" s="22"/>
      <c r="G192" s="29"/>
      <c r="H192" s="21"/>
      <c r="I192" s="30" t="str">
        <f aca="false">IF(OR($G192="",$H192="",NOT(ISNUMBER($G192))),"",IF($H192="Maund",ROUND($G192/37.32,2),$G192))</f>
        <v/>
      </c>
      <c r="J192" s="22"/>
    </row>
    <row r="193" customFormat="false" ht="19.5" hidden="false" customHeight="true" outlineLevel="0" collapsed="false">
      <c r="B193" s="19"/>
      <c r="C193" s="21"/>
      <c r="D193" s="21"/>
      <c r="E193" s="21"/>
      <c r="F193" s="22"/>
      <c r="G193" s="29"/>
      <c r="H193" s="21"/>
      <c r="I193" s="30" t="str">
        <f aca="false">IF(OR($G193="",$H193="",NOT(ISNUMBER($G193))),"",IF($H193="Maund",ROUND($G193/37.32,2),$G193))</f>
        <v/>
      </c>
      <c r="J193" s="22"/>
    </row>
    <row r="194" customFormat="false" ht="19.5" hidden="false" customHeight="true" outlineLevel="0" collapsed="false">
      <c r="B194" s="19"/>
      <c r="C194" s="21"/>
      <c r="D194" s="21"/>
      <c r="E194" s="21"/>
      <c r="F194" s="22"/>
      <c r="G194" s="29"/>
      <c r="H194" s="21"/>
      <c r="I194" s="30" t="str">
        <f aca="false">IF(OR($G194="",$H194="",NOT(ISNUMBER($G194))),"",IF($H194="Maund",ROUND($G194/37.32,2),$G194))</f>
        <v/>
      </c>
      <c r="J194" s="22"/>
    </row>
    <row r="195" customFormat="false" ht="19.5" hidden="false" customHeight="true" outlineLevel="0" collapsed="false">
      <c r="B195" s="19"/>
      <c r="C195" s="21"/>
      <c r="D195" s="21"/>
      <c r="E195" s="21"/>
      <c r="F195" s="22"/>
      <c r="G195" s="29"/>
      <c r="H195" s="21"/>
      <c r="I195" s="30" t="str">
        <f aca="false">IF(OR($G195="",$H195="",NOT(ISNUMBER($G195))),"",IF($H195="Maund",ROUND($G195/37.32,2),$G195))</f>
        <v/>
      </c>
      <c r="J195" s="22"/>
    </row>
    <row r="196" customFormat="false" ht="19.5" hidden="false" customHeight="true" outlineLevel="0" collapsed="false">
      <c r="B196" s="19"/>
      <c r="C196" s="21"/>
      <c r="D196" s="21"/>
      <c r="E196" s="21"/>
      <c r="F196" s="22"/>
      <c r="G196" s="29"/>
      <c r="H196" s="21"/>
      <c r="I196" s="30" t="str">
        <f aca="false">IF(OR($G196="",$H196="",NOT(ISNUMBER($G196))),"",IF($H196="Maund",ROUND($G196/37.32,2),$G196))</f>
        <v/>
      </c>
      <c r="J196" s="22"/>
    </row>
    <row r="197" customFormat="false" ht="19.5" hidden="false" customHeight="true" outlineLevel="0" collapsed="false">
      <c r="B197" s="19"/>
      <c r="C197" s="21"/>
      <c r="D197" s="21"/>
      <c r="E197" s="21"/>
      <c r="F197" s="22"/>
      <c r="G197" s="29"/>
      <c r="H197" s="21"/>
      <c r="I197" s="30" t="str">
        <f aca="false">IF(OR($G197="",$H197="",NOT(ISNUMBER($G197))),"",IF($H197="Maund",ROUND($G197/37.32,2),$G197))</f>
        <v/>
      </c>
      <c r="J197" s="22"/>
    </row>
    <row r="198" customFormat="false" ht="19.5" hidden="false" customHeight="true" outlineLevel="0" collapsed="false">
      <c r="B198" s="19"/>
      <c r="C198" s="21"/>
      <c r="D198" s="21"/>
      <c r="E198" s="21"/>
      <c r="F198" s="22"/>
      <c r="G198" s="29"/>
      <c r="H198" s="21"/>
      <c r="I198" s="30" t="str">
        <f aca="false">IF(OR($G198="",$H198="",NOT(ISNUMBER($G198))),"",IF($H198="Maund",ROUND($G198/37.32,2),$G198))</f>
        <v/>
      </c>
      <c r="J198" s="22"/>
    </row>
    <row r="199" customFormat="false" ht="19.5" hidden="false" customHeight="true" outlineLevel="0" collapsed="false">
      <c r="B199" s="19"/>
      <c r="C199" s="21"/>
      <c r="D199" s="21"/>
      <c r="E199" s="21"/>
      <c r="F199" s="22"/>
      <c r="G199" s="29"/>
      <c r="H199" s="21"/>
      <c r="I199" s="30" t="str">
        <f aca="false">IF(OR($G199="",$H199="",NOT(ISNUMBER($G199))),"",IF($H199="Maund",ROUND($G199/37.32,2),$G199))</f>
        <v/>
      </c>
      <c r="J199" s="22"/>
    </row>
    <row r="200" customFormat="false" ht="19.5" hidden="false" customHeight="true" outlineLevel="0" collapsed="false">
      <c r="B200" s="19"/>
      <c r="C200" s="21"/>
      <c r="D200" s="21"/>
      <c r="E200" s="21"/>
      <c r="F200" s="22"/>
      <c r="G200" s="29"/>
      <c r="H200" s="21"/>
      <c r="I200" s="30" t="str">
        <f aca="false">IF(OR($G200="",$H200="",NOT(ISNUMBER($G200))),"",IF($H200="Maund",ROUND($G200/37.32,2),$G200))</f>
        <v/>
      </c>
      <c r="J200" s="22"/>
    </row>
    <row r="201" customFormat="false" ht="19.5" hidden="false" customHeight="true" outlineLevel="0" collapsed="false">
      <c r="B201" s="19"/>
      <c r="C201" s="21"/>
      <c r="D201" s="21"/>
      <c r="E201" s="21"/>
      <c r="F201" s="22"/>
      <c r="G201" s="29"/>
      <c r="H201" s="21"/>
      <c r="I201" s="30" t="str">
        <f aca="false">IF(OR($G201="",$H201="",NOT(ISNUMBER($G201))),"",IF($H201="Maund",ROUND($G201/37.32,2),$G201))</f>
        <v/>
      </c>
      <c r="J201" s="22"/>
    </row>
    <row r="202" customFormat="false" ht="19.5" hidden="false" customHeight="true" outlineLevel="0" collapsed="false">
      <c r="B202" s="19"/>
      <c r="C202" s="21"/>
      <c r="D202" s="21"/>
      <c r="E202" s="21"/>
      <c r="F202" s="22"/>
      <c r="G202" s="29"/>
      <c r="H202" s="21"/>
      <c r="I202" s="30" t="str">
        <f aca="false">IF(OR($G202="",$H202="",NOT(ISNUMBER($G202))),"",IF($H202="Maund",ROUND($G202/37.32,2),$G202))</f>
        <v/>
      </c>
      <c r="J202" s="22"/>
    </row>
    <row r="203" customFormat="false" ht="19.5" hidden="false" customHeight="true" outlineLevel="0" collapsed="false">
      <c r="B203" s="19"/>
      <c r="C203" s="21"/>
      <c r="D203" s="21"/>
      <c r="E203" s="21"/>
      <c r="F203" s="22"/>
      <c r="G203" s="29"/>
      <c r="H203" s="21"/>
      <c r="I203" s="30" t="str">
        <f aca="false">IF(OR($G203="",$H203="",NOT(ISNUMBER($G203))),"",IF($H203="Maund",ROUND($G203/37.32,2),$G203))</f>
        <v/>
      </c>
      <c r="J203" s="22"/>
    </row>
    <row r="204" customFormat="false" ht="19.5" hidden="false" customHeight="true" outlineLevel="0" collapsed="false">
      <c r="B204" s="19"/>
      <c r="C204" s="21"/>
      <c r="D204" s="21"/>
      <c r="E204" s="21"/>
      <c r="F204" s="22"/>
      <c r="G204" s="29"/>
      <c r="H204" s="21"/>
      <c r="I204" s="30" t="str">
        <f aca="false">IF(OR($G204="",$H204="",NOT(ISNUMBER($G204))),"",IF($H204="Maund",ROUND($G204/37.32,2),$G204))</f>
        <v/>
      </c>
      <c r="J204" s="22"/>
    </row>
    <row r="205" customFormat="false" ht="19.5" hidden="false" customHeight="true" outlineLevel="0" collapsed="false">
      <c r="B205" s="19"/>
      <c r="C205" s="21"/>
      <c r="D205" s="21"/>
      <c r="E205" s="21"/>
      <c r="F205" s="22"/>
      <c r="G205" s="29"/>
      <c r="H205" s="21"/>
      <c r="I205" s="30" t="str">
        <f aca="false">IF(OR($G205="",$H205="",NOT(ISNUMBER($G205))),"",IF($H205="Maund",ROUND($G205/37.32,2),$G205))</f>
        <v/>
      </c>
      <c r="J205" s="22"/>
    </row>
    <row r="206" customFormat="false" ht="19.5" hidden="false" customHeight="true" outlineLevel="0" collapsed="false">
      <c r="B206" s="19"/>
      <c r="C206" s="21"/>
      <c r="D206" s="21"/>
      <c r="E206" s="21"/>
      <c r="F206" s="22"/>
      <c r="G206" s="29"/>
      <c r="H206" s="21"/>
      <c r="I206" s="30" t="str">
        <f aca="false">IF(OR($G206="",$H206="",NOT(ISNUMBER($G206))),"",IF($H206="Maund",ROUND($G206/37.32,2),$G206))</f>
        <v/>
      </c>
      <c r="J206" s="22"/>
    </row>
    <row r="207" customFormat="false" ht="19.5" hidden="false" customHeight="true" outlineLevel="0" collapsed="false">
      <c r="B207" s="19"/>
      <c r="C207" s="21"/>
      <c r="D207" s="21"/>
      <c r="E207" s="21"/>
      <c r="F207" s="22"/>
      <c r="G207" s="29"/>
      <c r="H207" s="21"/>
      <c r="I207" s="30" t="str">
        <f aca="false">IF(OR($G207="",$H207="",NOT(ISNUMBER($G207))),"",IF($H207="Maund",ROUND($G207/37.32,2),$G207))</f>
        <v/>
      </c>
      <c r="J207" s="22"/>
    </row>
    <row r="208" customFormat="false" ht="19.5" hidden="false" customHeight="true" outlineLevel="0" collapsed="false">
      <c r="B208" s="19"/>
      <c r="C208" s="21"/>
      <c r="D208" s="21"/>
      <c r="E208" s="21"/>
      <c r="F208" s="22"/>
      <c r="G208" s="29"/>
      <c r="H208" s="21"/>
      <c r="I208" s="30" t="str">
        <f aca="false">IF(OR($G208="",$H208="",NOT(ISNUMBER($G208))),"",IF($H208="Maund",ROUND($G208/37.32,2),$G208))</f>
        <v/>
      </c>
      <c r="J208" s="22"/>
    </row>
    <row r="209" customFormat="false" ht="19.5" hidden="false" customHeight="true" outlineLevel="0" collapsed="false">
      <c r="B209" s="19"/>
      <c r="C209" s="21"/>
      <c r="D209" s="21"/>
      <c r="E209" s="21"/>
      <c r="F209" s="22"/>
      <c r="G209" s="29"/>
      <c r="H209" s="21"/>
      <c r="I209" s="30" t="str">
        <f aca="false">IF(OR($G209="",$H209="",NOT(ISNUMBER($G209))),"",IF($H209="Maund",ROUND($G209/37.32,2),$G209))</f>
        <v/>
      </c>
      <c r="J209" s="22"/>
    </row>
    <row r="210" customFormat="false" ht="19.5" hidden="false" customHeight="true" outlineLevel="0" collapsed="false">
      <c r="B210" s="19"/>
      <c r="C210" s="21"/>
      <c r="D210" s="21"/>
      <c r="E210" s="21"/>
      <c r="F210" s="22"/>
      <c r="G210" s="29"/>
      <c r="H210" s="21"/>
      <c r="I210" s="30" t="str">
        <f aca="false">IF(OR($G210="",$H210="",NOT(ISNUMBER($G210))),"",IF($H210="Maund",ROUND($G210/37.32,2),$G210))</f>
        <v/>
      </c>
      <c r="J210" s="22"/>
    </row>
    <row r="211" customFormat="false" ht="19.5" hidden="false" customHeight="true" outlineLevel="0" collapsed="false">
      <c r="B211" s="19"/>
      <c r="C211" s="21"/>
      <c r="D211" s="21"/>
      <c r="E211" s="21"/>
      <c r="F211" s="22"/>
      <c r="G211" s="29"/>
      <c r="H211" s="21"/>
      <c r="I211" s="30" t="str">
        <f aca="false">IF(OR($G211="",$H211="",NOT(ISNUMBER($G211))),"",IF($H211="Maund",ROUND($G211/37.32,2),$G211))</f>
        <v/>
      </c>
      <c r="J211" s="22"/>
    </row>
    <row r="212" customFormat="false" ht="19.5" hidden="false" customHeight="true" outlineLevel="0" collapsed="false">
      <c r="B212" s="19"/>
      <c r="C212" s="21"/>
      <c r="D212" s="21"/>
      <c r="E212" s="21"/>
      <c r="F212" s="22"/>
      <c r="G212" s="29"/>
      <c r="H212" s="21"/>
      <c r="I212" s="30" t="str">
        <f aca="false">IF(OR($G212="",$H212="",NOT(ISNUMBER($G212))),"",IF($H212="Maund",ROUND($G212/37.32,2),$G212))</f>
        <v/>
      </c>
      <c r="J212" s="22"/>
    </row>
    <row r="213" customFormat="false" ht="19.5" hidden="false" customHeight="true" outlineLevel="0" collapsed="false">
      <c r="B213" s="19"/>
      <c r="C213" s="21"/>
      <c r="D213" s="21"/>
      <c r="E213" s="21"/>
      <c r="F213" s="22"/>
      <c r="G213" s="29"/>
      <c r="H213" s="21"/>
      <c r="I213" s="30" t="str">
        <f aca="false">IF(OR($G213="",$H213="",NOT(ISNUMBER($G213))),"",IF($H213="Maund",ROUND($G213/37.32,2),$G213))</f>
        <v/>
      </c>
      <c r="J213" s="22"/>
    </row>
    <row r="214" customFormat="false" ht="19.5" hidden="false" customHeight="true" outlineLevel="0" collapsed="false">
      <c r="B214" s="19"/>
      <c r="C214" s="21"/>
      <c r="D214" s="21"/>
      <c r="E214" s="21"/>
      <c r="F214" s="22"/>
      <c r="G214" s="29"/>
      <c r="H214" s="21"/>
      <c r="I214" s="30" t="str">
        <f aca="false">IF(OR($G214="",$H214="",NOT(ISNUMBER($G214))),"",IF($H214="Maund",ROUND($G214/37.32,2),$G214))</f>
        <v/>
      </c>
      <c r="J214" s="22"/>
    </row>
    <row r="215" customFormat="false" ht="19.5" hidden="false" customHeight="true" outlineLevel="0" collapsed="false">
      <c r="B215" s="19"/>
      <c r="C215" s="21"/>
      <c r="D215" s="21"/>
      <c r="E215" s="21"/>
      <c r="F215" s="22"/>
      <c r="G215" s="29"/>
      <c r="H215" s="21"/>
      <c r="I215" s="30" t="str">
        <f aca="false">IF(OR($G215="",$H215="",NOT(ISNUMBER($G215))),"",IF($H215="Maund",ROUND($G215/37.32,2),$G215))</f>
        <v/>
      </c>
      <c r="J215" s="22"/>
    </row>
    <row r="216" customFormat="false" ht="19.5" hidden="false" customHeight="true" outlineLevel="0" collapsed="false">
      <c r="B216" s="19"/>
      <c r="C216" s="21"/>
      <c r="D216" s="21"/>
      <c r="E216" s="21"/>
      <c r="F216" s="22"/>
      <c r="G216" s="29"/>
      <c r="H216" s="21"/>
      <c r="I216" s="30" t="str">
        <f aca="false">IF(OR($G216="",$H216="",NOT(ISNUMBER($G216))),"",IF($H216="Maund",ROUND($G216/37.32,2),$G216))</f>
        <v/>
      </c>
      <c r="J216" s="22"/>
    </row>
    <row r="217" customFormat="false" ht="19.5" hidden="false" customHeight="true" outlineLevel="0" collapsed="false">
      <c r="B217" s="19"/>
      <c r="C217" s="21"/>
      <c r="D217" s="21"/>
      <c r="E217" s="21"/>
      <c r="F217" s="22"/>
      <c r="G217" s="29"/>
      <c r="H217" s="21"/>
      <c r="I217" s="30" t="str">
        <f aca="false">IF(OR($G217="",$H217="",NOT(ISNUMBER($G217))),"",IF($H217="Maund",ROUND($G217/37.32,2),$G217))</f>
        <v/>
      </c>
      <c r="J217" s="22"/>
    </row>
    <row r="218" customFormat="false" ht="19.5" hidden="false" customHeight="true" outlineLevel="0" collapsed="false">
      <c r="B218" s="19"/>
      <c r="C218" s="21"/>
      <c r="D218" s="21"/>
      <c r="E218" s="21"/>
      <c r="F218" s="22"/>
      <c r="G218" s="29"/>
      <c r="H218" s="21"/>
      <c r="I218" s="30" t="str">
        <f aca="false">IF(OR($G218="",$H218="",NOT(ISNUMBER($G218))),"",IF($H218="Maund",ROUND($G218/37.32,2),$G218))</f>
        <v/>
      </c>
      <c r="J218" s="22"/>
    </row>
    <row r="219" customFormat="false" ht="19.5" hidden="false" customHeight="true" outlineLevel="0" collapsed="false">
      <c r="B219" s="19"/>
      <c r="C219" s="21"/>
      <c r="D219" s="21"/>
      <c r="E219" s="21"/>
      <c r="F219" s="22"/>
      <c r="G219" s="29"/>
      <c r="H219" s="21"/>
      <c r="I219" s="30" t="str">
        <f aca="false">IF(OR($G219="",$H219="",NOT(ISNUMBER($G219))),"",IF($H219="Maund",ROUND($G219/37.32,2),$G219))</f>
        <v/>
      </c>
      <c r="J219" s="22"/>
    </row>
    <row r="220" customFormat="false" ht="19.5" hidden="false" customHeight="true" outlineLevel="0" collapsed="false">
      <c r="B220" s="19"/>
      <c r="C220" s="21"/>
      <c r="D220" s="21"/>
      <c r="E220" s="21"/>
      <c r="F220" s="22"/>
      <c r="G220" s="29"/>
      <c r="H220" s="21"/>
      <c r="I220" s="30" t="str">
        <f aca="false">IF(OR($G220="",$H220="",NOT(ISNUMBER($G220))),"",IF($H220="Maund",ROUND($G220/37.32,2),$G220))</f>
        <v/>
      </c>
      <c r="J220" s="22"/>
    </row>
    <row r="221" customFormat="false" ht="19.5" hidden="false" customHeight="true" outlineLevel="0" collapsed="false">
      <c r="B221" s="19"/>
      <c r="C221" s="21"/>
      <c r="D221" s="21"/>
      <c r="E221" s="21"/>
      <c r="F221" s="22"/>
      <c r="G221" s="29"/>
      <c r="H221" s="21"/>
      <c r="I221" s="30" t="str">
        <f aca="false">IF(OR($G221="",$H221="",NOT(ISNUMBER($G221))),"",IF($H221="Maund",ROUND($G221/37.32,2),$G221))</f>
        <v/>
      </c>
      <c r="J221" s="22"/>
    </row>
    <row r="222" customFormat="false" ht="19.5" hidden="false" customHeight="true" outlineLevel="0" collapsed="false">
      <c r="B222" s="19"/>
      <c r="C222" s="21"/>
      <c r="D222" s="21"/>
      <c r="E222" s="21"/>
      <c r="F222" s="22"/>
      <c r="G222" s="29"/>
      <c r="H222" s="21"/>
      <c r="I222" s="30" t="str">
        <f aca="false">IF(OR($G222="",$H222="",NOT(ISNUMBER($G222))),"",IF($H222="Maund",ROUND($G222/37.32,2),$G222))</f>
        <v/>
      </c>
      <c r="J222" s="22"/>
    </row>
    <row r="223" customFormat="false" ht="19.5" hidden="false" customHeight="true" outlineLevel="0" collapsed="false">
      <c r="B223" s="19"/>
      <c r="C223" s="21"/>
      <c r="D223" s="21"/>
      <c r="E223" s="21"/>
      <c r="F223" s="22"/>
      <c r="G223" s="29"/>
      <c r="H223" s="21"/>
      <c r="I223" s="30" t="str">
        <f aca="false">IF(OR($G223="",$H223="",NOT(ISNUMBER($G223))),"",IF($H223="Maund",ROUND($G223/37.32,2),$G223))</f>
        <v/>
      </c>
      <c r="J223" s="22"/>
    </row>
    <row r="224" customFormat="false" ht="19.5" hidden="false" customHeight="true" outlineLevel="0" collapsed="false">
      <c r="B224" s="19"/>
      <c r="C224" s="21"/>
      <c r="D224" s="21"/>
      <c r="E224" s="21"/>
      <c r="F224" s="22"/>
      <c r="G224" s="29"/>
      <c r="H224" s="21"/>
      <c r="I224" s="30" t="str">
        <f aca="false">IF(OR($G224="",$H224="",NOT(ISNUMBER($G224))),"",IF($H224="Maund",ROUND($G224/37.32,2),$G224))</f>
        <v/>
      </c>
      <c r="J224" s="22"/>
    </row>
    <row r="225" customFormat="false" ht="19.5" hidden="false" customHeight="true" outlineLevel="0" collapsed="false">
      <c r="B225" s="19"/>
      <c r="C225" s="21"/>
      <c r="D225" s="21"/>
      <c r="E225" s="21"/>
      <c r="F225" s="22"/>
      <c r="G225" s="29"/>
      <c r="H225" s="21"/>
      <c r="I225" s="30" t="str">
        <f aca="false">IF(OR($G225="",$H225="",NOT(ISNUMBER($G225))),"",IF($H225="Maund",ROUND($G225/37.32,2),$G225))</f>
        <v/>
      </c>
      <c r="J225" s="22"/>
    </row>
    <row r="226" customFormat="false" ht="19.5" hidden="false" customHeight="true" outlineLevel="0" collapsed="false">
      <c r="B226" s="19"/>
      <c r="C226" s="21"/>
      <c r="D226" s="21"/>
      <c r="E226" s="21"/>
      <c r="F226" s="22"/>
      <c r="G226" s="29"/>
      <c r="H226" s="21"/>
      <c r="I226" s="30" t="str">
        <f aca="false">IF(OR($G226="",$H226="",NOT(ISNUMBER($G226))),"",IF($H226="Maund",ROUND($G226/37.32,2),$G226))</f>
        <v/>
      </c>
      <c r="J226" s="22"/>
    </row>
    <row r="227" customFormat="false" ht="19.5" hidden="false" customHeight="true" outlineLevel="0" collapsed="false">
      <c r="B227" s="19"/>
      <c r="C227" s="21"/>
      <c r="D227" s="21"/>
      <c r="E227" s="21"/>
      <c r="F227" s="22"/>
      <c r="G227" s="29"/>
      <c r="H227" s="21"/>
      <c r="I227" s="30" t="str">
        <f aca="false">IF(OR($G227="",$H227="",NOT(ISNUMBER($G227))),"",IF($H227="Maund",ROUND($G227/37.32,2),$G227))</f>
        <v/>
      </c>
      <c r="J227" s="22"/>
    </row>
    <row r="228" customFormat="false" ht="19.5" hidden="false" customHeight="true" outlineLevel="0" collapsed="false">
      <c r="B228" s="19"/>
      <c r="C228" s="21"/>
      <c r="D228" s="21"/>
      <c r="E228" s="21"/>
      <c r="F228" s="22"/>
      <c r="G228" s="29"/>
      <c r="H228" s="21"/>
      <c r="I228" s="30" t="str">
        <f aca="false">IF(OR($G228="",$H228="",NOT(ISNUMBER($G228))),"",IF($H228="Maund",ROUND($G228/37.32,2),$G228))</f>
        <v/>
      </c>
      <c r="J228" s="22"/>
    </row>
    <row r="229" customFormat="false" ht="19.5" hidden="false" customHeight="true" outlineLevel="0" collapsed="false">
      <c r="B229" s="19"/>
      <c r="C229" s="21"/>
      <c r="D229" s="21"/>
      <c r="E229" s="21"/>
      <c r="F229" s="22"/>
      <c r="G229" s="29"/>
      <c r="H229" s="21"/>
      <c r="I229" s="30" t="str">
        <f aca="false">IF(OR($G229="",$H229="",NOT(ISNUMBER($G229))),"",IF($H229="Maund",ROUND($G229/37.32,2),$G229))</f>
        <v/>
      </c>
      <c r="J229" s="22"/>
    </row>
    <row r="230" customFormat="false" ht="19.5" hidden="false" customHeight="true" outlineLevel="0" collapsed="false">
      <c r="B230" s="19"/>
      <c r="C230" s="21"/>
      <c r="D230" s="21"/>
      <c r="E230" s="21"/>
      <c r="F230" s="22"/>
      <c r="G230" s="29"/>
      <c r="H230" s="21"/>
      <c r="I230" s="30" t="str">
        <f aca="false">IF(OR($G230="",$H230="",NOT(ISNUMBER($G230))),"",IF($H230="Maund",ROUND($G230/37.32,2),$G230))</f>
        <v/>
      </c>
      <c r="J230" s="22"/>
    </row>
    <row r="231" customFormat="false" ht="19.5" hidden="false" customHeight="true" outlineLevel="0" collapsed="false">
      <c r="B231" s="19"/>
      <c r="C231" s="21"/>
      <c r="D231" s="21"/>
      <c r="E231" s="21"/>
      <c r="F231" s="22"/>
      <c r="G231" s="29"/>
      <c r="H231" s="21"/>
      <c r="I231" s="30" t="str">
        <f aca="false">IF(OR($G231="",$H231="",NOT(ISNUMBER($G231))),"",IF($H231="Maund",ROUND($G231/37.32,2),$G231))</f>
        <v/>
      </c>
      <c r="J231" s="22"/>
    </row>
    <row r="232" customFormat="false" ht="19.5" hidden="false" customHeight="true" outlineLevel="0" collapsed="false">
      <c r="B232" s="19"/>
      <c r="C232" s="21"/>
      <c r="D232" s="21"/>
      <c r="E232" s="21"/>
      <c r="F232" s="22"/>
      <c r="G232" s="29"/>
      <c r="H232" s="21"/>
      <c r="I232" s="30" t="str">
        <f aca="false">IF(OR($G232="",$H232="",NOT(ISNUMBER($G232))),"",IF($H232="Maund",ROUND($G232/37.32,2),$G232))</f>
        <v/>
      </c>
      <c r="J232" s="22"/>
    </row>
    <row r="233" customFormat="false" ht="19.5" hidden="false" customHeight="true" outlineLevel="0" collapsed="false">
      <c r="B233" s="19"/>
      <c r="C233" s="21"/>
      <c r="D233" s="21"/>
      <c r="E233" s="21"/>
      <c r="F233" s="22"/>
      <c r="G233" s="29"/>
      <c r="H233" s="21"/>
      <c r="I233" s="30" t="str">
        <f aca="false">IF(OR($G233="",$H233="",NOT(ISNUMBER($G233))),"",IF($H233="Maund",ROUND($G233/37.32,2),$G233))</f>
        <v/>
      </c>
      <c r="J233" s="22"/>
    </row>
    <row r="234" customFormat="false" ht="19.5" hidden="false" customHeight="true" outlineLevel="0" collapsed="false">
      <c r="B234" s="19"/>
      <c r="C234" s="21"/>
      <c r="D234" s="21"/>
      <c r="E234" s="21"/>
      <c r="F234" s="22"/>
      <c r="G234" s="29"/>
      <c r="H234" s="21"/>
      <c r="I234" s="30" t="str">
        <f aca="false">IF(OR($G234="",$H234="",NOT(ISNUMBER($G234))),"",IF($H234="Maund",ROUND($G234/37.32,2),$G234))</f>
        <v/>
      </c>
      <c r="J234" s="22"/>
    </row>
    <row r="235" customFormat="false" ht="19.5" hidden="false" customHeight="true" outlineLevel="0" collapsed="false">
      <c r="B235" s="19"/>
      <c r="C235" s="21"/>
      <c r="D235" s="21"/>
      <c r="E235" s="21"/>
      <c r="F235" s="22"/>
      <c r="G235" s="29"/>
      <c r="H235" s="21"/>
      <c r="I235" s="30" t="str">
        <f aca="false">IF(OR($G235="",$H235="",NOT(ISNUMBER($G235))),"",IF($H235="Maund",ROUND($G235/37.32,2),$G235))</f>
        <v/>
      </c>
      <c r="J235" s="22"/>
    </row>
    <row r="236" customFormat="false" ht="19.5" hidden="false" customHeight="true" outlineLevel="0" collapsed="false">
      <c r="B236" s="19"/>
      <c r="C236" s="21"/>
      <c r="D236" s="21"/>
      <c r="E236" s="21"/>
      <c r="F236" s="22"/>
      <c r="G236" s="29"/>
      <c r="H236" s="21"/>
      <c r="I236" s="30" t="str">
        <f aca="false">IF(OR($G236="",$H236="",NOT(ISNUMBER($G236))),"",IF($H236="Maund",ROUND($G236/37.32,2),$G236))</f>
        <v/>
      </c>
      <c r="J236" s="22"/>
    </row>
    <row r="237" customFormat="false" ht="19.5" hidden="false" customHeight="true" outlineLevel="0" collapsed="false">
      <c r="B237" s="19"/>
      <c r="C237" s="21"/>
      <c r="D237" s="21"/>
      <c r="E237" s="21"/>
      <c r="F237" s="22"/>
      <c r="G237" s="29"/>
      <c r="H237" s="21"/>
      <c r="I237" s="30" t="str">
        <f aca="false">IF(OR($G237="",$H237="",NOT(ISNUMBER($G237))),"",IF($H237="Maund",ROUND($G237/37.32,2),$G237))</f>
        <v/>
      </c>
      <c r="J237" s="22"/>
    </row>
    <row r="238" customFormat="false" ht="19.5" hidden="false" customHeight="true" outlineLevel="0" collapsed="false">
      <c r="B238" s="19"/>
      <c r="C238" s="21"/>
      <c r="D238" s="21"/>
      <c r="E238" s="21"/>
      <c r="F238" s="22"/>
      <c r="G238" s="29"/>
      <c r="H238" s="21"/>
      <c r="I238" s="30" t="str">
        <f aca="false">IF(OR($G238="",$H238="",NOT(ISNUMBER($G238))),"",IF($H238="Maund",ROUND($G238/37.32,2),$G238))</f>
        <v/>
      </c>
      <c r="J238" s="22"/>
    </row>
    <row r="239" customFormat="false" ht="19.5" hidden="false" customHeight="true" outlineLevel="0" collapsed="false">
      <c r="B239" s="19"/>
      <c r="C239" s="21"/>
      <c r="D239" s="21"/>
      <c r="E239" s="21"/>
      <c r="F239" s="22"/>
      <c r="G239" s="29"/>
      <c r="H239" s="21"/>
      <c r="I239" s="30" t="str">
        <f aca="false">IF(OR($G239="",$H239="",NOT(ISNUMBER($G239))),"",IF($H239="Maund",ROUND($G239/37.32,2),$G239))</f>
        <v/>
      </c>
      <c r="J239" s="22"/>
    </row>
    <row r="240" customFormat="false" ht="19.5" hidden="false" customHeight="true" outlineLevel="0" collapsed="false">
      <c r="B240" s="19"/>
      <c r="C240" s="21"/>
      <c r="D240" s="21"/>
      <c r="E240" s="21"/>
      <c r="F240" s="22"/>
      <c r="G240" s="29"/>
      <c r="H240" s="21"/>
      <c r="I240" s="30" t="str">
        <f aca="false">IF(OR($G240="",$H240="",NOT(ISNUMBER($G240))),"",IF($H240="Maund",ROUND($G240/37.32,2),$G240))</f>
        <v/>
      </c>
      <c r="J240" s="22"/>
    </row>
    <row r="241" customFormat="false" ht="19.5" hidden="false" customHeight="true" outlineLevel="0" collapsed="false">
      <c r="B241" s="19"/>
      <c r="C241" s="21"/>
      <c r="D241" s="21"/>
      <c r="E241" s="21"/>
      <c r="F241" s="22"/>
      <c r="G241" s="29"/>
      <c r="H241" s="21"/>
      <c r="I241" s="30" t="str">
        <f aca="false">IF(OR($G241="",$H241="",NOT(ISNUMBER($G241))),"",IF($H241="Maund",ROUND($G241/37.32,2),$G241))</f>
        <v/>
      </c>
      <c r="J241" s="22"/>
    </row>
    <row r="242" customFormat="false" ht="19.5" hidden="false" customHeight="true" outlineLevel="0" collapsed="false">
      <c r="B242" s="19"/>
      <c r="C242" s="21"/>
      <c r="D242" s="21"/>
      <c r="E242" s="21"/>
      <c r="F242" s="22"/>
      <c r="G242" s="29"/>
      <c r="H242" s="21"/>
      <c r="I242" s="30" t="str">
        <f aca="false">IF(OR($G242="",$H242="",NOT(ISNUMBER($G242))),"",IF($H242="Maund",ROUND($G242/37.32,2),$G242))</f>
        <v/>
      </c>
      <c r="J242" s="22"/>
    </row>
    <row r="243" customFormat="false" ht="19.5" hidden="false" customHeight="true" outlineLevel="0" collapsed="false">
      <c r="B243" s="19"/>
      <c r="C243" s="21"/>
      <c r="D243" s="21"/>
      <c r="E243" s="21"/>
      <c r="F243" s="22"/>
      <c r="G243" s="29"/>
      <c r="H243" s="21"/>
      <c r="I243" s="30" t="str">
        <f aca="false">IF(OR($G243="",$H243="",NOT(ISNUMBER($G243))),"",IF($H243="Maund",ROUND($G243/37.32,2),$G243))</f>
        <v/>
      </c>
      <c r="J243" s="22"/>
    </row>
    <row r="244" customFormat="false" ht="19.5" hidden="false" customHeight="true" outlineLevel="0" collapsed="false">
      <c r="B244" s="19"/>
      <c r="C244" s="21"/>
      <c r="D244" s="21"/>
      <c r="E244" s="21"/>
      <c r="F244" s="22"/>
      <c r="G244" s="29"/>
      <c r="H244" s="21"/>
      <c r="I244" s="30" t="str">
        <f aca="false">IF(OR($G244="",$H244="",NOT(ISNUMBER($G244))),"",IF($H244="Maund",ROUND($G244/37.32,2),$G244))</f>
        <v/>
      </c>
      <c r="J244" s="22"/>
    </row>
    <row r="245" customFormat="false" ht="19.5" hidden="false" customHeight="true" outlineLevel="0" collapsed="false">
      <c r="B245" s="19"/>
      <c r="C245" s="21"/>
      <c r="D245" s="21"/>
      <c r="E245" s="21"/>
      <c r="F245" s="22"/>
      <c r="G245" s="29"/>
      <c r="H245" s="21"/>
      <c r="I245" s="30" t="str">
        <f aca="false">IF(OR($G245="",$H245="",NOT(ISNUMBER($G245))),"",IF($H245="Maund",ROUND($G245/37.32,2),$G245))</f>
        <v/>
      </c>
      <c r="J245" s="22"/>
    </row>
    <row r="246" customFormat="false" ht="19.5" hidden="false" customHeight="true" outlineLevel="0" collapsed="false">
      <c r="B246" s="19"/>
      <c r="C246" s="21"/>
      <c r="D246" s="21"/>
      <c r="E246" s="21"/>
      <c r="F246" s="22"/>
      <c r="G246" s="29"/>
      <c r="H246" s="21"/>
      <c r="I246" s="30" t="str">
        <f aca="false">IF(OR($G246="",$H246="",NOT(ISNUMBER($G246))),"",IF($H246="Maund",ROUND($G246/37.32,2),$G246))</f>
        <v/>
      </c>
      <c r="J246" s="22"/>
    </row>
    <row r="247" customFormat="false" ht="19.5" hidden="false" customHeight="true" outlineLevel="0" collapsed="false">
      <c r="B247" s="19"/>
      <c r="C247" s="21"/>
      <c r="D247" s="21"/>
      <c r="E247" s="21"/>
      <c r="F247" s="22"/>
      <c r="G247" s="29"/>
      <c r="H247" s="21"/>
      <c r="I247" s="30" t="str">
        <f aca="false">IF(OR($G247="",$H247="",NOT(ISNUMBER($G247))),"",IF($H247="Maund",ROUND($G247/37.32,2),$G247))</f>
        <v/>
      </c>
      <c r="J247" s="22"/>
    </row>
    <row r="248" customFormat="false" ht="19.5" hidden="false" customHeight="true" outlineLevel="0" collapsed="false">
      <c r="B248" s="19"/>
      <c r="C248" s="21"/>
      <c r="D248" s="21"/>
      <c r="E248" s="21"/>
      <c r="F248" s="22"/>
      <c r="G248" s="29"/>
      <c r="H248" s="21"/>
      <c r="I248" s="30" t="str">
        <f aca="false">IF(OR($G248="",$H248="",NOT(ISNUMBER($G248))),"",IF($H248="Maund",ROUND($G248/37.32,2),$G248))</f>
        <v/>
      </c>
      <c r="J248" s="22"/>
    </row>
    <row r="249" customFormat="false" ht="19.5" hidden="false" customHeight="true" outlineLevel="0" collapsed="false">
      <c r="B249" s="19"/>
      <c r="C249" s="21"/>
      <c r="D249" s="21"/>
      <c r="E249" s="21"/>
      <c r="F249" s="22"/>
      <c r="G249" s="29"/>
      <c r="H249" s="21"/>
      <c r="I249" s="30" t="str">
        <f aca="false">IF(OR($G249="",$H249="",NOT(ISNUMBER($G249))),"",IF($H249="Maund",ROUND($G249/37.32,2),$G249))</f>
        <v/>
      </c>
      <c r="J249" s="22"/>
    </row>
    <row r="250" customFormat="false" ht="19.5" hidden="false" customHeight="true" outlineLevel="0" collapsed="false">
      <c r="B250" s="19"/>
      <c r="C250" s="21"/>
      <c r="D250" s="21"/>
      <c r="E250" s="21"/>
      <c r="F250" s="22"/>
      <c r="G250" s="29"/>
      <c r="H250" s="21"/>
      <c r="I250" s="30" t="str">
        <f aca="false">IF(OR($G250="",$H250="",NOT(ISNUMBER($G250))),"",IF($H250="Maund",ROUND($G250/37.32,2),$G250))</f>
        <v/>
      </c>
      <c r="J250" s="22"/>
    </row>
    <row r="251" customFormat="false" ht="19.5" hidden="false" customHeight="true" outlineLevel="0" collapsed="false">
      <c r="B251" s="19"/>
      <c r="C251" s="21"/>
      <c r="D251" s="21"/>
      <c r="E251" s="21"/>
      <c r="F251" s="22"/>
      <c r="G251" s="29"/>
      <c r="H251" s="21"/>
      <c r="I251" s="30" t="str">
        <f aca="false">IF(OR($G251="",$H251="",NOT(ISNUMBER($G251))),"",IF($H251="Maund",ROUND($G251/37.32,2),$G251))</f>
        <v/>
      </c>
      <c r="J251" s="22"/>
    </row>
    <row r="252" customFormat="false" ht="19.5" hidden="false" customHeight="true" outlineLevel="0" collapsed="false">
      <c r="B252" s="19"/>
      <c r="C252" s="21"/>
      <c r="D252" s="21"/>
      <c r="E252" s="21"/>
      <c r="F252" s="22"/>
      <c r="G252" s="29"/>
      <c r="H252" s="21"/>
      <c r="I252" s="30" t="str">
        <f aca="false">IF(OR($G252="",$H252="",NOT(ISNUMBER($G252))),"",IF($H252="Maund",ROUND($G252/37.32,2),$G252))</f>
        <v/>
      </c>
      <c r="J252" s="22"/>
    </row>
    <row r="253" customFormat="false" ht="19.5" hidden="false" customHeight="true" outlineLevel="0" collapsed="false">
      <c r="B253" s="19"/>
      <c r="C253" s="21"/>
      <c r="D253" s="21"/>
      <c r="E253" s="21"/>
      <c r="F253" s="22"/>
      <c r="G253" s="29"/>
      <c r="H253" s="21"/>
      <c r="I253" s="30" t="str">
        <f aca="false">IF(OR($G253="",$H253="",NOT(ISNUMBER($G253))),"",IF($H253="Maund",ROUND($G253/37.32,2),$G253))</f>
        <v/>
      </c>
      <c r="J253" s="22"/>
    </row>
    <row r="254" customFormat="false" ht="19.5" hidden="false" customHeight="true" outlineLevel="0" collapsed="false">
      <c r="B254" s="19"/>
      <c r="C254" s="21"/>
      <c r="D254" s="21"/>
      <c r="E254" s="21"/>
      <c r="F254" s="22"/>
      <c r="G254" s="29"/>
      <c r="H254" s="21"/>
      <c r="I254" s="30" t="str">
        <f aca="false">IF(OR($G254="",$H254="",NOT(ISNUMBER($G254))),"",IF($H254="Maund",ROUND($G254/37.32,2),$G254))</f>
        <v/>
      </c>
      <c r="J254" s="22"/>
    </row>
    <row r="255" customFormat="false" ht="19.5" hidden="false" customHeight="true" outlineLevel="0" collapsed="false">
      <c r="B255" s="19"/>
      <c r="C255" s="21"/>
      <c r="D255" s="21"/>
      <c r="E255" s="21"/>
      <c r="F255" s="22"/>
      <c r="G255" s="29"/>
      <c r="H255" s="21"/>
      <c r="I255" s="30" t="str">
        <f aca="false">IF(OR($G255="",$H255="",NOT(ISNUMBER($G255))),"",IF($H255="Maund",ROUND($G255/37.32,2),$G255))</f>
        <v/>
      </c>
      <c r="J255" s="22"/>
    </row>
    <row r="256" customFormat="false" ht="19.5" hidden="false" customHeight="true" outlineLevel="0" collapsed="false">
      <c r="B256" s="19"/>
      <c r="C256" s="21"/>
      <c r="D256" s="21"/>
      <c r="E256" s="21"/>
      <c r="F256" s="22"/>
      <c r="G256" s="29"/>
      <c r="H256" s="21"/>
      <c r="I256" s="30" t="str">
        <f aca="false">IF(OR($G256="",$H256="",NOT(ISNUMBER($G256))),"",IF($H256="Maund",ROUND($G256/37.32,2),$G256))</f>
        <v/>
      </c>
      <c r="J256" s="22"/>
    </row>
    <row r="257" customFormat="false" ht="19.5" hidden="false" customHeight="true" outlineLevel="0" collapsed="false">
      <c r="B257" s="19"/>
      <c r="C257" s="21"/>
      <c r="D257" s="21"/>
      <c r="E257" s="21"/>
      <c r="F257" s="22"/>
      <c r="G257" s="29"/>
      <c r="H257" s="21"/>
      <c r="I257" s="30" t="str">
        <f aca="false">IF(OR($G257="",$H257="",NOT(ISNUMBER($G257))),"",IF($H257="Maund",ROUND($G257/37.32,2),$G257))</f>
        <v/>
      </c>
      <c r="J257" s="22"/>
    </row>
    <row r="258" customFormat="false" ht="19.5" hidden="false" customHeight="true" outlineLevel="0" collapsed="false">
      <c r="B258" s="19"/>
      <c r="C258" s="21"/>
      <c r="D258" s="21"/>
      <c r="E258" s="21"/>
      <c r="F258" s="22"/>
      <c r="G258" s="29"/>
      <c r="H258" s="21"/>
      <c r="I258" s="30" t="str">
        <f aca="false">IF(OR($G258="",$H258="",NOT(ISNUMBER($G258))),"",IF($H258="Maund",ROUND($G258/37.32,2),$G258))</f>
        <v/>
      </c>
      <c r="J258" s="22"/>
    </row>
    <row r="259" customFormat="false" ht="19.5" hidden="false" customHeight="true" outlineLevel="0" collapsed="false">
      <c r="B259" s="19"/>
      <c r="C259" s="21"/>
      <c r="D259" s="21"/>
      <c r="E259" s="21"/>
      <c r="F259" s="22"/>
      <c r="G259" s="29"/>
      <c r="H259" s="21"/>
      <c r="I259" s="30" t="str">
        <f aca="false">IF(OR($G259="",$H259="",NOT(ISNUMBER($G259))),"",IF($H259="Maund",ROUND($G259/37.32,2),$G259))</f>
        <v/>
      </c>
      <c r="J259" s="22"/>
    </row>
    <row r="260" customFormat="false" ht="19.5" hidden="false" customHeight="true" outlineLevel="0" collapsed="false">
      <c r="B260" s="19"/>
      <c r="C260" s="21"/>
      <c r="D260" s="21"/>
      <c r="E260" s="21"/>
      <c r="F260" s="22"/>
      <c r="G260" s="29"/>
      <c r="H260" s="21"/>
      <c r="I260" s="30" t="str">
        <f aca="false">IF(OR($G260="",$H260="",NOT(ISNUMBER($G260))),"",IF($H260="Maund",ROUND($G260/37.32,2),$G260))</f>
        <v/>
      </c>
      <c r="J260" s="22"/>
    </row>
    <row r="261" customFormat="false" ht="19.5" hidden="false" customHeight="true" outlineLevel="0" collapsed="false">
      <c r="B261" s="19"/>
      <c r="C261" s="21"/>
      <c r="D261" s="21"/>
      <c r="E261" s="21"/>
      <c r="F261" s="22"/>
      <c r="G261" s="29"/>
      <c r="H261" s="21"/>
      <c r="I261" s="30" t="str">
        <f aca="false">IF(OR($G261="",$H261="",NOT(ISNUMBER($G261))),"",IF($H261="Maund",ROUND($G261/37.32,2),$G261))</f>
        <v/>
      </c>
      <c r="J261" s="22"/>
    </row>
    <row r="262" customFormat="false" ht="19.5" hidden="false" customHeight="true" outlineLevel="0" collapsed="false">
      <c r="B262" s="19"/>
      <c r="C262" s="21"/>
      <c r="D262" s="21"/>
      <c r="E262" s="21"/>
      <c r="F262" s="22"/>
      <c r="G262" s="29"/>
      <c r="H262" s="21"/>
      <c r="I262" s="30" t="str">
        <f aca="false">IF(OR($G262="",$H262="",NOT(ISNUMBER($G262))),"",IF($H262="Maund",ROUND($G262/37.32,2),$G262))</f>
        <v/>
      </c>
      <c r="J262" s="22"/>
    </row>
    <row r="263" customFormat="false" ht="19.5" hidden="false" customHeight="true" outlineLevel="0" collapsed="false">
      <c r="B263" s="19"/>
      <c r="C263" s="21"/>
      <c r="D263" s="21"/>
      <c r="E263" s="21"/>
      <c r="F263" s="22"/>
      <c r="G263" s="29"/>
      <c r="H263" s="21"/>
      <c r="I263" s="30" t="str">
        <f aca="false">IF(OR($G263="",$H263="",NOT(ISNUMBER($G263))),"",IF($H263="Maund",ROUND($G263/37.32,2),$G263))</f>
        <v/>
      </c>
      <c r="J263" s="22"/>
    </row>
    <row r="264" customFormat="false" ht="19.5" hidden="false" customHeight="true" outlineLevel="0" collapsed="false">
      <c r="B264" s="19"/>
      <c r="C264" s="21"/>
      <c r="D264" s="21"/>
      <c r="E264" s="21"/>
      <c r="F264" s="22"/>
      <c r="G264" s="29"/>
      <c r="H264" s="21"/>
      <c r="I264" s="30" t="str">
        <f aca="false">IF(OR($G264="",$H264="",NOT(ISNUMBER($G264))),"",IF($H264="Maund",ROUND($G264/37.32,2),$G264))</f>
        <v/>
      </c>
      <c r="J264" s="22"/>
    </row>
    <row r="265" customFormat="false" ht="19.5" hidden="false" customHeight="true" outlineLevel="0" collapsed="false">
      <c r="B265" s="19"/>
      <c r="C265" s="21"/>
      <c r="D265" s="21"/>
      <c r="E265" s="21"/>
      <c r="F265" s="22"/>
      <c r="G265" s="29"/>
      <c r="H265" s="21"/>
      <c r="I265" s="30" t="str">
        <f aca="false">IF(OR($G265="",$H265="",NOT(ISNUMBER($G265))),"",IF($H265="Maund",ROUND($G265/37.32,2),$G265))</f>
        <v/>
      </c>
      <c r="J265" s="22"/>
    </row>
    <row r="266" customFormat="false" ht="19.5" hidden="false" customHeight="true" outlineLevel="0" collapsed="false">
      <c r="B266" s="19"/>
      <c r="C266" s="21"/>
      <c r="D266" s="21"/>
      <c r="E266" s="21"/>
      <c r="F266" s="22"/>
      <c r="G266" s="29"/>
      <c r="H266" s="21"/>
      <c r="I266" s="30" t="str">
        <f aca="false">IF(OR($G266="",$H266="",NOT(ISNUMBER($G266))),"",IF($H266="Maund",ROUND($G266/37.32,2),$G266))</f>
        <v/>
      </c>
      <c r="J266" s="22"/>
    </row>
    <row r="267" customFormat="false" ht="19.5" hidden="false" customHeight="true" outlineLevel="0" collapsed="false">
      <c r="B267" s="19"/>
      <c r="C267" s="21"/>
      <c r="D267" s="21"/>
      <c r="E267" s="21"/>
      <c r="F267" s="22"/>
      <c r="G267" s="29"/>
      <c r="H267" s="21"/>
      <c r="I267" s="30" t="str">
        <f aca="false">IF(OR($G267="",$H267="",NOT(ISNUMBER($G267))),"",IF($H267="Maund",ROUND($G267/37.32,2),$G267))</f>
        <v/>
      </c>
      <c r="J267" s="22"/>
    </row>
    <row r="268" customFormat="false" ht="19.5" hidden="false" customHeight="true" outlineLevel="0" collapsed="false">
      <c r="B268" s="19"/>
      <c r="C268" s="21"/>
      <c r="D268" s="21"/>
      <c r="E268" s="21"/>
      <c r="F268" s="22"/>
      <c r="G268" s="29"/>
      <c r="H268" s="21"/>
      <c r="I268" s="30" t="str">
        <f aca="false">IF(OR($G268="",$H268="",NOT(ISNUMBER($G268))),"",IF($H268="Maund",ROUND($G268/37.32,2),$G268))</f>
        <v/>
      </c>
      <c r="J268" s="22"/>
    </row>
    <row r="269" customFormat="false" ht="19.5" hidden="false" customHeight="true" outlineLevel="0" collapsed="false">
      <c r="B269" s="19"/>
      <c r="C269" s="21"/>
      <c r="D269" s="21"/>
      <c r="E269" s="21"/>
      <c r="F269" s="22"/>
      <c r="G269" s="29"/>
      <c r="H269" s="21"/>
      <c r="I269" s="30" t="str">
        <f aca="false">IF(OR($G269="",$H269="",NOT(ISNUMBER($G269))),"",IF($H269="Maund",ROUND($G269/37.32,2),$G269))</f>
        <v/>
      </c>
      <c r="J269" s="22"/>
    </row>
    <row r="270" customFormat="false" ht="19.5" hidden="false" customHeight="true" outlineLevel="0" collapsed="false">
      <c r="B270" s="19"/>
      <c r="C270" s="21"/>
      <c r="D270" s="21"/>
      <c r="E270" s="21"/>
      <c r="F270" s="22"/>
      <c r="G270" s="29"/>
      <c r="H270" s="21"/>
      <c r="I270" s="30" t="str">
        <f aca="false">IF(OR($G270="",$H270="",NOT(ISNUMBER($G270))),"",IF($H270="Maund",ROUND($G270/37.32,2),$G270))</f>
        <v/>
      </c>
      <c r="J270" s="22"/>
    </row>
    <row r="271" customFormat="false" ht="19.5" hidden="false" customHeight="true" outlineLevel="0" collapsed="false">
      <c r="B271" s="19"/>
      <c r="C271" s="21"/>
      <c r="D271" s="21"/>
      <c r="E271" s="21"/>
      <c r="F271" s="22"/>
      <c r="G271" s="29"/>
      <c r="H271" s="21"/>
      <c r="I271" s="30" t="str">
        <f aca="false">IF(OR($G271="",$H271="",NOT(ISNUMBER($G271))),"",IF($H271="Maund",ROUND($G271/37.32,2),$G271))</f>
        <v/>
      </c>
      <c r="J271" s="22"/>
    </row>
    <row r="272" customFormat="false" ht="19.5" hidden="false" customHeight="true" outlineLevel="0" collapsed="false">
      <c r="B272" s="19"/>
      <c r="C272" s="21"/>
      <c r="D272" s="21"/>
      <c r="E272" s="21"/>
      <c r="F272" s="22"/>
      <c r="G272" s="29"/>
      <c r="H272" s="21"/>
      <c r="I272" s="30" t="str">
        <f aca="false">IF(OR($G272="",$H272="",NOT(ISNUMBER($G272))),"",IF($H272="Maund",ROUND($G272/37.32,2),$G272))</f>
        <v/>
      </c>
      <c r="J272" s="22"/>
    </row>
    <row r="273" customFormat="false" ht="19.5" hidden="false" customHeight="true" outlineLevel="0" collapsed="false">
      <c r="B273" s="19"/>
      <c r="C273" s="21"/>
      <c r="D273" s="21"/>
      <c r="E273" s="21"/>
      <c r="F273" s="22"/>
      <c r="G273" s="29"/>
      <c r="H273" s="21"/>
      <c r="I273" s="30" t="str">
        <f aca="false">IF(OR($G273="",$H273="",NOT(ISNUMBER($G273))),"",IF($H273="Maund",ROUND($G273/37.32,2),$G273))</f>
        <v/>
      </c>
      <c r="J273" s="22"/>
    </row>
    <row r="274" customFormat="false" ht="19.5" hidden="false" customHeight="true" outlineLevel="0" collapsed="false">
      <c r="B274" s="19"/>
      <c r="C274" s="21"/>
      <c r="D274" s="21"/>
      <c r="E274" s="21"/>
      <c r="F274" s="22"/>
      <c r="G274" s="29"/>
      <c r="H274" s="21"/>
      <c r="I274" s="30" t="str">
        <f aca="false">IF(OR($G274="",$H274="",NOT(ISNUMBER($G274))),"",IF($H274="Maund",ROUND($G274/37.32,2),$G274))</f>
        <v/>
      </c>
      <c r="J274" s="22"/>
    </row>
    <row r="275" customFormat="false" ht="19.5" hidden="false" customHeight="true" outlineLevel="0" collapsed="false">
      <c r="B275" s="19"/>
      <c r="C275" s="21"/>
      <c r="D275" s="21"/>
      <c r="E275" s="21"/>
      <c r="F275" s="22"/>
      <c r="G275" s="29"/>
      <c r="H275" s="21"/>
      <c r="I275" s="30" t="str">
        <f aca="false">IF(OR($G275="",$H275="",NOT(ISNUMBER($G275))),"",IF($H275="Maund",ROUND($G275/37.32,2),$G275))</f>
        <v/>
      </c>
      <c r="J275" s="22"/>
    </row>
    <row r="276" customFormat="false" ht="19.5" hidden="false" customHeight="true" outlineLevel="0" collapsed="false">
      <c r="B276" s="19"/>
      <c r="C276" s="21"/>
      <c r="D276" s="21"/>
      <c r="E276" s="21"/>
      <c r="F276" s="22"/>
      <c r="G276" s="29"/>
      <c r="H276" s="21"/>
      <c r="I276" s="30" t="str">
        <f aca="false">IF(OR($G276="",$H276="",NOT(ISNUMBER($G276))),"",IF($H276="Maund",ROUND($G276/37.32,2),$G276))</f>
        <v/>
      </c>
      <c r="J276" s="22"/>
    </row>
    <row r="277" customFormat="false" ht="19.5" hidden="false" customHeight="true" outlineLevel="0" collapsed="false">
      <c r="B277" s="19"/>
      <c r="C277" s="21"/>
      <c r="D277" s="21"/>
      <c r="E277" s="21"/>
      <c r="F277" s="22"/>
      <c r="G277" s="29"/>
      <c r="H277" s="21"/>
      <c r="I277" s="30" t="str">
        <f aca="false">IF(OR($G277="",$H277="",NOT(ISNUMBER($G277))),"",IF($H277="Maund",ROUND($G277/37.32,2),$G277))</f>
        <v/>
      </c>
      <c r="J277" s="22"/>
    </row>
    <row r="278" customFormat="false" ht="19.5" hidden="false" customHeight="true" outlineLevel="0" collapsed="false">
      <c r="B278" s="19"/>
      <c r="C278" s="21"/>
      <c r="D278" s="21"/>
      <c r="E278" s="21"/>
      <c r="F278" s="22"/>
      <c r="G278" s="29"/>
      <c r="H278" s="21"/>
      <c r="I278" s="30" t="str">
        <f aca="false">IF(OR($G278="",$H278="",NOT(ISNUMBER($G278))),"",IF($H278="Maund",ROUND($G278/37.32,2),$G278))</f>
        <v/>
      </c>
      <c r="J278" s="22"/>
    </row>
    <row r="279" customFormat="false" ht="19.5" hidden="false" customHeight="true" outlineLevel="0" collapsed="false">
      <c r="B279" s="19"/>
      <c r="C279" s="21"/>
      <c r="D279" s="21"/>
      <c r="E279" s="21"/>
      <c r="F279" s="22"/>
      <c r="G279" s="29"/>
      <c r="H279" s="21"/>
      <c r="I279" s="30" t="str">
        <f aca="false">IF(OR($G279="",$H279="",NOT(ISNUMBER($G279))),"",IF($H279="Maund",ROUND($G279/37.32,2),$G279))</f>
        <v/>
      </c>
      <c r="J279" s="22"/>
    </row>
    <row r="280" customFormat="false" ht="19.5" hidden="false" customHeight="true" outlineLevel="0" collapsed="false">
      <c r="B280" s="19"/>
      <c r="C280" s="21"/>
      <c r="D280" s="21"/>
      <c r="E280" s="21"/>
      <c r="F280" s="22"/>
      <c r="G280" s="29"/>
      <c r="H280" s="21"/>
      <c r="I280" s="30" t="str">
        <f aca="false">IF(OR($G280="",$H280="",NOT(ISNUMBER($G280))),"",IF($H280="Maund",ROUND($G280/37.32,2),$G280))</f>
        <v/>
      </c>
      <c r="J280" s="22"/>
    </row>
    <row r="281" customFormat="false" ht="19.5" hidden="false" customHeight="true" outlineLevel="0" collapsed="false">
      <c r="B281" s="19"/>
      <c r="C281" s="21"/>
      <c r="D281" s="21"/>
      <c r="E281" s="21"/>
      <c r="F281" s="22"/>
      <c r="G281" s="29"/>
      <c r="H281" s="21"/>
      <c r="I281" s="30" t="str">
        <f aca="false">IF(OR($G281="",$H281="",NOT(ISNUMBER($G281))),"",IF($H281="Maund",ROUND($G281/37.32,2),$G281))</f>
        <v/>
      </c>
      <c r="J281" s="22"/>
    </row>
    <row r="282" customFormat="false" ht="19.5" hidden="false" customHeight="true" outlineLevel="0" collapsed="false">
      <c r="B282" s="19"/>
      <c r="C282" s="21"/>
      <c r="D282" s="21"/>
      <c r="E282" s="21"/>
      <c r="F282" s="22"/>
      <c r="G282" s="29"/>
      <c r="H282" s="21"/>
      <c r="I282" s="30" t="str">
        <f aca="false">IF(OR($G282="",$H282="",NOT(ISNUMBER($G282))),"",IF($H282="Maund",ROUND($G282/37.32,2),$G282))</f>
        <v/>
      </c>
      <c r="J282" s="22"/>
    </row>
    <row r="283" customFormat="false" ht="19.5" hidden="false" customHeight="true" outlineLevel="0" collapsed="false">
      <c r="B283" s="19"/>
      <c r="C283" s="21"/>
      <c r="D283" s="21"/>
      <c r="E283" s="21"/>
      <c r="F283" s="22"/>
      <c r="G283" s="29"/>
      <c r="H283" s="21"/>
      <c r="I283" s="30" t="str">
        <f aca="false">IF(OR($G283="",$H283="",NOT(ISNUMBER($G283))),"",IF($H283="Maund",ROUND($G283/37.32,2),$G283))</f>
        <v/>
      </c>
      <c r="J283" s="22"/>
    </row>
    <row r="284" customFormat="false" ht="19.5" hidden="false" customHeight="true" outlineLevel="0" collapsed="false">
      <c r="B284" s="19"/>
      <c r="C284" s="21"/>
      <c r="D284" s="21"/>
      <c r="E284" s="21"/>
      <c r="F284" s="22"/>
      <c r="G284" s="29"/>
      <c r="H284" s="21"/>
      <c r="I284" s="30" t="str">
        <f aca="false">IF(OR($G284="",$H284="",NOT(ISNUMBER($G284))),"",IF($H284="Maund",ROUND($G284/37.32,2),$G284))</f>
        <v/>
      </c>
      <c r="J284" s="22"/>
    </row>
    <row r="285" customFormat="false" ht="19.5" hidden="false" customHeight="true" outlineLevel="0" collapsed="false">
      <c r="B285" s="19"/>
      <c r="C285" s="21"/>
      <c r="D285" s="21"/>
      <c r="E285" s="21"/>
      <c r="F285" s="22"/>
      <c r="G285" s="29"/>
      <c r="H285" s="21"/>
      <c r="I285" s="30" t="str">
        <f aca="false">IF(OR($G285="",$H285="",NOT(ISNUMBER($G285))),"",IF($H285="Maund",ROUND($G285/37.32,2),$G285))</f>
        <v/>
      </c>
      <c r="J285" s="22"/>
    </row>
    <row r="286" customFormat="false" ht="19.5" hidden="false" customHeight="true" outlineLevel="0" collapsed="false">
      <c r="B286" s="19"/>
      <c r="C286" s="21"/>
      <c r="D286" s="21"/>
      <c r="E286" s="21"/>
      <c r="F286" s="22"/>
      <c r="G286" s="29"/>
      <c r="H286" s="21"/>
      <c r="I286" s="30" t="str">
        <f aca="false">IF(OR($G286="",$H286="",NOT(ISNUMBER($G286))),"",IF($H286="Maund",ROUND($G286/37.32,2),$G286))</f>
        <v/>
      </c>
      <c r="J286" s="22"/>
    </row>
    <row r="287" customFormat="false" ht="19.5" hidden="false" customHeight="true" outlineLevel="0" collapsed="false">
      <c r="B287" s="19"/>
      <c r="C287" s="21"/>
      <c r="D287" s="21"/>
      <c r="E287" s="21"/>
      <c r="F287" s="22"/>
      <c r="G287" s="29"/>
      <c r="H287" s="21"/>
      <c r="I287" s="30" t="str">
        <f aca="false">IF(OR($G287="",$H287="",NOT(ISNUMBER($G287))),"",IF($H287="Maund",ROUND($G287/37.32,2),$G287))</f>
        <v/>
      </c>
      <c r="J287" s="22"/>
    </row>
    <row r="288" customFormat="false" ht="19.5" hidden="false" customHeight="true" outlineLevel="0" collapsed="false">
      <c r="B288" s="19"/>
      <c r="C288" s="21"/>
      <c r="D288" s="21"/>
      <c r="E288" s="21"/>
      <c r="F288" s="22"/>
      <c r="G288" s="29"/>
      <c r="H288" s="21"/>
      <c r="I288" s="30" t="str">
        <f aca="false">IF(OR($G288="",$H288="",NOT(ISNUMBER($G288))),"",IF($H288="Maund",ROUND($G288/37.32,2),$G288))</f>
        <v/>
      </c>
      <c r="J288" s="22"/>
    </row>
    <row r="289" customFormat="false" ht="19.5" hidden="false" customHeight="true" outlineLevel="0" collapsed="false">
      <c r="B289" s="19"/>
      <c r="C289" s="21"/>
      <c r="D289" s="21"/>
      <c r="E289" s="21"/>
      <c r="F289" s="22"/>
      <c r="G289" s="29"/>
      <c r="H289" s="21"/>
      <c r="I289" s="30" t="str">
        <f aca="false">IF(OR($G289="",$H289="",NOT(ISNUMBER($G289))),"",IF($H289="Maund",ROUND($G289/37.32,2),$G289))</f>
        <v/>
      </c>
      <c r="J289" s="22"/>
    </row>
    <row r="290" customFormat="false" ht="19.5" hidden="false" customHeight="true" outlineLevel="0" collapsed="false">
      <c r="B290" s="19"/>
      <c r="C290" s="21"/>
      <c r="D290" s="21"/>
      <c r="E290" s="21"/>
      <c r="F290" s="22"/>
      <c r="G290" s="29"/>
      <c r="H290" s="21"/>
      <c r="I290" s="30" t="str">
        <f aca="false">IF(OR($G290="",$H290="",NOT(ISNUMBER($G290))),"",IF($H290="Maund",ROUND($G290/37.32,2),$G290))</f>
        <v/>
      </c>
      <c r="J290" s="22"/>
    </row>
    <row r="291" customFormat="false" ht="19.5" hidden="false" customHeight="true" outlineLevel="0" collapsed="false">
      <c r="B291" s="19"/>
      <c r="C291" s="21"/>
      <c r="D291" s="21"/>
      <c r="E291" s="21"/>
      <c r="F291" s="22"/>
      <c r="G291" s="29"/>
      <c r="H291" s="21"/>
      <c r="I291" s="30" t="str">
        <f aca="false">IF(OR($G291="",$H291="",NOT(ISNUMBER($G291))),"",IF($H291="Maund",ROUND($G291/37.32,2),$G291))</f>
        <v/>
      </c>
      <c r="J291" s="22"/>
    </row>
    <row r="292" customFormat="false" ht="19.5" hidden="false" customHeight="true" outlineLevel="0" collapsed="false">
      <c r="B292" s="19"/>
      <c r="C292" s="21"/>
      <c r="D292" s="21"/>
      <c r="E292" s="21"/>
      <c r="F292" s="22"/>
      <c r="G292" s="29"/>
      <c r="H292" s="21"/>
      <c r="I292" s="30" t="str">
        <f aca="false">IF(OR($G292="",$H292="",NOT(ISNUMBER($G292))),"",IF($H292="Maund",ROUND($G292/37.32,2),$G292))</f>
        <v/>
      </c>
      <c r="J292" s="22"/>
    </row>
    <row r="293" customFormat="false" ht="19.5" hidden="false" customHeight="true" outlineLevel="0" collapsed="false">
      <c r="B293" s="19"/>
      <c r="C293" s="21"/>
      <c r="D293" s="21"/>
      <c r="E293" s="21"/>
      <c r="F293" s="22"/>
      <c r="G293" s="29"/>
      <c r="H293" s="21"/>
      <c r="I293" s="30" t="str">
        <f aca="false">IF(OR($G293="",$H293="",NOT(ISNUMBER($G293))),"",IF($H293="Maund",ROUND($G293/37.32,2),$G293))</f>
        <v/>
      </c>
      <c r="J293" s="22"/>
    </row>
    <row r="294" customFormat="false" ht="19.5" hidden="false" customHeight="true" outlineLevel="0" collapsed="false">
      <c r="B294" s="19"/>
      <c r="C294" s="21"/>
      <c r="D294" s="21"/>
      <c r="E294" s="21"/>
      <c r="F294" s="22"/>
      <c r="G294" s="29"/>
      <c r="H294" s="21"/>
      <c r="I294" s="30" t="str">
        <f aca="false">IF(OR($G294="",$H294="",NOT(ISNUMBER($G294))),"",IF($H294="Maund",ROUND($G294/37.32,2),$G294))</f>
        <v/>
      </c>
      <c r="J294" s="22"/>
    </row>
    <row r="295" customFormat="false" ht="19.5" hidden="false" customHeight="true" outlineLevel="0" collapsed="false">
      <c r="B295" s="19"/>
      <c r="C295" s="21"/>
      <c r="D295" s="21"/>
      <c r="E295" s="21"/>
      <c r="F295" s="22"/>
      <c r="G295" s="29"/>
      <c r="H295" s="21"/>
      <c r="I295" s="30" t="str">
        <f aca="false">IF(OR($G295="",$H295="",NOT(ISNUMBER($G295))),"",IF($H295="Maund",ROUND($G295/37.32,2),$G295))</f>
        <v/>
      </c>
      <c r="J295" s="22"/>
    </row>
    <row r="296" customFormat="false" ht="19.5" hidden="false" customHeight="true" outlineLevel="0" collapsed="false">
      <c r="B296" s="19"/>
      <c r="C296" s="21"/>
      <c r="D296" s="21"/>
      <c r="E296" s="21"/>
      <c r="F296" s="22"/>
      <c r="G296" s="29"/>
      <c r="H296" s="21"/>
      <c r="I296" s="30" t="str">
        <f aca="false">IF(OR($G296="",$H296="",NOT(ISNUMBER($G296))),"",IF($H296="Maund",ROUND($G296/37.32,2),$G296))</f>
        <v/>
      </c>
      <c r="J296" s="22"/>
    </row>
    <row r="297" customFormat="false" ht="19.5" hidden="false" customHeight="true" outlineLevel="0" collapsed="false">
      <c r="B297" s="19"/>
      <c r="C297" s="21"/>
      <c r="D297" s="21"/>
      <c r="E297" s="21"/>
      <c r="F297" s="22"/>
      <c r="G297" s="29"/>
      <c r="H297" s="21"/>
      <c r="I297" s="30" t="str">
        <f aca="false">IF(OR($G297="",$H297="",NOT(ISNUMBER($G297))),"",IF($H297="Maund",ROUND($G297/37.32,2),$G297))</f>
        <v/>
      </c>
      <c r="J297" s="22"/>
    </row>
    <row r="298" customFormat="false" ht="19.5" hidden="false" customHeight="true" outlineLevel="0" collapsed="false">
      <c r="B298" s="19"/>
      <c r="C298" s="21"/>
      <c r="D298" s="21"/>
      <c r="E298" s="21"/>
      <c r="F298" s="22"/>
      <c r="G298" s="29"/>
      <c r="H298" s="21"/>
      <c r="I298" s="30" t="str">
        <f aca="false">IF(OR($G298="",$H298="",NOT(ISNUMBER($G298))),"",IF($H298="Maund",ROUND($G298/37.32,2),$G298))</f>
        <v/>
      </c>
      <c r="J298" s="22"/>
    </row>
    <row r="299" customFormat="false" ht="19.5" hidden="false" customHeight="true" outlineLevel="0" collapsed="false">
      <c r="B299" s="19"/>
      <c r="C299" s="21"/>
      <c r="D299" s="21"/>
      <c r="E299" s="21"/>
      <c r="F299" s="22"/>
      <c r="G299" s="29"/>
      <c r="H299" s="21"/>
      <c r="I299" s="30" t="str">
        <f aca="false">IF(OR($G299="",$H299="",NOT(ISNUMBER($G299))),"",IF($H299="Maund",ROUND($G299/37.32,2),$G299))</f>
        <v/>
      </c>
      <c r="J299" s="22"/>
    </row>
    <row r="300" customFormat="false" ht="19.5" hidden="false" customHeight="true" outlineLevel="0" collapsed="false">
      <c r="B300" s="19"/>
      <c r="C300" s="21"/>
      <c r="D300" s="21"/>
      <c r="E300" s="21"/>
      <c r="F300" s="22"/>
      <c r="G300" s="29"/>
      <c r="H300" s="21"/>
      <c r="I300" s="30" t="str">
        <f aca="false">IF(OR($G300="",$H300="",NOT(ISNUMBER($G300))),"",IF($H300="Maund",ROUND($G300/37.32,2),$G300))</f>
        <v/>
      </c>
      <c r="J300" s="22"/>
    </row>
    <row r="301" customFormat="false" ht="19.5" hidden="false" customHeight="true" outlineLevel="0" collapsed="false">
      <c r="B301" s="19"/>
      <c r="C301" s="21"/>
      <c r="D301" s="21"/>
      <c r="E301" s="21"/>
      <c r="F301" s="22"/>
      <c r="G301" s="29"/>
      <c r="H301" s="21"/>
      <c r="I301" s="30" t="str">
        <f aca="false">IF(OR($G301="",$H301="",NOT(ISNUMBER($G301))),"",IF($H301="Maund",ROUND($G301/37.32,2),$G301))</f>
        <v/>
      </c>
      <c r="J301" s="22"/>
    </row>
    <row r="302" customFormat="false" ht="19.5" hidden="false" customHeight="true" outlineLevel="0" collapsed="false">
      <c r="B302" s="19"/>
      <c r="C302" s="21"/>
      <c r="D302" s="21"/>
      <c r="E302" s="21"/>
      <c r="F302" s="22"/>
      <c r="G302" s="29"/>
      <c r="H302" s="21"/>
      <c r="I302" s="30" t="str">
        <f aca="false">IF(OR($G302="",$H302="",NOT(ISNUMBER($G302))),"",IF($H302="Maund",ROUND($G302/37.32,2),$G302))</f>
        <v/>
      </c>
      <c r="J302" s="22"/>
    </row>
    <row r="303" customFormat="false" ht="19.5" hidden="false" customHeight="true" outlineLevel="0" collapsed="false">
      <c r="B303" s="19"/>
      <c r="C303" s="21"/>
      <c r="D303" s="21"/>
      <c r="E303" s="21"/>
      <c r="F303" s="22"/>
      <c r="G303" s="29"/>
      <c r="H303" s="21"/>
      <c r="I303" s="30" t="str">
        <f aca="false">IF(OR($G303="",$H303="",NOT(ISNUMBER($G303))),"",IF($H303="Maund",ROUND($G303/37.32,2),$G303))</f>
        <v/>
      </c>
      <c r="J303" s="22"/>
    </row>
    <row r="304" customFormat="false" ht="19.5" hidden="false" customHeight="true" outlineLevel="0" collapsed="false">
      <c r="B304" s="19"/>
      <c r="C304" s="21"/>
      <c r="D304" s="21"/>
      <c r="E304" s="21"/>
      <c r="F304" s="22"/>
      <c r="G304" s="29"/>
      <c r="H304" s="21"/>
      <c r="I304" s="30" t="str">
        <f aca="false">IF(OR($G304="",$H304="",NOT(ISNUMBER($G304))),"",IF($H304="Maund",ROUND($G304/37.32,2),$G304))</f>
        <v/>
      </c>
      <c r="J304" s="22"/>
    </row>
    <row r="305" customFormat="false" ht="19.5" hidden="false" customHeight="true" outlineLevel="0" collapsed="false">
      <c r="B305" s="19"/>
      <c r="C305" s="21"/>
      <c r="D305" s="21"/>
      <c r="E305" s="21"/>
      <c r="F305" s="22"/>
      <c r="G305" s="29"/>
      <c r="H305" s="21"/>
      <c r="I305" s="30" t="str">
        <f aca="false">IF(OR($G305="",$H305="",NOT(ISNUMBER($G305))),"",IF($H305="Maund",ROUND($G305/37.32,2),$G305))</f>
        <v/>
      </c>
      <c r="J305" s="22"/>
    </row>
    <row r="306" customFormat="false" ht="19.5" hidden="false" customHeight="true" outlineLevel="0" collapsed="false">
      <c r="B306" s="19"/>
      <c r="C306" s="21"/>
      <c r="D306" s="21"/>
      <c r="E306" s="21"/>
      <c r="F306" s="22"/>
      <c r="G306" s="29"/>
      <c r="H306" s="21"/>
      <c r="I306" s="30" t="str">
        <f aca="false">IF(OR($G306="",$H306="",NOT(ISNUMBER($G306))),"",IF($H306="Maund",ROUND($G306/37.32,2),$G306))</f>
        <v/>
      </c>
      <c r="J306" s="22"/>
    </row>
    <row r="307" customFormat="false" ht="19.5" hidden="false" customHeight="true" outlineLevel="0" collapsed="false">
      <c r="B307" s="19"/>
      <c r="C307" s="21"/>
      <c r="D307" s="21"/>
      <c r="E307" s="21"/>
      <c r="F307" s="22"/>
      <c r="G307" s="29"/>
      <c r="H307" s="21"/>
      <c r="I307" s="30" t="str">
        <f aca="false">IF(OR($G307="",$H307="",NOT(ISNUMBER($G307))),"",IF($H307="Maund",ROUND($G307/37.32,2),$G307))</f>
        <v/>
      </c>
      <c r="J307" s="22"/>
    </row>
    <row r="308" customFormat="false" ht="19.5" hidden="false" customHeight="true" outlineLevel="0" collapsed="false">
      <c r="B308" s="19"/>
      <c r="C308" s="21"/>
      <c r="D308" s="21"/>
      <c r="E308" s="21"/>
      <c r="F308" s="22"/>
      <c r="G308" s="29"/>
      <c r="H308" s="21"/>
      <c r="I308" s="30" t="str">
        <f aca="false">IF(OR($G308="",$H308="",NOT(ISNUMBER($G308))),"",IF($H308="Maund",ROUND($G308/37.32,2),$G308))</f>
        <v/>
      </c>
      <c r="J308" s="22"/>
    </row>
    <row r="309" customFormat="false" ht="19.5" hidden="false" customHeight="true" outlineLevel="0" collapsed="false">
      <c r="B309" s="19"/>
      <c r="C309" s="21"/>
      <c r="D309" s="21"/>
      <c r="E309" s="21"/>
      <c r="F309" s="22"/>
      <c r="G309" s="29"/>
      <c r="H309" s="21"/>
      <c r="I309" s="30" t="str">
        <f aca="false">IF(OR($G309="",$H309="",NOT(ISNUMBER($G309))),"",IF($H309="Maund",ROUND($G309/37.32,2),$G309))</f>
        <v/>
      </c>
      <c r="J309" s="22"/>
    </row>
    <row r="310" customFormat="false" ht="19.5" hidden="false" customHeight="true" outlineLevel="0" collapsed="false">
      <c r="B310" s="19"/>
      <c r="C310" s="21"/>
      <c r="D310" s="21"/>
      <c r="E310" s="21"/>
      <c r="F310" s="22"/>
      <c r="G310" s="29"/>
      <c r="H310" s="21"/>
      <c r="I310" s="30" t="str">
        <f aca="false">IF(OR($G310="",$H310="",NOT(ISNUMBER($G310))),"",IF($H310="Maund",ROUND($G310/37.32,2),$G310))</f>
        <v/>
      </c>
      <c r="J310" s="22"/>
    </row>
    <row r="311" customFormat="false" ht="19.5" hidden="false" customHeight="true" outlineLevel="0" collapsed="false">
      <c r="B311" s="19"/>
      <c r="C311" s="21"/>
      <c r="D311" s="21"/>
      <c r="E311" s="21"/>
      <c r="F311" s="22"/>
      <c r="G311" s="29"/>
      <c r="H311" s="21"/>
      <c r="I311" s="30" t="str">
        <f aca="false">IF(OR($G311="",$H311="",NOT(ISNUMBER($G311))),"",IF($H311="Maund",ROUND($G311/37.32,2),$G311))</f>
        <v/>
      </c>
      <c r="J311" s="22"/>
    </row>
    <row r="312" customFormat="false" ht="19.5" hidden="false" customHeight="true" outlineLevel="0" collapsed="false">
      <c r="B312" s="19"/>
      <c r="C312" s="21"/>
      <c r="D312" s="21"/>
      <c r="E312" s="21"/>
      <c r="F312" s="22"/>
      <c r="G312" s="29"/>
      <c r="H312" s="21"/>
      <c r="I312" s="30" t="str">
        <f aca="false">IF(OR($G312="",$H312="",NOT(ISNUMBER($G312))),"",IF($H312="Maund",ROUND($G312/37.32,2),$G312))</f>
        <v/>
      </c>
      <c r="J312" s="22"/>
    </row>
    <row r="313" customFormat="false" ht="19.5" hidden="false" customHeight="true" outlineLevel="0" collapsed="false">
      <c r="B313" s="19"/>
      <c r="C313" s="21"/>
      <c r="D313" s="21"/>
      <c r="E313" s="21"/>
      <c r="F313" s="22"/>
      <c r="G313" s="29"/>
      <c r="H313" s="21"/>
      <c r="I313" s="30" t="str">
        <f aca="false">IF(OR($G313="",$H313="",NOT(ISNUMBER($G313))),"",IF($H313="Maund",ROUND($G313/37.32,2),$G313))</f>
        <v/>
      </c>
      <c r="J313" s="22"/>
    </row>
    <row r="314" customFormat="false" ht="19.5" hidden="false" customHeight="true" outlineLevel="0" collapsed="false">
      <c r="B314" s="19"/>
      <c r="C314" s="21"/>
      <c r="D314" s="21"/>
      <c r="E314" s="21"/>
      <c r="F314" s="22"/>
      <c r="G314" s="29"/>
      <c r="H314" s="21"/>
      <c r="I314" s="30" t="str">
        <f aca="false">IF(OR($G314="",$H314="",NOT(ISNUMBER($G314))),"",IF($H314="Maund",ROUND($G314/37.32,2),$G314))</f>
        <v/>
      </c>
      <c r="J314" s="22"/>
    </row>
    <row r="315" customFormat="false" ht="19.5" hidden="false" customHeight="true" outlineLevel="0" collapsed="false">
      <c r="B315" s="19"/>
      <c r="C315" s="21"/>
      <c r="D315" s="21"/>
      <c r="E315" s="21"/>
      <c r="F315" s="22"/>
      <c r="G315" s="29"/>
      <c r="H315" s="21"/>
      <c r="I315" s="30" t="str">
        <f aca="false">IF(OR($G315="",$H315="",NOT(ISNUMBER($G315))),"",IF($H315="Maund",ROUND($G315/37.32,2),$G315))</f>
        <v/>
      </c>
      <c r="J315" s="22"/>
    </row>
    <row r="316" customFormat="false" ht="19.5" hidden="false" customHeight="true" outlineLevel="0" collapsed="false">
      <c r="B316" s="19"/>
      <c r="C316" s="21"/>
      <c r="D316" s="21"/>
      <c r="E316" s="21"/>
      <c r="F316" s="22"/>
      <c r="G316" s="29"/>
      <c r="H316" s="21"/>
      <c r="I316" s="30" t="str">
        <f aca="false">IF(OR($G316="",$H316="",NOT(ISNUMBER($G316))),"",IF($H316="Maund",ROUND($G316/37.32,2),$G316))</f>
        <v/>
      </c>
      <c r="J316" s="22"/>
    </row>
    <row r="317" customFormat="false" ht="19.5" hidden="false" customHeight="true" outlineLevel="0" collapsed="false">
      <c r="B317" s="19"/>
      <c r="C317" s="21"/>
      <c r="D317" s="21"/>
      <c r="E317" s="21"/>
      <c r="F317" s="22"/>
      <c r="G317" s="29"/>
      <c r="H317" s="21"/>
      <c r="I317" s="30" t="str">
        <f aca="false">IF(OR($G317="",$H317="",NOT(ISNUMBER($G317))),"",IF($H317="Maund",ROUND($G317/37.32,2),$G317))</f>
        <v/>
      </c>
      <c r="J317" s="22"/>
    </row>
    <row r="318" customFormat="false" ht="19.5" hidden="false" customHeight="true" outlineLevel="0" collapsed="false">
      <c r="B318" s="19"/>
      <c r="C318" s="21"/>
      <c r="D318" s="21"/>
      <c r="E318" s="21"/>
      <c r="F318" s="22"/>
      <c r="G318" s="29"/>
      <c r="H318" s="21"/>
      <c r="I318" s="30" t="str">
        <f aca="false">IF(OR($G318="",$H318="",NOT(ISNUMBER($G318))),"",IF($H318="Maund",ROUND($G318/37.32,2),$G318))</f>
        <v/>
      </c>
      <c r="J318" s="22"/>
    </row>
    <row r="319" customFormat="false" ht="19.5" hidden="false" customHeight="true" outlineLevel="0" collapsed="false">
      <c r="B319" s="19"/>
      <c r="C319" s="21"/>
      <c r="D319" s="21"/>
      <c r="E319" s="21"/>
      <c r="F319" s="22"/>
      <c r="G319" s="29"/>
      <c r="H319" s="21"/>
      <c r="I319" s="30" t="str">
        <f aca="false">IF(OR($G319="",$H319="",NOT(ISNUMBER($G319))),"",IF($H319="Maund",ROUND($G319/37.32,2),$G319))</f>
        <v/>
      </c>
      <c r="J319" s="22"/>
    </row>
    <row r="320" customFormat="false" ht="19.5" hidden="false" customHeight="true" outlineLevel="0" collapsed="false">
      <c r="B320" s="19"/>
      <c r="C320" s="21"/>
      <c r="D320" s="21"/>
      <c r="E320" s="21"/>
      <c r="F320" s="22"/>
      <c r="G320" s="29"/>
      <c r="H320" s="21"/>
      <c r="I320" s="30" t="str">
        <f aca="false">IF(OR($G320="",$H320="",NOT(ISNUMBER($G320))),"",IF($H320="Maund",ROUND($G320/37.32,2),$G320))</f>
        <v/>
      </c>
      <c r="J320" s="22"/>
    </row>
    <row r="321" customFormat="false" ht="19.5" hidden="false" customHeight="true" outlineLevel="0" collapsed="false">
      <c r="B321" s="19"/>
      <c r="C321" s="21"/>
      <c r="D321" s="21"/>
      <c r="E321" s="21"/>
      <c r="F321" s="22"/>
      <c r="G321" s="29"/>
      <c r="H321" s="21"/>
      <c r="I321" s="30" t="str">
        <f aca="false">IF(OR($G321="",$H321="",NOT(ISNUMBER($G321))),"",IF($H321="Maund",ROUND($G321/37.32,2),$G321))</f>
        <v/>
      </c>
      <c r="J321" s="22"/>
    </row>
    <row r="322" customFormat="false" ht="19.5" hidden="false" customHeight="true" outlineLevel="0" collapsed="false">
      <c r="B322" s="19"/>
      <c r="C322" s="21"/>
      <c r="D322" s="21"/>
      <c r="E322" s="21"/>
      <c r="F322" s="22"/>
      <c r="G322" s="29"/>
      <c r="H322" s="21"/>
      <c r="I322" s="30" t="str">
        <f aca="false">IF(OR($G322="",$H322="",NOT(ISNUMBER($G322))),"",IF($H322="Maund",ROUND($G322/37.32,2),$G322))</f>
        <v/>
      </c>
      <c r="J322" s="22"/>
    </row>
    <row r="323" customFormat="false" ht="19.5" hidden="false" customHeight="true" outlineLevel="0" collapsed="false">
      <c r="B323" s="19"/>
      <c r="C323" s="21"/>
      <c r="D323" s="21"/>
      <c r="E323" s="21"/>
      <c r="F323" s="22"/>
      <c r="G323" s="29"/>
      <c r="H323" s="21"/>
      <c r="I323" s="30" t="str">
        <f aca="false">IF(OR($G323="",$H323="",NOT(ISNUMBER($G323))),"",IF($H323="Maund",ROUND($G323/37.32,2),$G323))</f>
        <v/>
      </c>
      <c r="J323" s="22"/>
    </row>
    <row r="324" customFormat="false" ht="19.5" hidden="false" customHeight="true" outlineLevel="0" collapsed="false">
      <c r="B324" s="19"/>
      <c r="C324" s="21"/>
      <c r="D324" s="21"/>
      <c r="E324" s="21"/>
      <c r="F324" s="22"/>
      <c r="G324" s="29"/>
      <c r="H324" s="21"/>
      <c r="I324" s="30" t="str">
        <f aca="false">IF(OR($G324="",$H324="",NOT(ISNUMBER($G324))),"",IF($H324="Maund",ROUND($G324/37.32,2),$G324))</f>
        <v/>
      </c>
      <c r="J324" s="22"/>
    </row>
    <row r="325" customFormat="false" ht="15" hidden="false" customHeight="false" outlineLevel="0" collapsed="false">
      <c r="B325" s="4"/>
      <c r="C325" s="4"/>
      <c r="D325" s="4"/>
      <c r="E325" s="4"/>
      <c r="F325" s="4"/>
      <c r="G325" s="4"/>
      <c r="H325" s="4"/>
      <c r="I325" s="4"/>
      <c r="J325" s="4"/>
    </row>
    <row r="326" customFormat="false" ht="14.25" hidden="false" customHeight="true" outlineLevel="0" collapsed="false">
      <c r="B326" s="8" t="s">
        <v>925</v>
      </c>
      <c r="C326" s="4"/>
      <c r="D326" s="4"/>
      <c r="E326" s="4"/>
      <c r="F326" s="4"/>
      <c r="G326" s="4"/>
      <c r="H326" s="4"/>
      <c r="I326" s="4"/>
      <c r="J326" s="4"/>
    </row>
  </sheetData>
  <autoFilter ref="B4:J324"/>
  <mergeCells count="1">
    <mergeCell ref="B2:J2"/>
  </mergeCells>
  <dataValidations count="3">
    <dataValidation allowBlank="true" error="Enter a number between 0 and 1000000." errorStyle="stop" errorTitle="Out of range" operator="between" showDropDown="false" showErrorMessage="true" showInputMessage="false" sqref="G5:G324" type="decimal">
      <formula1>0</formula1>
      <formula2>1000000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32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H5:H324" type="list">
      <formula1>"Maund,Kg"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B2:E31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ColWidth="8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2"/>
    <col collapsed="false" customWidth="true" hidden="false" outlineLevel="0" max="3" min="3" style="1" width="12"/>
    <col collapsed="false" customWidth="true" hidden="false" outlineLevel="0" max="4" min="4" style="1" width="40"/>
    <col collapsed="false" customWidth="true" hidden="false" outlineLevel="0" max="5" min="5" style="1" width="16"/>
  </cols>
  <sheetData>
    <row r="2" customFormat="false" ht="31.5" hidden="false" customHeight="true" outlineLevel="0" collapsed="false">
      <c r="B2" s="2" t="s">
        <v>926</v>
      </c>
      <c r="C2" s="2"/>
      <c r="D2" s="2"/>
      <c r="E2" s="2"/>
    </row>
    <row r="3" customFormat="false" ht="7.5" hidden="false" customHeight="true" outlineLevel="0" collapsed="false">
      <c r="B3" s="3" t="s">
        <v>927</v>
      </c>
      <c r="C3" s="4"/>
      <c r="D3" s="4"/>
      <c r="E3" s="4"/>
    </row>
    <row r="4" customFormat="false" ht="15" hidden="false" customHeight="false" outlineLevel="0" collapsed="false">
      <c r="B4" s="4"/>
      <c r="C4" s="4"/>
      <c r="D4" s="4"/>
      <c r="E4" s="4"/>
    </row>
    <row r="5" customFormat="false" ht="27.75" hidden="false" customHeight="true" outlineLevel="0" collapsed="false">
      <c r="B5" s="11" t="s">
        <v>928</v>
      </c>
      <c r="C5" s="11" t="s">
        <v>929</v>
      </c>
      <c r="D5" s="11" t="s">
        <v>930</v>
      </c>
      <c r="E5" s="11" t="s">
        <v>931</v>
      </c>
    </row>
    <row r="6" customFormat="false" ht="21.75" hidden="false" customHeight="true" outlineLevel="0" collapsed="false">
      <c r="B6" s="13" t="s">
        <v>932</v>
      </c>
      <c r="C6" s="40" t="n">
        <f aca="false">COUNTIF(Form_A_Aratdar!$D$5:$D$40,"&lt;&gt;")</f>
        <v>0</v>
      </c>
      <c r="D6" s="13" t="s">
        <v>933</v>
      </c>
      <c r="E6" s="41" t="str">
        <f aca="false">IF(C6&lt;=36,"OK","Over capacity")</f>
        <v>OK</v>
      </c>
    </row>
    <row r="7" customFormat="false" ht="21.75" hidden="false" customHeight="true" outlineLevel="0" collapsed="false">
      <c r="B7" s="15" t="s">
        <v>934</v>
      </c>
      <c r="C7" s="42" t="n">
        <f aca="false">COUNTIF(Form_B_Bepari_Faria!$D$5:$D$40,"&lt;&gt;")</f>
        <v>0</v>
      </c>
      <c r="D7" s="15" t="s">
        <v>933</v>
      </c>
      <c r="E7" s="43" t="str">
        <f aca="false">IF(C7&lt;=36,"OK","Over capacity")</f>
        <v>OK</v>
      </c>
    </row>
    <row r="8" customFormat="false" ht="21.75" hidden="false" customHeight="true" outlineLevel="0" collapsed="false">
      <c r="B8" s="13" t="s">
        <v>935</v>
      </c>
      <c r="C8" s="40" t="n">
        <f aca="false">COUNTIF(Form_R_Khuchra!$D$5:$D$40,"&lt;&gt;")</f>
        <v>0</v>
      </c>
      <c r="D8" s="13" t="s">
        <v>933</v>
      </c>
      <c r="E8" s="41" t="str">
        <f aca="false">IF(C8&lt;=36,"OK","Over capacity")</f>
        <v>OK</v>
      </c>
    </row>
    <row r="9" customFormat="false" ht="21.75" hidden="false" customHeight="true" outlineLevel="0" collapsed="false">
      <c r="B9" s="15" t="s">
        <v>936</v>
      </c>
      <c r="C9" s="42" t="n">
        <f aca="false">COUNTIF(Form_C_Consumer!$D$5:$D$40,"&lt;&gt;")</f>
        <v>0</v>
      </c>
      <c r="D9" s="15" t="s">
        <v>933</v>
      </c>
      <c r="E9" s="43" t="str">
        <f aca="false">IF(C9&lt;=36,"OK","Over capacity")</f>
        <v>OK</v>
      </c>
    </row>
    <row r="10" customFormat="false" ht="21.75" hidden="false" customHeight="true" outlineLevel="0" collapsed="false">
      <c r="B10" s="13" t="s">
        <v>937</v>
      </c>
      <c r="C10" s="40" t="n">
        <f aca="false">Progress_Dashboard!$G$12</f>
        <v>0</v>
      </c>
      <c r="D10" s="13" t="s">
        <v>938</v>
      </c>
      <c r="E10" s="41" t="str">
        <f aca="false">IF(C10=120,"TARGET MET",IF(C10&lt;120,"In progress","Over quota"))</f>
        <v>In progress</v>
      </c>
    </row>
    <row r="11" customFormat="false" ht="21.75" hidden="false" customHeight="true" outlineLevel="0" collapsed="false">
      <c r="B11" s="15" t="s">
        <v>939</v>
      </c>
      <c r="C11" s="42" t="n">
        <f aca="false">SUMPRODUCT((Form_A_Aratdar!$B$5:$B$40&lt;&gt;"")*(COUNTIF(Form_A_Aratdar!$B$5:$B$40,Form_A_Aratdar!$B$5:$B$40)&gt;1))</f>
        <v>0</v>
      </c>
      <c r="D11" s="15" t="s">
        <v>940</v>
      </c>
      <c r="E11" s="43" t="str">
        <f aca="false">IF(C11=0,"OK","Fix duplicates")</f>
        <v>OK</v>
      </c>
    </row>
    <row r="12" customFormat="false" ht="21.75" hidden="false" customHeight="true" outlineLevel="0" collapsed="false">
      <c r="B12" s="13" t="s">
        <v>941</v>
      </c>
      <c r="C12" s="40" t="n">
        <f aca="false">SUMPRODUCT((Form_B_Bepari_Faria!$B$5:$B$40&lt;&gt;"")*(COUNTIF(Form_B_Bepari_Faria!$B$5:$B$40,Form_B_Bepari_Faria!$B$5:$B$40)&gt;1))</f>
        <v>0</v>
      </c>
      <c r="D12" s="13" t="s">
        <v>940</v>
      </c>
      <c r="E12" s="41" t="str">
        <f aca="false">IF(C12=0,"OK","Fix duplicates")</f>
        <v>OK</v>
      </c>
    </row>
    <row r="13" customFormat="false" ht="21.75" hidden="false" customHeight="true" outlineLevel="0" collapsed="false">
      <c r="B13" s="15" t="s">
        <v>942</v>
      </c>
      <c r="C13" s="42" t="n">
        <f aca="false">SUMPRODUCT((Form_R_Khuchra!$B$5:$B$40&lt;&gt;"")*(COUNTIF(Form_R_Khuchra!$B$5:$B$40,Form_R_Khuchra!$B$5:$B$40)&gt;1))</f>
        <v>0</v>
      </c>
      <c r="D13" s="15" t="s">
        <v>940</v>
      </c>
      <c r="E13" s="43" t="str">
        <f aca="false">IF(C13=0,"OK","Fix duplicates")</f>
        <v>OK</v>
      </c>
    </row>
    <row r="14" customFormat="false" ht="21.75" hidden="false" customHeight="true" outlineLevel="0" collapsed="false">
      <c r="B14" s="13" t="s">
        <v>943</v>
      </c>
      <c r="C14" s="40" t="n">
        <f aca="false">SUMPRODUCT((Form_C_Consumer!$B$5:$B$40&lt;&gt;"")*(COUNTIF(Form_C_Consumer!$B$5:$B$40,Form_C_Consumer!$B$5:$B$40)&gt;1))</f>
        <v>0</v>
      </c>
      <c r="D14" s="13" t="s">
        <v>940</v>
      </c>
      <c r="E14" s="41" t="str">
        <f aca="false">IF(C14=0,"OK","Fix duplicates")</f>
        <v>OK</v>
      </c>
    </row>
    <row r="15" customFormat="false" ht="21.75" hidden="false" customHeight="true" outlineLevel="0" collapsed="false">
      <c r="B15" s="15" t="s">
        <v>944</v>
      </c>
      <c r="C15" s="42" t="n">
        <f aca="false">SUMPRODUCT((Form_A_Aratdar!$Y$5:$Y$40&lt;&gt;"")*((Form_A_Aratdar!$Y$5:$Y$40+Form_A_Aratdar!$Z$5:$Z$40+Form_A_Aratdar!$AA$5:$AA$40)&lt;&gt;100))</f>
        <v>0</v>
      </c>
      <c r="D15" s="15" t="s">
        <v>945</v>
      </c>
      <c r="E15" s="43" t="str">
        <f aca="false">IF(C15=0,"OK","Check rows")</f>
        <v>OK</v>
      </c>
    </row>
    <row r="16" customFormat="false" ht="21.75" hidden="false" customHeight="true" outlineLevel="0" collapsed="false">
      <c r="B16" s="13" t="s">
        <v>946</v>
      </c>
      <c r="C16" s="40" t="n">
        <f aca="false">SUMPRODUCT((Form_B_Bepari_Faria!$Y$5:$Y$40&lt;&gt;"")*((Form_B_Bepari_Faria!$Y$5:$Y$40+Form_B_Bepari_Faria!$Z$5:$Z$40+Form_B_Bepari_Faria!$AA$5:$AA$40)&lt;&gt;100))</f>
        <v>0</v>
      </c>
      <c r="D16" s="13" t="s">
        <v>945</v>
      </c>
      <c r="E16" s="41" t="str">
        <f aca="false">IF(C16=0,"OK","Check rows")</f>
        <v>OK</v>
      </c>
    </row>
    <row r="17" customFormat="false" ht="21.75" hidden="false" customHeight="true" outlineLevel="0" collapsed="false">
      <c r="B17" s="15" t="s">
        <v>947</v>
      </c>
      <c r="C17" s="42" t="n">
        <f aca="false">SUMPRODUCT((Form_R_Khuchra!$R$5:$R$40&lt;&gt;"")*((Form_R_Khuchra!$R$5:$R$40+Form_R_Khuchra!$S$5:$S$40+Form_R_Khuchra!$T$5:$T$40)&lt;&gt;100))</f>
        <v>0</v>
      </c>
      <c r="D17" s="15" t="s">
        <v>945</v>
      </c>
      <c r="E17" s="43" t="str">
        <f aca="false">IF(C17=0,"OK","Check rows")</f>
        <v>OK</v>
      </c>
    </row>
    <row r="18" customFormat="false" ht="21.75" hidden="false" customHeight="true" outlineLevel="0" collapsed="false">
      <c r="B18" s="13" t="s">
        <v>948</v>
      </c>
      <c r="C18" s="40" t="n">
        <f aca="false">SUMPRODUCT((ISNUMBER(Price_Observations!$G$5:$G$504))*(Price_Observations!$I$5:$I$504=""))</f>
        <v>0</v>
      </c>
      <c r="D18" s="13" t="s">
        <v>949</v>
      </c>
      <c r="E18" s="41" t="str">
        <f aca="false">IF(C18=0,"OK","Fill Unit column")</f>
        <v>OK</v>
      </c>
    </row>
    <row r="19" customFormat="false" ht="21.75" hidden="false" customHeight="true" outlineLevel="0" collapsed="false">
      <c r="B19" s="15" t="s">
        <v>950</v>
      </c>
      <c r="C19" s="42" t="n">
        <f aca="false">SUMPRODUCT((ISNUMBER(Price_Observations!$H$5:$H$504))*(Price_Observations!$I$5:$I$504=""))</f>
        <v>0</v>
      </c>
      <c r="D19" s="15" t="s">
        <v>949</v>
      </c>
      <c r="E19" s="43" t="str">
        <f aca="false">IF(C19=0,"OK","Fill Unit column")</f>
        <v>OK</v>
      </c>
    </row>
    <row r="20" customFormat="false" ht="21.75" hidden="false" customHeight="true" outlineLevel="0" collapsed="false">
      <c r="B20" s="13" t="s">
        <v>951</v>
      </c>
      <c r="C20" s="40" t="n">
        <f aca="false">SUMPRODUCT((Price_Observations!$C$5:$C$504&lt;&gt;"")*((COUNTIF(Form_A_Aratdar!$B$5:$B$40,Price_Observations!$C$5:$C$504)+COUNTIF(Form_B_Bepari_Faria!$B$5:$B$40,Price_Observations!$C$5:$C$504)+COUNTIF(Form_R_Khuchra!$B$5:$B$40,Price_Observations!$C$5:$C$504))=0))</f>
        <v>0</v>
      </c>
      <c r="D20" s="13" t="s">
        <v>952</v>
      </c>
      <c r="E20" s="41" t="str">
        <f aca="false">IF(C20=0,"OK","Fix IDs")</f>
        <v>OK</v>
      </c>
    </row>
    <row r="21" customFormat="false" ht="21.75" hidden="false" customHeight="true" outlineLevel="0" collapsed="false">
      <c r="B21" s="15" t="s">
        <v>953</v>
      </c>
      <c r="C21" s="42" t="n">
        <f aca="false">SUMPRODUCT((ISNUMBER(Consumer_Purchases_Focal!$G$5:$G$354))*(Consumer_Purchases_Focal!$H$5:$H$354=""))</f>
        <v>0</v>
      </c>
      <c r="D21" s="15" t="s">
        <v>949</v>
      </c>
      <c r="E21" s="43" t="str">
        <f aca="false">IF(C21=0,"OK","Fill Unit column")</f>
        <v>OK</v>
      </c>
    </row>
    <row r="22" customFormat="false" ht="21.75" hidden="false" customHeight="true" outlineLevel="0" collapsed="false">
      <c r="B22" s="13" t="s">
        <v>954</v>
      </c>
      <c r="C22" s="40" t="n">
        <f aca="false">SUMPRODUCT((ISNUMBER(Consumer_Other_Fish!$E$5:$E$104))*(Consumer_Other_Fish!$F$5:$F$104=""))</f>
        <v>0</v>
      </c>
      <c r="D22" s="13" t="s">
        <v>949</v>
      </c>
      <c r="E22" s="41" t="str">
        <f aca="false">IF(C22=0,"OK","Fill Unit column")</f>
        <v>OK</v>
      </c>
    </row>
    <row r="23" customFormat="false" ht="21.75" hidden="false" customHeight="true" outlineLevel="0" collapsed="false">
      <c r="B23" s="15" t="s">
        <v>955</v>
      </c>
      <c r="C23" s="42" t="n">
        <f aca="false">SUMPRODUCT((Consumer_Purchases_Focal!$B$5:$B$354&lt;&gt;"")*(COUNTIF(Form_C_Consumer!$B$5:$B$40,Consumer_Purchases_Focal!$B$5:$B$354)=0))</f>
        <v>0</v>
      </c>
      <c r="D23" s="15" t="s">
        <v>956</v>
      </c>
      <c r="E23" s="43" t="str">
        <f aca="false">IF(C23=0,"OK","Fix IDs")</f>
        <v>OK</v>
      </c>
    </row>
    <row r="24" customFormat="false" ht="21.75" hidden="false" customHeight="true" outlineLevel="0" collapsed="false">
      <c r="B24" s="13" t="s">
        <v>957</v>
      </c>
      <c r="C24" s="40" t="n">
        <f aca="false">SUMPRODUCT((Consumer_Other_Fish!$B$5:$B$104&lt;&gt;"")*(COUNTIF(Form_C_Consumer!$B$5:$B$40,Consumer_Other_Fish!$B$5:$B$104)=0))</f>
        <v>0</v>
      </c>
      <c r="D24" s="13" t="s">
        <v>956</v>
      </c>
      <c r="E24" s="41" t="str">
        <f aca="false">IF(C24=0,"OK","Fix IDs")</f>
        <v>OK</v>
      </c>
    </row>
    <row r="25" customFormat="false" ht="21.75" hidden="false" customHeight="true" outlineLevel="0" collapsed="false">
      <c r="B25" s="15" t="s">
        <v>958</v>
      </c>
      <c r="C25" s="42" t="n">
        <f aca="false">COUNTIF(Price_Observations!$G$5:$G$504,"K")+COUNTIF(Price_Observations!$G$5:$G$504,"D")</f>
        <v>0</v>
      </c>
      <c r="D25" s="15" t="s">
        <v>959</v>
      </c>
      <c r="E25" s="43" t="str">
        <f aca="false">"Info"</f>
        <v>Info</v>
      </c>
    </row>
    <row r="26" customFormat="false" ht="21.75" hidden="false" customHeight="true" outlineLevel="0" collapsed="false">
      <c r="B26" s="13" t="s">
        <v>960</v>
      </c>
      <c r="C26" s="40" t="n">
        <f aca="false">COUNTIF(Price_Observations!$H$5:$H$504,"K")+COUNTIF(Price_Observations!$H$5:$H$504,"D")</f>
        <v>0</v>
      </c>
      <c r="D26" s="13" t="s">
        <v>959</v>
      </c>
      <c r="E26" s="41" t="str">
        <f aca="false">"Info"</f>
        <v>Info</v>
      </c>
    </row>
    <row r="27" customFormat="false" ht="21.75" hidden="false" customHeight="true" outlineLevel="0" collapsed="false">
      <c r="B27" s="15" t="s">
        <v>961</v>
      </c>
      <c r="C27" s="42" t="n">
        <f aca="false">COUNTIF(Price_Observations!$O$5:$O$504,"&lt;&gt;")</f>
        <v>0</v>
      </c>
      <c r="D27" s="15" t="s">
        <v>962</v>
      </c>
      <c r="E27" s="43" t="str">
        <f aca="false">"Info"</f>
        <v>Info</v>
      </c>
    </row>
    <row r="28" customFormat="false" ht="21.75" hidden="false" customHeight="true" outlineLevel="0" collapsed="false">
      <c r="B28" s="13" t="s">
        <v>963</v>
      </c>
      <c r="C28" s="40" t="n">
        <f aca="false">SUMPRODUCT((Price_Observations!$O$5:$O$504&lt;&gt;"")*((COUNTIF(Form_A_Aratdar!$AF$5:$AF$40,Price_Observations!$O$5:$O$504)+COUNTIF(Form_B_Bepari_Faria!$AG$5:$AG$40,Price_Observations!$O$5:$O$504)+COUNTIF(Form_R_Khuchra!$Z$5:$Z$40,Price_Observations!$O$5:$O$504))&gt;0))</f>
        <v>0</v>
      </c>
      <c r="D28" s="13" t="s">
        <v>964</v>
      </c>
      <c r="E28" s="41" t="str">
        <f aca="false">IF(C27=0,"No pairs yet",IF(C28=C27,"All matched","Some unmatched"))</f>
        <v>No pairs yet</v>
      </c>
    </row>
    <row r="29" customFormat="false" ht="21.75" hidden="false" customHeight="true" outlineLevel="0" collapsed="false">
      <c r="B29" s="15" t="s">
        <v>965</v>
      </c>
      <c r="C29" s="42" t="n">
        <f aca="false">COUNTIF(Form_M_Market_Observation!$D$5:$D$10,"&lt;&gt;")</f>
        <v>0</v>
      </c>
      <c r="D29" s="15" t="s">
        <v>966</v>
      </c>
      <c r="E29" s="43" t="str">
        <f aca="false">IF(C29=6,"COMPLETE","In progress")</f>
        <v>In progress</v>
      </c>
    </row>
    <row r="30" customFormat="false" ht="15" hidden="false" customHeight="false" outlineLevel="0" collapsed="false">
      <c r="B30" s="4"/>
      <c r="C30" s="4"/>
      <c r="D30" s="4"/>
      <c r="E30" s="4"/>
    </row>
    <row r="31" customFormat="false" ht="14.25" hidden="false" customHeight="true" outlineLevel="0" collapsed="false">
      <c r="B31" s="8" t="s">
        <v>967</v>
      </c>
      <c r="C31" s="4"/>
      <c r="D31" s="4"/>
      <c r="E31" s="4"/>
    </row>
  </sheetData>
  <mergeCells count="1">
    <mergeCell ref="B2:E2"/>
  </mergeCells>
  <conditionalFormatting sqref="E6:E29">
    <cfRule type="expression" priority="2" aboveAverage="0" equalAverage="0" bottom="0" percent="0" rank="0" text="" dxfId="10">
      <formula>OR($E6="OK",$E6="All matched",$E6="TARGET MET",$E6="COMPLETE",$E6="Info",$E6="No pairs yet",$E6="In progress",$E6="Over capacity")</formula>
    </cfRule>
    <cfRule type="expression" priority="3" aboveAverage="0" equalAverage="0" bottom="0" percent="0" rank="0" text="" dxfId="11">
      <formula>OR(LEFT($E6,3)="Fix",LEFT($E6,5)="Check",LEFT($E6,4)="Some")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2026-08-27T15:22:09Z</dcterms:created>
  <dc:creator>Z.ai</dc:creator>
  <dc:description/>
  <dc:language>en-US</dc:language>
  <cp:lastModifiedBy>Md. Rafsan</cp:lastModifiedBy>
  <dcterms:modified xsi:type="dcterms:W3CDTF">2026-08-27T18:59:20Z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